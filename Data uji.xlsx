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ku\"/>
    </mc:Choice>
  </mc:AlternateContent>
  <xr:revisionPtr revIDLastSave="0" documentId="13_ncr:1_{67F6BB1B-39C6-4864-8E78-66DF7FC137AB}" xr6:coauthVersionLast="47" xr6:coauthVersionMax="47" xr10:uidLastSave="{00000000-0000-0000-0000-000000000000}"/>
  <bookViews>
    <workbookView xWindow="-110" yWindow="-110" windowWidth="19420" windowHeight="10300" xr2:uid="{1D4C0D90-65D6-4857-AE2F-2BEB8C003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O27" i="1"/>
  <c r="P25" i="1"/>
  <c r="O25" i="1"/>
  <c r="O24" i="1"/>
  <c r="P24" i="1"/>
  <c r="K11" i="1"/>
  <c r="K10" i="1"/>
  <c r="J10" i="1"/>
  <c r="C10" i="1"/>
  <c r="K16" i="1" s="1"/>
  <c r="E10" i="1"/>
  <c r="F10" i="1"/>
  <c r="G10" i="1"/>
  <c r="H10" i="1"/>
  <c r="I10" i="1"/>
  <c r="B10" i="1"/>
  <c r="K6" i="1" s="1"/>
  <c r="C11" i="1"/>
  <c r="D11" i="1"/>
  <c r="E11" i="1"/>
  <c r="F11" i="1"/>
  <c r="G11" i="1"/>
  <c r="H11" i="1"/>
  <c r="I11" i="1"/>
  <c r="J11" i="1"/>
  <c r="B11" i="1"/>
  <c r="L6" i="1" s="1"/>
  <c r="M6" i="1" s="1"/>
  <c r="K5" i="1" l="1"/>
  <c r="L5" i="1"/>
  <c r="K17" i="1"/>
  <c r="K15" i="1"/>
  <c r="K4" i="1"/>
  <c r="M4" i="1" s="1"/>
  <c r="L4" i="1"/>
  <c r="K7" i="1"/>
  <c r="L7" i="1"/>
  <c r="N7" i="1" s="1"/>
  <c r="N6" i="1"/>
  <c r="M7" i="1" l="1"/>
  <c r="N4" i="1"/>
  <c r="I22" i="1" s="1"/>
  <c r="B22" i="1"/>
  <c r="H22" i="1"/>
  <c r="N5" i="1"/>
  <c r="M5" i="1"/>
  <c r="E22" i="1" l="1"/>
  <c r="N10" i="1"/>
  <c r="D22" i="1"/>
  <c r="J22" i="1"/>
  <c r="K22" i="1"/>
  <c r="G22" i="1"/>
  <c r="C22" i="1"/>
  <c r="L15" i="1" s="1"/>
  <c r="I21" i="1"/>
  <c r="F21" i="1"/>
  <c r="G21" i="1"/>
  <c r="J21" i="1"/>
  <c r="C21" i="1"/>
  <c r="K21" i="1"/>
  <c r="D21" i="1"/>
  <c r="B21" i="1"/>
  <c r="E21" i="1"/>
  <c r="H21" i="1"/>
  <c r="N9" i="1"/>
  <c r="F22" i="1"/>
  <c r="N15" i="1" l="1"/>
  <c r="M15" i="1"/>
  <c r="L14" i="1"/>
  <c r="L17" i="1"/>
  <c r="K14" i="1"/>
  <c r="L16" i="1"/>
  <c r="N16" i="1" l="1"/>
  <c r="M16" i="1"/>
  <c r="N14" i="1"/>
  <c r="M14" i="1"/>
  <c r="M17" i="1"/>
  <c r="N17" i="1"/>
</calcChain>
</file>

<file path=xl/sharedStrings.xml><?xml version="1.0" encoding="utf-8"?>
<sst xmlns="http://schemas.openxmlformats.org/spreadsheetml/2006/main" count="48" uniqueCount="28">
  <si>
    <t xml:space="preserve">Penghasilan </t>
  </si>
  <si>
    <t>Luas Rumah</t>
  </si>
  <si>
    <t xml:space="preserve">Status Kepemilikan Rumah </t>
  </si>
  <si>
    <t>Sumber Air</t>
  </si>
  <si>
    <t>ibu Hamil / menyusui</t>
  </si>
  <si>
    <t>lansia</t>
  </si>
  <si>
    <t>jumlah tanggungan (Anak)</t>
  </si>
  <si>
    <t>jenis dinding</t>
  </si>
  <si>
    <t xml:space="preserve">jenis lantai </t>
  </si>
  <si>
    <t>jenis atap</t>
  </si>
  <si>
    <t>Layak (C1)</t>
  </si>
  <si>
    <t xml:space="preserve"> Tidak Layak (C2)</t>
  </si>
  <si>
    <t>Jarak Terdekat (D)</t>
  </si>
  <si>
    <t>Kelompok</t>
  </si>
  <si>
    <t>iterasi 1</t>
  </si>
  <si>
    <t>cluster 1</t>
  </si>
  <si>
    <t>cluster 2</t>
  </si>
  <si>
    <t>iterasi ke 2</t>
  </si>
  <si>
    <t>c1</t>
  </si>
  <si>
    <t>c2</t>
  </si>
  <si>
    <t>DATA UJI / TESTING</t>
  </si>
  <si>
    <t>Kelompok (Actual)</t>
  </si>
  <si>
    <t>Layak</t>
  </si>
  <si>
    <t>k means</t>
  </si>
  <si>
    <t>actual</t>
  </si>
  <si>
    <t>Tidak Layak</t>
  </si>
  <si>
    <t>confusion matrik</t>
  </si>
  <si>
    <t>Akurasi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</si>
</sst>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7FA1-6E28-4E85-98C0-E2C8F3E1BEE3}">
  <dimension ref="A1:P27"/>
  <sheetViews>
    <sheetView tabSelected="1" topLeftCell="A20" workbookViewId="0">
      <selection activeCell="L34" sqref="L34"/>
    </sheetView>
  </sheetViews>
  <sheetFormatPr defaultRowHeight="14.5" x14ac:dyDescent="0.35"/>
  <cols>
    <col min="1" max="1" width="11.26953125" bestFit="1" customWidth="1"/>
    <col min="14" max="14" width="10.36328125" bestFit="1" customWidth="1"/>
    <col min="15" max="16" width="10.36328125" customWidth="1"/>
  </cols>
  <sheetData>
    <row r="1" spans="1:15" x14ac:dyDescent="0.35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5" ht="58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5" t="s">
        <v>13</v>
      </c>
    </row>
    <row r="4" spans="1:15" x14ac:dyDescent="0.35">
      <c r="A4" s="2">
        <v>5</v>
      </c>
      <c r="B4" s="1">
        <v>7.5</v>
      </c>
      <c r="C4" s="1">
        <v>2.5</v>
      </c>
      <c r="D4" s="1">
        <v>2.5</v>
      </c>
      <c r="E4" s="1">
        <v>2.5</v>
      </c>
      <c r="F4" s="1">
        <v>2.5</v>
      </c>
      <c r="G4" s="1">
        <v>2.5</v>
      </c>
      <c r="H4" s="1">
        <v>2.5</v>
      </c>
      <c r="I4" s="1">
        <v>2.5</v>
      </c>
      <c r="J4" s="1">
        <v>1</v>
      </c>
      <c r="K4" s="1">
        <f>SQRT(((A4-$B$10)^2)+((B4-$C$10)^2)+((C4-$D$10)^2)+((D4-$E$10)^2)+((E4-$F$10)^2)+((F4-$G$10)^2)+((G4-$H$10)^2)+((H4-$I$10)^2)+((I4-$J$10)^2)+((J4-$K$10)^2))</f>
        <v>5.2201532544552753</v>
      </c>
      <c r="L4" s="1">
        <f>SQRT(((A4-$B$11)^2)+((B4-$C$11)^2)+((C4-$D$11)^2)+((D4-$E$11)^2)+((E4-$F$11)^2)+((F4-$G$11)^2)+((G4-$H$11)^2)+((H4-$I$11)^2)+((I4-$J$11)^2)+((J4-$J$11)^2)+((J4-$K$11)^2))</f>
        <v>3.2787192621510002</v>
      </c>
      <c r="M4" s="1">
        <f>MIN(K4:L4)</f>
        <v>3.2787192621510002</v>
      </c>
      <c r="N4" s="1" t="str">
        <f>IF(K4&lt;L4,"Layak","Tidak Layak")</f>
        <v>Tidak Layak</v>
      </c>
    </row>
    <row r="5" spans="1:15" x14ac:dyDescent="0.35">
      <c r="A5" s="2">
        <v>5</v>
      </c>
      <c r="B5" s="1">
        <v>7.5</v>
      </c>
      <c r="C5" s="1">
        <v>2.5</v>
      </c>
      <c r="D5" s="1">
        <v>2.5</v>
      </c>
      <c r="E5" s="1">
        <v>2.5</v>
      </c>
      <c r="F5" s="1">
        <v>7.5</v>
      </c>
      <c r="G5" s="1">
        <v>1</v>
      </c>
      <c r="H5" s="1">
        <v>2.5</v>
      </c>
      <c r="I5" s="1">
        <v>2.5</v>
      </c>
      <c r="J5" s="1">
        <v>1</v>
      </c>
      <c r="K5" s="1">
        <f t="shared" ref="K5:K7" si="0">SQRT(((A5-$B$10)^2)+((B5-$C$10)^2)+((C5-$D$10)^2)+((D5-$E$10)^2)+((E5-$F$10)^2)+((F5-$G$10)^2)+((G5-$H$10)^2)+((H5-$I$10)^2)+((I5-$J$10)^2)+((J5-$K$10)^2))</f>
        <v>0</v>
      </c>
      <c r="L5" s="1">
        <f t="shared" ref="L5:L7" si="1">SQRT(((A5-$B$11)^2)+((B5-$C$11)^2)+((C5-$D$11)^2)+((D5-$E$11)^2)+((E5-$F$11)^2)+((F5-$G$11)^2)+((G5-$H$11)^2)+((H5-$I$11)^2)+((I5-$J$11)^2)+((J5-$J$11)^2)+((J5-$K$11)^2))</f>
        <v>5.7879184513951127</v>
      </c>
      <c r="M5" s="1">
        <f t="shared" ref="M5:M7" si="2">MIN(K5:L5)</f>
        <v>0</v>
      </c>
      <c r="N5" s="1" t="str">
        <f t="shared" ref="N5:N7" si="3">IF(K5&lt;L5,"Layak","Tidak Layak")</f>
        <v>Layak</v>
      </c>
    </row>
    <row r="6" spans="1:15" x14ac:dyDescent="0.35">
      <c r="A6" s="1">
        <v>2.5</v>
      </c>
      <c r="B6" s="1">
        <v>7.5</v>
      </c>
      <c r="C6" s="1">
        <v>2.5</v>
      </c>
      <c r="D6" s="1">
        <v>2.5</v>
      </c>
      <c r="E6" s="1">
        <v>2.5</v>
      </c>
      <c r="F6" s="1">
        <v>2.5</v>
      </c>
      <c r="G6" s="1">
        <v>1</v>
      </c>
      <c r="H6" s="1">
        <v>2.5</v>
      </c>
      <c r="I6" s="1">
        <v>2.5</v>
      </c>
      <c r="J6" s="1">
        <v>1</v>
      </c>
      <c r="K6" s="1">
        <f t="shared" si="0"/>
        <v>5.5901699437494745</v>
      </c>
      <c r="L6" s="1">
        <f t="shared" si="1"/>
        <v>1.5</v>
      </c>
      <c r="M6" s="1">
        <f t="shared" si="2"/>
        <v>1.5</v>
      </c>
      <c r="N6" s="1" t="str">
        <f t="shared" si="3"/>
        <v>Tidak Layak</v>
      </c>
    </row>
    <row r="7" spans="1:15" x14ac:dyDescent="0.35">
      <c r="A7" s="2">
        <v>5</v>
      </c>
      <c r="B7" s="1">
        <v>7.5</v>
      </c>
      <c r="C7" s="1">
        <v>2.5</v>
      </c>
      <c r="D7" s="1">
        <v>2.5</v>
      </c>
      <c r="E7" s="1">
        <v>2.5</v>
      </c>
      <c r="F7" s="1">
        <v>2.5</v>
      </c>
      <c r="G7" s="1">
        <v>2.5</v>
      </c>
      <c r="H7" s="1">
        <v>2.5</v>
      </c>
      <c r="I7" s="1">
        <v>2.5</v>
      </c>
      <c r="J7" s="1">
        <v>1</v>
      </c>
      <c r="K7" s="1">
        <f t="shared" si="0"/>
        <v>5.2201532544552753</v>
      </c>
      <c r="L7" s="1">
        <f t="shared" si="1"/>
        <v>3.2787192621510002</v>
      </c>
      <c r="M7" s="1">
        <f t="shared" si="2"/>
        <v>3.2787192621510002</v>
      </c>
      <c r="N7" s="1" t="str">
        <f t="shared" si="3"/>
        <v>Tidak Layak</v>
      </c>
    </row>
    <row r="9" spans="1:15" x14ac:dyDescent="0.35">
      <c r="A9" s="3" t="s">
        <v>14</v>
      </c>
      <c r="N9">
        <f>COUNTIF($N$4:$N$7,$N$5)</f>
        <v>1</v>
      </c>
    </row>
    <row r="10" spans="1:15" x14ac:dyDescent="0.35">
      <c r="A10" s="3" t="s">
        <v>15</v>
      </c>
      <c r="B10" s="3">
        <f>A5</f>
        <v>5</v>
      </c>
      <c r="C10" s="3">
        <f t="shared" ref="C10:I10" si="4">B5</f>
        <v>7.5</v>
      </c>
      <c r="D10" s="3">
        <f>C5</f>
        <v>2.5</v>
      </c>
      <c r="E10" s="3">
        <f t="shared" si="4"/>
        <v>2.5</v>
      </c>
      <c r="F10" s="3">
        <f t="shared" si="4"/>
        <v>2.5</v>
      </c>
      <c r="G10" s="3">
        <f t="shared" si="4"/>
        <v>7.5</v>
      </c>
      <c r="H10" s="3">
        <f t="shared" si="4"/>
        <v>1</v>
      </c>
      <c r="I10" s="3">
        <f t="shared" si="4"/>
        <v>2.5</v>
      </c>
      <c r="J10" s="3">
        <f>I5</f>
        <v>2.5</v>
      </c>
      <c r="K10" s="3">
        <f>J5</f>
        <v>1</v>
      </c>
      <c r="N10">
        <f>COUNTIF($N$4:$N$7,$N$7)</f>
        <v>3</v>
      </c>
    </row>
    <row r="11" spans="1:15" x14ac:dyDescent="0.35">
      <c r="A11" s="3" t="s">
        <v>16</v>
      </c>
      <c r="B11" s="3">
        <f>A6</f>
        <v>2.5</v>
      </c>
      <c r="C11" s="3">
        <f t="shared" ref="C11:K11" si="5">B6</f>
        <v>7.5</v>
      </c>
      <c r="D11" s="3">
        <f t="shared" si="5"/>
        <v>2.5</v>
      </c>
      <c r="E11" s="3">
        <f t="shared" si="5"/>
        <v>2.5</v>
      </c>
      <c r="F11" s="3">
        <f t="shared" si="5"/>
        <v>2.5</v>
      </c>
      <c r="G11" s="3">
        <f t="shared" si="5"/>
        <v>2.5</v>
      </c>
      <c r="H11" s="3">
        <f t="shared" si="5"/>
        <v>1</v>
      </c>
      <c r="I11" s="3">
        <f t="shared" si="5"/>
        <v>2.5</v>
      </c>
      <c r="J11" s="3">
        <f t="shared" si="5"/>
        <v>2.5</v>
      </c>
      <c r="K11" s="3">
        <f t="shared" si="5"/>
        <v>1</v>
      </c>
    </row>
    <row r="13" spans="1:15" ht="58" x14ac:dyDescent="0.35">
      <c r="A13" s="4" t="s">
        <v>0</v>
      </c>
      <c r="B13" s="5" t="s">
        <v>1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6" t="s">
        <v>9</v>
      </c>
      <c r="K13" s="6" t="s">
        <v>10</v>
      </c>
      <c r="L13" s="6" t="s">
        <v>11</v>
      </c>
      <c r="M13" s="6" t="s">
        <v>12</v>
      </c>
      <c r="N13" s="5" t="s">
        <v>13</v>
      </c>
      <c r="O13" s="9" t="s">
        <v>21</v>
      </c>
    </row>
    <row r="14" spans="1:15" x14ac:dyDescent="0.35">
      <c r="A14" s="2">
        <v>5</v>
      </c>
      <c r="B14" s="1">
        <v>7.5</v>
      </c>
      <c r="C14" s="1">
        <v>2.5</v>
      </c>
      <c r="D14" s="1">
        <v>2.5</v>
      </c>
      <c r="E14" s="1">
        <v>2.5</v>
      </c>
      <c r="F14" s="1">
        <v>2.5</v>
      </c>
      <c r="G14" s="1">
        <v>2.5</v>
      </c>
      <c r="H14" s="1">
        <v>2.5</v>
      </c>
      <c r="I14" s="1">
        <v>2.5</v>
      </c>
      <c r="J14" s="1">
        <v>1</v>
      </c>
      <c r="K14" s="1">
        <f>SQRT(((A14-$B$21)^2)+((B14-$C$21)^2)+((C14-$D$21)^2)+((D14-$E$21)^2)+((E14-$F$21)^2)+((F14-$G$21)^2)+((G14-$H$21)^2)+((H14-$I$21)^2)+((I14-$J$21)^2)+((J14-$K$21)^2))</f>
        <v>5.2201532544552753</v>
      </c>
      <c r="L14" s="1">
        <f>SQRT(((A14-$B$22)^2)+((B14-$C$22)^2)+((C14-$D$22)^2)+((D14-$E$22)^2)+((E14-$F$22)^2)+((F14-$G$22)^2)+((G14-$H$22)^2)+((H14-$I$22)^2)+((I14-$J$22)^2)+((J14-$K$22)^2))</f>
        <v>0.97182531580754983</v>
      </c>
      <c r="M14" s="1">
        <f>MIN(K14:L14)</f>
        <v>0.97182531580754983</v>
      </c>
      <c r="N14" s="1" t="str">
        <f>IF(K14&lt;L14,"Layak","Tidak Layak")</f>
        <v>Tidak Layak</v>
      </c>
      <c r="O14" s="1" t="s">
        <v>25</v>
      </c>
    </row>
    <row r="15" spans="1:15" x14ac:dyDescent="0.35">
      <c r="A15" s="2">
        <v>5</v>
      </c>
      <c r="B15" s="1">
        <v>7.5</v>
      </c>
      <c r="C15" s="1">
        <v>2.5</v>
      </c>
      <c r="D15" s="1">
        <v>2.5</v>
      </c>
      <c r="E15" s="1">
        <v>2.5</v>
      </c>
      <c r="F15" s="1">
        <v>7.5</v>
      </c>
      <c r="G15" s="1">
        <v>1</v>
      </c>
      <c r="H15" s="1">
        <v>2.5</v>
      </c>
      <c r="I15" s="1">
        <v>2.5</v>
      </c>
      <c r="J15" s="1">
        <v>1</v>
      </c>
      <c r="K15" s="1">
        <f t="shared" ref="K15:K17" si="6">SQRT(((A15-$B$10)^2)+((B15-$C$10)^2)+((C15-$D$10)^2)+((D15-$E$10)^2)+((E15-$F$10)^2)+((F15-$G$10)^2)+((G15-$H$10)^2)+((H15-$I$10)^2)+((I15-$J$10)^2)+((J15-$K$10)^2))</f>
        <v>0</v>
      </c>
      <c r="L15" s="1">
        <f t="shared" ref="L15:L17" si="7">SQRT(((A15-$B$22)^2)+((B15-$C$22)^2)+((C15-$D$22)^2)+((D15-$E$22)^2)+((E15-$F$22)^2)+((F15-$G$22)^2)+((G15-$H$22)^2)+((H15-$I$22)^2)+((I15-$J$22)^2)+((J15-$K$22)^2))</f>
        <v>5.1666666666666661</v>
      </c>
      <c r="M15" s="1">
        <f t="shared" ref="M15:M17" si="8">MIN(K15:L15)</f>
        <v>0</v>
      </c>
      <c r="N15" s="1" t="str">
        <f t="shared" ref="N15:N17" si="9">IF(K15&lt;L15,"Layak","Tidak Layak")</f>
        <v>Layak</v>
      </c>
      <c r="O15" s="1" t="s">
        <v>25</v>
      </c>
    </row>
    <row r="16" spans="1:15" x14ac:dyDescent="0.35">
      <c r="A16" s="1">
        <v>2.5</v>
      </c>
      <c r="B16" s="1">
        <v>7.5</v>
      </c>
      <c r="C16" s="1">
        <v>2.5</v>
      </c>
      <c r="D16" s="1">
        <v>2.5</v>
      </c>
      <c r="E16" s="1">
        <v>2.5</v>
      </c>
      <c r="F16" s="1">
        <v>2.5</v>
      </c>
      <c r="G16" s="1">
        <v>1</v>
      </c>
      <c r="H16" s="1">
        <v>2.5</v>
      </c>
      <c r="I16" s="1">
        <v>2.5</v>
      </c>
      <c r="J16" s="1">
        <v>1</v>
      </c>
      <c r="K16" s="1">
        <f t="shared" si="6"/>
        <v>5.5901699437494745</v>
      </c>
      <c r="L16" s="1">
        <f t="shared" si="7"/>
        <v>1.9436506316151003</v>
      </c>
      <c r="M16" s="1">
        <f t="shared" si="8"/>
        <v>1.9436506316151003</v>
      </c>
      <c r="N16" s="1" t="str">
        <f t="shared" si="9"/>
        <v>Tidak Layak</v>
      </c>
      <c r="O16" s="1" t="s">
        <v>25</v>
      </c>
    </row>
    <row r="17" spans="1:16" x14ac:dyDescent="0.35">
      <c r="A17" s="2">
        <v>5</v>
      </c>
      <c r="B17" s="1">
        <v>7.5</v>
      </c>
      <c r="C17" s="1">
        <v>2.5</v>
      </c>
      <c r="D17" s="1">
        <v>2.5</v>
      </c>
      <c r="E17" s="1">
        <v>2.5</v>
      </c>
      <c r="F17" s="1">
        <v>2.5</v>
      </c>
      <c r="G17" s="1">
        <v>2.5</v>
      </c>
      <c r="H17" s="1">
        <v>2.5</v>
      </c>
      <c r="I17" s="1">
        <v>2.5</v>
      </c>
      <c r="J17" s="1">
        <v>1</v>
      </c>
      <c r="K17" s="1">
        <f t="shared" si="6"/>
        <v>5.2201532544552753</v>
      </c>
      <c r="L17" s="1">
        <f t="shared" si="7"/>
        <v>0.97182531580754983</v>
      </c>
      <c r="M17" s="1">
        <f t="shared" si="8"/>
        <v>0.97182531580754983</v>
      </c>
      <c r="N17" s="1" t="str">
        <f t="shared" si="9"/>
        <v>Tidak Layak</v>
      </c>
      <c r="O17" s="1" t="s">
        <v>25</v>
      </c>
    </row>
    <row r="20" spans="1:16" x14ac:dyDescent="0.35">
      <c r="A20" s="3" t="s">
        <v>17</v>
      </c>
    </row>
    <row r="21" spans="1:16" x14ac:dyDescent="0.35">
      <c r="A21" s="3" t="s">
        <v>18</v>
      </c>
      <c r="B21" s="3">
        <f>(SUMIF($N$4:$N$7,$N$5,A$4:A$7))/1</f>
        <v>5</v>
      </c>
      <c r="C21" s="3">
        <f t="shared" ref="C21:K21" si="10">(SUMIF($N$4:$N$7,$N$5,B$4:B$7))/1</f>
        <v>7.5</v>
      </c>
      <c r="D21" s="3">
        <f t="shared" si="10"/>
        <v>2.5</v>
      </c>
      <c r="E21" s="3">
        <f t="shared" si="10"/>
        <v>2.5</v>
      </c>
      <c r="F21" s="3">
        <f t="shared" si="10"/>
        <v>2.5</v>
      </c>
      <c r="G21" s="3">
        <f t="shared" si="10"/>
        <v>7.5</v>
      </c>
      <c r="H21" s="3">
        <f t="shared" si="10"/>
        <v>1</v>
      </c>
      <c r="I21" s="3">
        <f t="shared" si="10"/>
        <v>2.5</v>
      </c>
      <c r="J21" s="3">
        <f t="shared" si="10"/>
        <v>2.5</v>
      </c>
      <c r="K21" s="3">
        <f t="shared" si="10"/>
        <v>1</v>
      </c>
      <c r="N21" t="s">
        <v>26</v>
      </c>
    </row>
    <row r="22" spans="1:16" x14ac:dyDescent="0.35">
      <c r="A22" s="3" t="s">
        <v>19</v>
      </c>
      <c r="B22" s="7">
        <f>(SUMIF($N$4:$N$7,$N$6,A$4:A$7))/3</f>
        <v>4.166666666666667</v>
      </c>
      <c r="C22" s="3">
        <f t="shared" ref="C22:K22" si="11">(SUMIF($N$4:$N$7,$N$6,B$4:B$7))/3</f>
        <v>7.5</v>
      </c>
      <c r="D22" s="3">
        <f t="shared" si="11"/>
        <v>2.5</v>
      </c>
      <c r="E22" s="3">
        <f t="shared" si="11"/>
        <v>2.5</v>
      </c>
      <c r="F22" s="3">
        <f t="shared" si="11"/>
        <v>2.5</v>
      </c>
      <c r="G22" s="3">
        <f t="shared" si="11"/>
        <v>2.5</v>
      </c>
      <c r="H22" s="3">
        <f t="shared" si="11"/>
        <v>2</v>
      </c>
      <c r="I22" s="3">
        <f t="shared" si="11"/>
        <v>2.5</v>
      </c>
      <c r="J22" s="3">
        <f t="shared" si="11"/>
        <v>2.5</v>
      </c>
      <c r="K22" s="3">
        <f t="shared" si="11"/>
        <v>1</v>
      </c>
      <c r="N22" s="1"/>
      <c r="O22" s="10" t="s">
        <v>24</v>
      </c>
      <c r="P22" s="10"/>
    </row>
    <row r="23" spans="1:16" x14ac:dyDescent="0.35">
      <c r="N23" s="1" t="s">
        <v>23</v>
      </c>
      <c r="O23" s="1" t="s">
        <v>22</v>
      </c>
      <c r="P23" s="1" t="s">
        <v>25</v>
      </c>
    </row>
    <row r="24" spans="1:16" x14ac:dyDescent="0.35">
      <c r="N24" s="1" t="s">
        <v>22</v>
      </c>
      <c r="O24" s="1">
        <f>COUNTIFS($O$14:$O$17,$O$23,$N$14:$N$17,$N$24)</f>
        <v>0</v>
      </c>
      <c r="P24" s="1">
        <f>COUNTIFS($O$14:$O$17,$P$23,$N$14:$N$17,$N$24)</f>
        <v>1</v>
      </c>
    </row>
    <row r="25" spans="1:16" x14ac:dyDescent="0.35">
      <c r="N25" s="1" t="s">
        <v>25</v>
      </c>
      <c r="O25" s="1">
        <f>COUNTIFS($O$14:$O$17,$O$23,$N$14:$N$17,$N$25)</f>
        <v>0</v>
      </c>
      <c r="P25" s="1">
        <f>COUNTIFS($O$14:$O$17,$P$23,$N$14:$N$17,$N$25)</f>
        <v>3</v>
      </c>
    </row>
    <row r="27" spans="1:16" x14ac:dyDescent="0.35">
      <c r="N27" t="s">
        <v>27</v>
      </c>
      <c r="O27" s="11">
        <f>((O24+P25)/(O24+P25+P24+O25))*100%</f>
        <v>0.75</v>
      </c>
    </row>
  </sheetData>
  <mergeCells count="2">
    <mergeCell ref="A1:N1"/>
    <mergeCell ref="O22:P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2022-02-05T07:09:30Z</dcterms:created>
  <dcterms:modified xsi:type="dcterms:W3CDTF">2022-02-05T08:48:04Z</dcterms:modified>
</cp:coreProperties>
</file>