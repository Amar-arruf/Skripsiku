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ku\bahan\"/>
    </mc:Choice>
  </mc:AlternateContent>
  <xr:revisionPtr revIDLastSave="0" documentId="13_ncr:1_{3562E00B-C05E-4C85-AF2E-68BEDBEA1A69}" xr6:coauthVersionLast="47" xr6:coauthVersionMax="47" xr10:uidLastSave="{00000000-0000-0000-0000-000000000000}"/>
  <bookViews>
    <workbookView xWindow="-110" yWindow="-110" windowWidth="19420" windowHeight="10300" activeTab="4" xr2:uid="{67D50CDA-FFCB-4CFB-980E-EB1C34F99548}"/>
  </bookViews>
  <sheets>
    <sheet name="dataset" sheetId="1" r:id="rId1"/>
    <sheet name="Penghasilan" sheetId="3" r:id="rId2"/>
    <sheet name="B.kriteria &amp; R.kecocokan" sheetId="2" r:id="rId3"/>
    <sheet name="t data &amp;hitung c4.5" sheetId="5" state="hidden" r:id="rId4"/>
    <sheet name="hitung c4.5 2" sheetId="10" r:id="rId5"/>
    <sheet name="data uji" sheetId="9" state="hidden" r:id="rId6"/>
    <sheet name="t.data &amp; p. k - means" sheetId="8" r:id="rId7"/>
  </sheets>
  <definedNames>
    <definedName name="_xlnm._FilterDatabase" localSheetId="3" hidden="1">'t data &amp;hitung c4.5'!$A$3:$O$96</definedName>
    <definedName name="_xlnm._FilterDatabase" localSheetId="6" hidden="1">'t.data &amp; p. k - means'!$A$325:$AB$418</definedName>
    <definedName name="_xlnm.Print_Area" localSheetId="0">dataset!$A$2:$N$104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8" l="1"/>
  <c r="AB38" i="10"/>
  <c r="AB37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G638" i="8"/>
  <c r="G637" i="8"/>
  <c r="AR13" i="9"/>
  <c r="AR16" i="9"/>
  <c r="AR11" i="9"/>
  <c r="AR12" i="9"/>
  <c r="AR14" i="9"/>
  <c r="AR15" i="9"/>
  <c r="AR10" i="9"/>
  <c r="AR9" i="9"/>
  <c r="AR8" i="9"/>
  <c r="AR7" i="9"/>
  <c r="V338" i="10"/>
  <c r="V333" i="10"/>
  <c r="V329" i="10"/>
  <c r="V325" i="10"/>
  <c r="V321" i="10"/>
  <c r="V317" i="10"/>
  <c r="V314" i="10"/>
  <c r="V313" i="10"/>
  <c r="N310" i="10"/>
  <c r="M310" i="10"/>
  <c r="L310" i="10"/>
  <c r="K310" i="10"/>
  <c r="J310" i="10"/>
  <c r="I310" i="10"/>
  <c r="H310" i="10"/>
  <c r="G310" i="10"/>
  <c r="F310" i="10"/>
  <c r="E310" i="10"/>
  <c r="B310" i="10"/>
  <c r="N309" i="10"/>
  <c r="M309" i="10"/>
  <c r="L309" i="10"/>
  <c r="K309" i="10"/>
  <c r="J309" i="10"/>
  <c r="I309" i="10"/>
  <c r="H309" i="10"/>
  <c r="G309" i="10"/>
  <c r="F309" i="10"/>
  <c r="E309" i="10"/>
  <c r="B309" i="10"/>
  <c r="N308" i="10"/>
  <c r="M308" i="10"/>
  <c r="L308" i="10"/>
  <c r="K308" i="10"/>
  <c r="J308" i="10"/>
  <c r="I308" i="10"/>
  <c r="H308" i="10"/>
  <c r="G308" i="10"/>
  <c r="F308" i="10"/>
  <c r="E308" i="10"/>
  <c r="B308" i="10"/>
  <c r="N307" i="10"/>
  <c r="M307" i="10"/>
  <c r="L307" i="10"/>
  <c r="K307" i="10"/>
  <c r="J307" i="10"/>
  <c r="I307" i="10"/>
  <c r="H307" i="10"/>
  <c r="G307" i="10"/>
  <c r="F307" i="10"/>
  <c r="E307" i="10"/>
  <c r="B307" i="10"/>
  <c r="N306" i="10"/>
  <c r="M306" i="10"/>
  <c r="L306" i="10"/>
  <c r="K306" i="10"/>
  <c r="J306" i="10"/>
  <c r="I306" i="10"/>
  <c r="H306" i="10"/>
  <c r="G306" i="10"/>
  <c r="F306" i="10"/>
  <c r="E306" i="10"/>
  <c r="B306" i="10"/>
  <c r="N305" i="10"/>
  <c r="M305" i="10"/>
  <c r="L305" i="10"/>
  <c r="K305" i="10"/>
  <c r="J305" i="10"/>
  <c r="I305" i="10"/>
  <c r="H305" i="10"/>
  <c r="G305" i="10"/>
  <c r="F305" i="10"/>
  <c r="E305" i="10"/>
  <c r="B305" i="10"/>
  <c r="N304" i="10"/>
  <c r="M304" i="10"/>
  <c r="L304" i="10"/>
  <c r="K304" i="10"/>
  <c r="J304" i="10"/>
  <c r="I304" i="10"/>
  <c r="H304" i="10"/>
  <c r="G304" i="10"/>
  <c r="F304" i="10"/>
  <c r="E304" i="10"/>
  <c r="B304" i="10"/>
  <c r="N303" i="10"/>
  <c r="M303" i="10"/>
  <c r="L303" i="10"/>
  <c r="K303" i="10"/>
  <c r="J303" i="10"/>
  <c r="I303" i="10"/>
  <c r="H303" i="10"/>
  <c r="G303" i="10"/>
  <c r="F303" i="10"/>
  <c r="E303" i="10"/>
  <c r="B303" i="10"/>
  <c r="N302" i="10"/>
  <c r="M302" i="10"/>
  <c r="L302" i="10"/>
  <c r="K302" i="10"/>
  <c r="J302" i="10"/>
  <c r="I302" i="10"/>
  <c r="H302" i="10"/>
  <c r="G302" i="10"/>
  <c r="F302" i="10"/>
  <c r="E302" i="10"/>
  <c r="B302" i="10"/>
  <c r="N301" i="10"/>
  <c r="M301" i="10"/>
  <c r="L301" i="10"/>
  <c r="K301" i="10"/>
  <c r="J301" i="10"/>
  <c r="I301" i="10"/>
  <c r="H301" i="10"/>
  <c r="G301" i="10"/>
  <c r="F301" i="10"/>
  <c r="E301" i="10"/>
  <c r="B301" i="10"/>
  <c r="N300" i="10"/>
  <c r="M300" i="10"/>
  <c r="L300" i="10"/>
  <c r="K300" i="10"/>
  <c r="J300" i="10"/>
  <c r="I300" i="10"/>
  <c r="H300" i="10"/>
  <c r="G300" i="10"/>
  <c r="F300" i="10"/>
  <c r="E300" i="10"/>
  <c r="B300" i="10"/>
  <c r="V299" i="10"/>
  <c r="N299" i="10"/>
  <c r="M299" i="10"/>
  <c r="L299" i="10"/>
  <c r="K299" i="10"/>
  <c r="J299" i="10"/>
  <c r="I299" i="10"/>
  <c r="H299" i="10"/>
  <c r="G299" i="10"/>
  <c r="F299" i="10"/>
  <c r="E299" i="10"/>
  <c r="B299" i="10"/>
  <c r="V298" i="10"/>
  <c r="N298" i="10"/>
  <c r="M298" i="10"/>
  <c r="L298" i="10"/>
  <c r="K298" i="10"/>
  <c r="J298" i="10"/>
  <c r="I298" i="10"/>
  <c r="H298" i="10"/>
  <c r="G298" i="10"/>
  <c r="F298" i="10"/>
  <c r="E298" i="10"/>
  <c r="B298" i="10"/>
  <c r="V297" i="10"/>
  <c r="N297" i="10"/>
  <c r="M297" i="10"/>
  <c r="L297" i="10"/>
  <c r="K297" i="10"/>
  <c r="J297" i="10"/>
  <c r="I297" i="10"/>
  <c r="H297" i="10"/>
  <c r="G297" i="10"/>
  <c r="F297" i="10"/>
  <c r="E297" i="10"/>
  <c r="B297" i="10"/>
  <c r="V296" i="10"/>
  <c r="N296" i="10"/>
  <c r="M296" i="10"/>
  <c r="L296" i="10"/>
  <c r="K296" i="10"/>
  <c r="J296" i="10"/>
  <c r="I296" i="10"/>
  <c r="H296" i="10"/>
  <c r="G296" i="10"/>
  <c r="F296" i="10"/>
  <c r="E296" i="10"/>
  <c r="B296" i="10"/>
  <c r="V295" i="10"/>
  <c r="N295" i="10"/>
  <c r="M295" i="10"/>
  <c r="L295" i="10"/>
  <c r="K295" i="10"/>
  <c r="J295" i="10"/>
  <c r="I295" i="10"/>
  <c r="H295" i="10"/>
  <c r="G295" i="10"/>
  <c r="F295" i="10"/>
  <c r="E295" i="10"/>
  <c r="B295" i="10"/>
  <c r="V294" i="10"/>
  <c r="N294" i="10"/>
  <c r="M294" i="10"/>
  <c r="L294" i="10"/>
  <c r="K294" i="10"/>
  <c r="J294" i="10"/>
  <c r="I294" i="10"/>
  <c r="H294" i="10"/>
  <c r="G294" i="10"/>
  <c r="F294" i="10"/>
  <c r="E294" i="10"/>
  <c r="B294" i="10"/>
  <c r="V293" i="10"/>
  <c r="N293" i="10"/>
  <c r="M293" i="10"/>
  <c r="L293" i="10"/>
  <c r="K293" i="10"/>
  <c r="J293" i="10"/>
  <c r="I293" i="10"/>
  <c r="H293" i="10"/>
  <c r="G293" i="10"/>
  <c r="F293" i="10"/>
  <c r="E293" i="10"/>
  <c r="B293" i="10"/>
  <c r="V292" i="10"/>
  <c r="N292" i="10"/>
  <c r="M292" i="10"/>
  <c r="L292" i="10"/>
  <c r="K292" i="10"/>
  <c r="J292" i="10"/>
  <c r="I292" i="10"/>
  <c r="H292" i="10"/>
  <c r="G292" i="10"/>
  <c r="F292" i="10"/>
  <c r="E292" i="10"/>
  <c r="B292" i="10"/>
  <c r="V291" i="10"/>
  <c r="N291" i="10"/>
  <c r="M291" i="10"/>
  <c r="L291" i="10"/>
  <c r="K291" i="10"/>
  <c r="J291" i="10"/>
  <c r="I291" i="10"/>
  <c r="H291" i="10"/>
  <c r="G291" i="10"/>
  <c r="F291" i="10"/>
  <c r="E291" i="10"/>
  <c r="B291" i="10"/>
  <c r="V290" i="10"/>
  <c r="N290" i="10"/>
  <c r="M290" i="10"/>
  <c r="L290" i="10"/>
  <c r="K290" i="10"/>
  <c r="J290" i="10"/>
  <c r="I290" i="10"/>
  <c r="H290" i="10"/>
  <c r="G290" i="10"/>
  <c r="F290" i="10"/>
  <c r="E290" i="10"/>
  <c r="B290" i="10"/>
  <c r="V289" i="10"/>
  <c r="N289" i="10"/>
  <c r="M289" i="10"/>
  <c r="L289" i="10"/>
  <c r="K289" i="10"/>
  <c r="J289" i="10"/>
  <c r="I289" i="10"/>
  <c r="H289" i="10"/>
  <c r="G289" i="10"/>
  <c r="F289" i="10"/>
  <c r="E289" i="10"/>
  <c r="B289" i="10"/>
  <c r="V288" i="10"/>
  <c r="N288" i="10"/>
  <c r="M288" i="10"/>
  <c r="L288" i="10"/>
  <c r="K288" i="10"/>
  <c r="J288" i="10"/>
  <c r="I288" i="10"/>
  <c r="H288" i="10"/>
  <c r="G288" i="10"/>
  <c r="F288" i="10"/>
  <c r="E288" i="10"/>
  <c r="B288" i="10"/>
  <c r="V287" i="10"/>
  <c r="N287" i="10"/>
  <c r="M287" i="10"/>
  <c r="L287" i="10"/>
  <c r="K287" i="10"/>
  <c r="J287" i="10"/>
  <c r="I287" i="10"/>
  <c r="H287" i="10"/>
  <c r="G287" i="10"/>
  <c r="F287" i="10"/>
  <c r="E287" i="10"/>
  <c r="B287" i="10"/>
  <c r="V286" i="10"/>
  <c r="N286" i="10"/>
  <c r="M286" i="10"/>
  <c r="L286" i="10"/>
  <c r="K286" i="10"/>
  <c r="J286" i="10"/>
  <c r="I286" i="10"/>
  <c r="H286" i="10"/>
  <c r="G286" i="10"/>
  <c r="F286" i="10"/>
  <c r="E286" i="10"/>
  <c r="B286" i="10"/>
  <c r="V285" i="10"/>
  <c r="N285" i="10"/>
  <c r="M285" i="10"/>
  <c r="L285" i="10"/>
  <c r="K285" i="10"/>
  <c r="J285" i="10"/>
  <c r="I285" i="10"/>
  <c r="H285" i="10"/>
  <c r="G285" i="10"/>
  <c r="F285" i="10"/>
  <c r="E285" i="10"/>
  <c r="B285" i="10"/>
  <c r="V284" i="10"/>
  <c r="N284" i="10"/>
  <c r="M284" i="10"/>
  <c r="L284" i="10"/>
  <c r="K284" i="10"/>
  <c r="J284" i="10"/>
  <c r="I284" i="10"/>
  <c r="H284" i="10"/>
  <c r="G284" i="10"/>
  <c r="F284" i="10"/>
  <c r="E284" i="10"/>
  <c r="B284" i="10"/>
  <c r="V283" i="10"/>
  <c r="N283" i="10"/>
  <c r="M283" i="10"/>
  <c r="L283" i="10"/>
  <c r="K283" i="10"/>
  <c r="J283" i="10"/>
  <c r="I283" i="10"/>
  <c r="H283" i="10"/>
  <c r="G283" i="10"/>
  <c r="F283" i="10"/>
  <c r="E283" i="10"/>
  <c r="B283" i="10"/>
  <c r="V282" i="10"/>
  <c r="N282" i="10"/>
  <c r="M282" i="10"/>
  <c r="L282" i="10"/>
  <c r="K282" i="10"/>
  <c r="J282" i="10"/>
  <c r="I282" i="10"/>
  <c r="H282" i="10"/>
  <c r="G282" i="10"/>
  <c r="F282" i="10"/>
  <c r="E282" i="10"/>
  <c r="B282" i="10"/>
  <c r="V281" i="10"/>
  <c r="N281" i="10"/>
  <c r="M281" i="10"/>
  <c r="L281" i="10"/>
  <c r="K281" i="10"/>
  <c r="J281" i="10"/>
  <c r="I281" i="10"/>
  <c r="H281" i="10"/>
  <c r="G281" i="10"/>
  <c r="F281" i="10"/>
  <c r="E281" i="10"/>
  <c r="B281" i="10"/>
  <c r="V280" i="10"/>
  <c r="N280" i="10"/>
  <c r="M280" i="10"/>
  <c r="L280" i="10"/>
  <c r="K280" i="10"/>
  <c r="J280" i="10"/>
  <c r="I280" i="10"/>
  <c r="H280" i="10"/>
  <c r="G280" i="10"/>
  <c r="F280" i="10"/>
  <c r="E280" i="10"/>
  <c r="B280" i="10"/>
  <c r="V279" i="10"/>
  <c r="N279" i="10"/>
  <c r="M279" i="10"/>
  <c r="L279" i="10"/>
  <c r="K279" i="10"/>
  <c r="J279" i="10"/>
  <c r="I279" i="10"/>
  <c r="H279" i="10"/>
  <c r="G279" i="10"/>
  <c r="F279" i="10"/>
  <c r="E279" i="10"/>
  <c r="B279" i="10"/>
  <c r="V278" i="10"/>
  <c r="N278" i="10"/>
  <c r="M278" i="10"/>
  <c r="L278" i="10"/>
  <c r="K278" i="10"/>
  <c r="J278" i="10"/>
  <c r="I278" i="10"/>
  <c r="H278" i="10"/>
  <c r="G278" i="10"/>
  <c r="F278" i="10"/>
  <c r="E278" i="10"/>
  <c r="B278" i="10"/>
  <c r="V277" i="10"/>
  <c r="N277" i="10"/>
  <c r="M277" i="10"/>
  <c r="L277" i="10"/>
  <c r="K277" i="10"/>
  <c r="J277" i="10"/>
  <c r="I277" i="10"/>
  <c r="H277" i="10"/>
  <c r="G277" i="10"/>
  <c r="F277" i="10"/>
  <c r="E277" i="10"/>
  <c r="B277" i="10"/>
  <c r="V276" i="10"/>
  <c r="N276" i="10"/>
  <c r="M276" i="10"/>
  <c r="L276" i="10"/>
  <c r="K276" i="10"/>
  <c r="J276" i="10"/>
  <c r="I276" i="10"/>
  <c r="H276" i="10"/>
  <c r="G276" i="10"/>
  <c r="F276" i="10"/>
  <c r="E276" i="10"/>
  <c r="B276" i="10"/>
  <c r="V275" i="10"/>
  <c r="N275" i="10"/>
  <c r="M275" i="10"/>
  <c r="L275" i="10"/>
  <c r="K275" i="10"/>
  <c r="J275" i="10"/>
  <c r="I275" i="10"/>
  <c r="H275" i="10"/>
  <c r="G275" i="10"/>
  <c r="F275" i="10"/>
  <c r="E275" i="10"/>
  <c r="B275" i="10"/>
  <c r="V274" i="10"/>
  <c r="N274" i="10"/>
  <c r="M274" i="10"/>
  <c r="L274" i="10"/>
  <c r="K274" i="10"/>
  <c r="J274" i="10"/>
  <c r="I274" i="10"/>
  <c r="H274" i="10"/>
  <c r="G274" i="10"/>
  <c r="F274" i="10"/>
  <c r="E274" i="10"/>
  <c r="B274" i="10"/>
  <c r="V273" i="10"/>
  <c r="N273" i="10"/>
  <c r="M273" i="10"/>
  <c r="L273" i="10"/>
  <c r="K273" i="10"/>
  <c r="J273" i="10"/>
  <c r="I273" i="10"/>
  <c r="H273" i="10"/>
  <c r="G273" i="10"/>
  <c r="F273" i="10"/>
  <c r="E273" i="10"/>
  <c r="B273" i="10"/>
  <c r="V272" i="10"/>
  <c r="N272" i="10"/>
  <c r="M272" i="10"/>
  <c r="L272" i="10"/>
  <c r="K272" i="10"/>
  <c r="J272" i="10"/>
  <c r="I272" i="10"/>
  <c r="H272" i="10"/>
  <c r="G272" i="10"/>
  <c r="F272" i="10"/>
  <c r="E272" i="10"/>
  <c r="B272" i="10"/>
  <c r="V271" i="10"/>
  <c r="N271" i="10"/>
  <c r="M271" i="10"/>
  <c r="L271" i="10"/>
  <c r="K271" i="10"/>
  <c r="J271" i="10"/>
  <c r="I271" i="10"/>
  <c r="H271" i="10"/>
  <c r="G271" i="10"/>
  <c r="F271" i="10"/>
  <c r="E271" i="10"/>
  <c r="B271" i="10"/>
  <c r="V270" i="10"/>
  <c r="N270" i="10"/>
  <c r="M270" i="10"/>
  <c r="L270" i="10"/>
  <c r="K270" i="10"/>
  <c r="J270" i="10"/>
  <c r="I270" i="10"/>
  <c r="H270" i="10"/>
  <c r="G270" i="10"/>
  <c r="F270" i="10"/>
  <c r="E270" i="10"/>
  <c r="B270" i="10"/>
  <c r="V269" i="10"/>
  <c r="N269" i="10"/>
  <c r="M269" i="10"/>
  <c r="L269" i="10"/>
  <c r="K269" i="10"/>
  <c r="J269" i="10"/>
  <c r="I269" i="10"/>
  <c r="H269" i="10"/>
  <c r="G269" i="10"/>
  <c r="F269" i="10"/>
  <c r="E269" i="10"/>
  <c r="B269" i="10"/>
  <c r="V268" i="10"/>
  <c r="N268" i="10"/>
  <c r="M268" i="10"/>
  <c r="L268" i="10"/>
  <c r="K268" i="10"/>
  <c r="J268" i="10"/>
  <c r="I268" i="10"/>
  <c r="H268" i="10"/>
  <c r="G268" i="10"/>
  <c r="F268" i="10"/>
  <c r="E268" i="10"/>
  <c r="B268" i="10"/>
  <c r="V267" i="10"/>
  <c r="N267" i="10"/>
  <c r="M267" i="10"/>
  <c r="L267" i="10"/>
  <c r="K267" i="10"/>
  <c r="J267" i="10"/>
  <c r="I267" i="10"/>
  <c r="H267" i="10"/>
  <c r="G267" i="10"/>
  <c r="F267" i="10"/>
  <c r="E267" i="10"/>
  <c r="B267" i="10"/>
  <c r="V266" i="10"/>
  <c r="N266" i="10"/>
  <c r="M266" i="10"/>
  <c r="L266" i="10"/>
  <c r="K266" i="10"/>
  <c r="J266" i="10"/>
  <c r="I266" i="10"/>
  <c r="H266" i="10"/>
  <c r="G266" i="10"/>
  <c r="F266" i="10"/>
  <c r="E266" i="10"/>
  <c r="B266" i="10"/>
  <c r="V265" i="10"/>
  <c r="N265" i="10"/>
  <c r="M265" i="10"/>
  <c r="L265" i="10"/>
  <c r="K265" i="10"/>
  <c r="J265" i="10"/>
  <c r="I265" i="10"/>
  <c r="H265" i="10"/>
  <c r="G265" i="10"/>
  <c r="F265" i="10"/>
  <c r="E265" i="10"/>
  <c r="B265" i="10"/>
  <c r="V264" i="10"/>
  <c r="N264" i="10"/>
  <c r="M264" i="10"/>
  <c r="L264" i="10"/>
  <c r="K264" i="10"/>
  <c r="J264" i="10"/>
  <c r="I264" i="10"/>
  <c r="H264" i="10"/>
  <c r="G264" i="10"/>
  <c r="F264" i="10"/>
  <c r="E264" i="10"/>
  <c r="B264" i="10"/>
  <c r="V263" i="10"/>
  <c r="N263" i="10"/>
  <c r="M263" i="10"/>
  <c r="L263" i="10"/>
  <c r="K263" i="10"/>
  <c r="J263" i="10"/>
  <c r="I263" i="10"/>
  <c r="H263" i="10"/>
  <c r="G263" i="10"/>
  <c r="F263" i="10"/>
  <c r="E263" i="10"/>
  <c r="B263" i="10"/>
  <c r="V262" i="10"/>
  <c r="N262" i="10"/>
  <c r="M262" i="10"/>
  <c r="L262" i="10"/>
  <c r="K262" i="10"/>
  <c r="J262" i="10"/>
  <c r="I262" i="10"/>
  <c r="H262" i="10"/>
  <c r="G262" i="10"/>
  <c r="F262" i="10"/>
  <c r="E262" i="10"/>
  <c r="B262" i="10"/>
  <c r="V261" i="10"/>
  <c r="N261" i="10"/>
  <c r="M261" i="10"/>
  <c r="L261" i="10"/>
  <c r="K261" i="10"/>
  <c r="J261" i="10"/>
  <c r="I261" i="10"/>
  <c r="H261" i="10"/>
  <c r="G261" i="10"/>
  <c r="F261" i="10"/>
  <c r="E261" i="10"/>
  <c r="B261" i="10"/>
  <c r="V260" i="10"/>
  <c r="N260" i="10"/>
  <c r="M260" i="10"/>
  <c r="L260" i="10"/>
  <c r="K260" i="10"/>
  <c r="J260" i="10"/>
  <c r="I260" i="10"/>
  <c r="H260" i="10"/>
  <c r="G260" i="10"/>
  <c r="F260" i="10"/>
  <c r="E260" i="10"/>
  <c r="B260" i="10"/>
  <c r="V259" i="10"/>
  <c r="N259" i="10"/>
  <c r="M259" i="10"/>
  <c r="L259" i="10"/>
  <c r="K259" i="10"/>
  <c r="J259" i="10"/>
  <c r="I259" i="10"/>
  <c r="H259" i="10"/>
  <c r="G259" i="10"/>
  <c r="F259" i="10"/>
  <c r="E259" i="10"/>
  <c r="B259" i="10"/>
  <c r="V258" i="10"/>
  <c r="N258" i="10"/>
  <c r="M258" i="10"/>
  <c r="L258" i="10"/>
  <c r="K258" i="10"/>
  <c r="J258" i="10"/>
  <c r="I258" i="10"/>
  <c r="H258" i="10"/>
  <c r="G258" i="10"/>
  <c r="F258" i="10"/>
  <c r="E258" i="10"/>
  <c r="V257" i="10"/>
  <c r="N257" i="10"/>
  <c r="M257" i="10"/>
  <c r="L257" i="10"/>
  <c r="K257" i="10"/>
  <c r="J257" i="10"/>
  <c r="I257" i="10"/>
  <c r="H257" i="10"/>
  <c r="G257" i="10"/>
  <c r="F257" i="10"/>
  <c r="E257" i="10"/>
  <c r="V256" i="10"/>
  <c r="N256" i="10"/>
  <c r="M256" i="10"/>
  <c r="L256" i="10"/>
  <c r="K256" i="10"/>
  <c r="J256" i="10"/>
  <c r="I256" i="10"/>
  <c r="H256" i="10"/>
  <c r="G256" i="10"/>
  <c r="F256" i="10"/>
  <c r="E256" i="10"/>
  <c r="V255" i="10"/>
  <c r="N255" i="10"/>
  <c r="M255" i="10"/>
  <c r="L255" i="10"/>
  <c r="K255" i="10"/>
  <c r="J255" i="10"/>
  <c r="I255" i="10"/>
  <c r="H255" i="10"/>
  <c r="G255" i="10"/>
  <c r="F255" i="10"/>
  <c r="E255" i="10"/>
  <c r="V254" i="10"/>
  <c r="N254" i="10"/>
  <c r="M254" i="10"/>
  <c r="L254" i="10"/>
  <c r="K254" i="10"/>
  <c r="J254" i="10"/>
  <c r="I254" i="10"/>
  <c r="H254" i="10"/>
  <c r="G254" i="10"/>
  <c r="F254" i="10"/>
  <c r="E254" i="10"/>
  <c r="V253" i="10"/>
  <c r="N253" i="10"/>
  <c r="M253" i="10"/>
  <c r="L253" i="10"/>
  <c r="K253" i="10"/>
  <c r="J253" i="10"/>
  <c r="I253" i="10"/>
  <c r="H253" i="10"/>
  <c r="G253" i="10"/>
  <c r="F253" i="10"/>
  <c r="E253" i="10"/>
  <c r="V252" i="10"/>
  <c r="N252" i="10"/>
  <c r="M252" i="10"/>
  <c r="L252" i="10"/>
  <c r="K252" i="10"/>
  <c r="J252" i="10"/>
  <c r="I252" i="10"/>
  <c r="H252" i="10"/>
  <c r="G252" i="10"/>
  <c r="F252" i="10"/>
  <c r="E252" i="10"/>
  <c r="V251" i="10"/>
  <c r="N251" i="10"/>
  <c r="M251" i="10"/>
  <c r="L251" i="10"/>
  <c r="K251" i="10"/>
  <c r="J251" i="10"/>
  <c r="I251" i="10"/>
  <c r="H251" i="10"/>
  <c r="G251" i="10"/>
  <c r="F251" i="10"/>
  <c r="E251" i="10"/>
  <c r="V250" i="10"/>
  <c r="N250" i="10"/>
  <c r="M250" i="10"/>
  <c r="L250" i="10"/>
  <c r="K250" i="10"/>
  <c r="J250" i="10"/>
  <c r="I250" i="10"/>
  <c r="H250" i="10"/>
  <c r="G250" i="10"/>
  <c r="F250" i="10"/>
  <c r="E250" i="10"/>
  <c r="V249" i="10"/>
  <c r="N249" i="10"/>
  <c r="M249" i="10"/>
  <c r="L249" i="10"/>
  <c r="K249" i="10"/>
  <c r="J249" i="10"/>
  <c r="I249" i="10"/>
  <c r="H249" i="10"/>
  <c r="G249" i="10"/>
  <c r="F249" i="10"/>
  <c r="E249" i="10"/>
  <c r="V248" i="10"/>
  <c r="N248" i="10"/>
  <c r="M248" i="10"/>
  <c r="L248" i="10"/>
  <c r="K248" i="10"/>
  <c r="J248" i="10"/>
  <c r="I248" i="10"/>
  <c r="H248" i="10"/>
  <c r="G248" i="10"/>
  <c r="F248" i="10"/>
  <c r="E248" i="10"/>
  <c r="V247" i="10"/>
  <c r="N247" i="10"/>
  <c r="M247" i="10"/>
  <c r="L247" i="10"/>
  <c r="K247" i="10"/>
  <c r="J247" i="10"/>
  <c r="I247" i="10"/>
  <c r="H247" i="10"/>
  <c r="G247" i="10"/>
  <c r="F247" i="10"/>
  <c r="E247" i="10"/>
  <c r="V246" i="10"/>
  <c r="N246" i="10"/>
  <c r="M246" i="10"/>
  <c r="L246" i="10"/>
  <c r="K246" i="10"/>
  <c r="J246" i="10"/>
  <c r="I246" i="10"/>
  <c r="H246" i="10"/>
  <c r="G246" i="10"/>
  <c r="F246" i="10"/>
  <c r="E246" i="10"/>
  <c r="N245" i="10"/>
  <c r="M245" i="10"/>
  <c r="L245" i="10"/>
  <c r="K245" i="10"/>
  <c r="J245" i="10"/>
  <c r="I245" i="10"/>
  <c r="H245" i="10"/>
  <c r="G245" i="10"/>
  <c r="F245" i="10"/>
  <c r="E245" i="10"/>
  <c r="N244" i="10"/>
  <c r="M244" i="10"/>
  <c r="L244" i="10"/>
  <c r="K244" i="10"/>
  <c r="J244" i="10"/>
  <c r="I244" i="10"/>
  <c r="H244" i="10"/>
  <c r="G244" i="10"/>
  <c r="F244" i="10"/>
  <c r="E244" i="10"/>
  <c r="N243" i="10"/>
  <c r="M243" i="10"/>
  <c r="L243" i="10"/>
  <c r="K243" i="10"/>
  <c r="J243" i="10"/>
  <c r="I243" i="10"/>
  <c r="H243" i="10"/>
  <c r="G243" i="10"/>
  <c r="F243" i="10"/>
  <c r="E243" i="10"/>
  <c r="N242" i="10"/>
  <c r="M242" i="10"/>
  <c r="L242" i="10"/>
  <c r="K242" i="10"/>
  <c r="J242" i="10"/>
  <c r="I242" i="10"/>
  <c r="H242" i="10"/>
  <c r="G242" i="10"/>
  <c r="F242" i="10"/>
  <c r="E242" i="10"/>
  <c r="N241" i="10"/>
  <c r="M241" i="10"/>
  <c r="L241" i="10"/>
  <c r="K241" i="10"/>
  <c r="J241" i="10"/>
  <c r="I241" i="10"/>
  <c r="H241" i="10"/>
  <c r="G241" i="10"/>
  <c r="F241" i="10"/>
  <c r="E241" i="10"/>
  <c r="N240" i="10"/>
  <c r="M240" i="10"/>
  <c r="L240" i="10"/>
  <c r="K240" i="10"/>
  <c r="J240" i="10"/>
  <c r="I240" i="10"/>
  <c r="H240" i="10"/>
  <c r="G240" i="10"/>
  <c r="F240" i="10"/>
  <c r="E240" i="10"/>
  <c r="N239" i="10"/>
  <c r="M239" i="10"/>
  <c r="L239" i="10"/>
  <c r="K239" i="10"/>
  <c r="J239" i="10"/>
  <c r="I239" i="10"/>
  <c r="H239" i="10"/>
  <c r="G239" i="10"/>
  <c r="F239" i="10"/>
  <c r="E239" i="10"/>
  <c r="N238" i="10"/>
  <c r="M238" i="10"/>
  <c r="L238" i="10"/>
  <c r="K238" i="10"/>
  <c r="J238" i="10"/>
  <c r="I238" i="10"/>
  <c r="H238" i="10"/>
  <c r="G238" i="10"/>
  <c r="F238" i="10"/>
  <c r="E238" i="10"/>
  <c r="N237" i="10"/>
  <c r="M237" i="10"/>
  <c r="L237" i="10"/>
  <c r="K237" i="10"/>
  <c r="J237" i="10"/>
  <c r="I237" i="10"/>
  <c r="H237" i="10"/>
  <c r="G237" i="10"/>
  <c r="F237" i="10"/>
  <c r="E237" i="10"/>
  <c r="N236" i="10"/>
  <c r="M236" i="10"/>
  <c r="L236" i="10"/>
  <c r="K236" i="10"/>
  <c r="J236" i="10"/>
  <c r="I236" i="10"/>
  <c r="H236" i="10"/>
  <c r="G236" i="10"/>
  <c r="F236" i="10"/>
  <c r="E236" i="10"/>
  <c r="N235" i="10"/>
  <c r="M235" i="10"/>
  <c r="L235" i="10"/>
  <c r="K235" i="10"/>
  <c r="J235" i="10"/>
  <c r="I235" i="10"/>
  <c r="H235" i="10"/>
  <c r="G235" i="10"/>
  <c r="F235" i="10"/>
  <c r="E235" i="10"/>
  <c r="N234" i="10"/>
  <c r="M234" i="10"/>
  <c r="L234" i="10"/>
  <c r="K234" i="10"/>
  <c r="J234" i="10"/>
  <c r="I234" i="10"/>
  <c r="H234" i="10"/>
  <c r="G234" i="10"/>
  <c r="F234" i="10"/>
  <c r="E234" i="10"/>
  <c r="N233" i="10"/>
  <c r="M233" i="10"/>
  <c r="L233" i="10"/>
  <c r="K233" i="10"/>
  <c r="J233" i="10"/>
  <c r="I233" i="10"/>
  <c r="H233" i="10"/>
  <c r="G233" i="10"/>
  <c r="F233" i="10"/>
  <c r="E233" i="10"/>
  <c r="N232" i="10"/>
  <c r="M232" i="10"/>
  <c r="L232" i="10"/>
  <c r="K232" i="10"/>
  <c r="J232" i="10"/>
  <c r="I232" i="10"/>
  <c r="H232" i="10"/>
  <c r="G232" i="10"/>
  <c r="F232" i="10"/>
  <c r="E232" i="10"/>
  <c r="N231" i="10"/>
  <c r="M231" i="10"/>
  <c r="L231" i="10"/>
  <c r="K231" i="10"/>
  <c r="J231" i="10"/>
  <c r="I231" i="10"/>
  <c r="H231" i="10"/>
  <c r="G231" i="10"/>
  <c r="F231" i="10"/>
  <c r="E231" i="10"/>
  <c r="N230" i="10"/>
  <c r="M230" i="10"/>
  <c r="L230" i="10"/>
  <c r="K230" i="10"/>
  <c r="J230" i="10"/>
  <c r="I230" i="10"/>
  <c r="H230" i="10"/>
  <c r="G230" i="10"/>
  <c r="F230" i="10"/>
  <c r="E230" i="10"/>
  <c r="N229" i="10"/>
  <c r="M229" i="10"/>
  <c r="L229" i="10"/>
  <c r="K229" i="10"/>
  <c r="J229" i="10"/>
  <c r="I229" i="10"/>
  <c r="H229" i="10"/>
  <c r="G229" i="10"/>
  <c r="F229" i="10"/>
  <c r="E229" i="10"/>
  <c r="N228" i="10"/>
  <c r="M228" i="10"/>
  <c r="L228" i="10"/>
  <c r="K228" i="10"/>
  <c r="J228" i="10"/>
  <c r="I228" i="10"/>
  <c r="H228" i="10"/>
  <c r="G228" i="10"/>
  <c r="F228" i="10"/>
  <c r="E228" i="10"/>
  <c r="N227" i="10"/>
  <c r="M227" i="10"/>
  <c r="L227" i="10"/>
  <c r="K227" i="10"/>
  <c r="J227" i="10"/>
  <c r="I227" i="10"/>
  <c r="H227" i="10"/>
  <c r="G227" i="10"/>
  <c r="F227" i="10"/>
  <c r="E227" i="10"/>
  <c r="N226" i="10"/>
  <c r="M226" i="10"/>
  <c r="L226" i="10"/>
  <c r="K226" i="10"/>
  <c r="J226" i="10"/>
  <c r="I226" i="10"/>
  <c r="H226" i="10"/>
  <c r="G226" i="10"/>
  <c r="F226" i="10"/>
  <c r="E226" i="10"/>
  <c r="B226" i="10"/>
  <c r="N225" i="10"/>
  <c r="M225" i="10"/>
  <c r="L225" i="10"/>
  <c r="K225" i="10"/>
  <c r="J225" i="10"/>
  <c r="I225" i="10"/>
  <c r="H225" i="10"/>
  <c r="G225" i="10"/>
  <c r="F225" i="10"/>
  <c r="E225" i="10"/>
  <c r="N224" i="10"/>
  <c r="M224" i="10"/>
  <c r="L224" i="10"/>
  <c r="K224" i="10"/>
  <c r="J224" i="10"/>
  <c r="I224" i="10"/>
  <c r="H224" i="10"/>
  <c r="G224" i="10"/>
  <c r="F224" i="10"/>
  <c r="E224" i="10"/>
  <c r="N223" i="10"/>
  <c r="M223" i="10"/>
  <c r="L223" i="10"/>
  <c r="K223" i="10"/>
  <c r="J223" i="10"/>
  <c r="I223" i="10"/>
  <c r="H223" i="10"/>
  <c r="G223" i="10"/>
  <c r="F223" i="10"/>
  <c r="E223" i="10"/>
  <c r="N222" i="10"/>
  <c r="M222" i="10"/>
  <c r="L222" i="10"/>
  <c r="K222" i="10"/>
  <c r="J222" i="10"/>
  <c r="I222" i="10"/>
  <c r="H222" i="10"/>
  <c r="G222" i="10"/>
  <c r="F222" i="10"/>
  <c r="E222" i="10"/>
  <c r="B222" i="10"/>
  <c r="N221" i="10"/>
  <c r="M221" i="10"/>
  <c r="L221" i="10"/>
  <c r="K221" i="10"/>
  <c r="J221" i="10"/>
  <c r="I221" i="10"/>
  <c r="H221" i="10"/>
  <c r="G221" i="10"/>
  <c r="F221" i="10"/>
  <c r="E221" i="10"/>
  <c r="N220" i="10"/>
  <c r="M220" i="10"/>
  <c r="L220" i="10"/>
  <c r="K220" i="10"/>
  <c r="J220" i="10"/>
  <c r="I220" i="10"/>
  <c r="H220" i="10"/>
  <c r="G220" i="10"/>
  <c r="F220" i="10"/>
  <c r="E220" i="10"/>
  <c r="N219" i="10"/>
  <c r="M219" i="10"/>
  <c r="L219" i="10"/>
  <c r="K219" i="10"/>
  <c r="J219" i="10"/>
  <c r="I219" i="10"/>
  <c r="H219" i="10"/>
  <c r="G219" i="10"/>
  <c r="F219" i="10"/>
  <c r="E219" i="10"/>
  <c r="N218" i="10"/>
  <c r="M218" i="10"/>
  <c r="L218" i="10"/>
  <c r="K218" i="10"/>
  <c r="J218" i="10"/>
  <c r="I218" i="10"/>
  <c r="H218" i="10"/>
  <c r="G218" i="10"/>
  <c r="F218" i="10"/>
  <c r="E218" i="10"/>
  <c r="N191" i="10"/>
  <c r="M191" i="10"/>
  <c r="L191" i="10"/>
  <c r="K191" i="10"/>
  <c r="J191" i="10"/>
  <c r="I191" i="10"/>
  <c r="H191" i="10"/>
  <c r="G191" i="10"/>
  <c r="F191" i="10"/>
  <c r="E191" i="10"/>
  <c r="B191" i="10"/>
  <c r="N190" i="10"/>
  <c r="M190" i="10"/>
  <c r="L190" i="10"/>
  <c r="K190" i="10"/>
  <c r="J190" i="10"/>
  <c r="I190" i="10"/>
  <c r="H190" i="10"/>
  <c r="G190" i="10"/>
  <c r="F190" i="10"/>
  <c r="E190" i="10"/>
  <c r="B190" i="10"/>
  <c r="N189" i="10"/>
  <c r="M189" i="10"/>
  <c r="L189" i="10"/>
  <c r="K189" i="10"/>
  <c r="J189" i="10"/>
  <c r="I189" i="10"/>
  <c r="H189" i="10"/>
  <c r="G189" i="10"/>
  <c r="F189" i="10"/>
  <c r="E189" i="10"/>
  <c r="B189" i="10"/>
  <c r="N188" i="10"/>
  <c r="M188" i="10"/>
  <c r="L188" i="10"/>
  <c r="K188" i="10"/>
  <c r="J188" i="10"/>
  <c r="I188" i="10"/>
  <c r="H188" i="10"/>
  <c r="G188" i="10"/>
  <c r="F188" i="10"/>
  <c r="E188" i="10"/>
  <c r="B188" i="10"/>
  <c r="N187" i="10"/>
  <c r="M187" i="10"/>
  <c r="L187" i="10"/>
  <c r="K187" i="10"/>
  <c r="J187" i="10"/>
  <c r="I187" i="10"/>
  <c r="H187" i="10"/>
  <c r="G187" i="10"/>
  <c r="F187" i="10"/>
  <c r="E187" i="10"/>
  <c r="B187" i="10"/>
  <c r="N186" i="10"/>
  <c r="M186" i="10"/>
  <c r="L186" i="10"/>
  <c r="K186" i="10"/>
  <c r="J186" i="10"/>
  <c r="I186" i="10"/>
  <c r="H186" i="10"/>
  <c r="G186" i="10"/>
  <c r="F186" i="10"/>
  <c r="E186" i="10"/>
  <c r="B186" i="10"/>
  <c r="N185" i="10"/>
  <c r="M185" i="10"/>
  <c r="L185" i="10"/>
  <c r="K185" i="10"/>
  <c r="J185" i="10"/>
  <c r="I185" i="10"/>
  <c r="H185" i="10"/>
  <c r="G185" i="10"/>
  <c r="F185" i="10"/>
  <c r="E185" i="10"/>
  <c r="B185" i="10"/>
  <c r="N184" i="10"/>
  <c r="M184" i="10"/>
  <c r="L184" i="10"/>
  <c r="K184" i="10"/>
  <c r="J184" i="10"/>
  <c r="I184" i="10"/>
  <c r="H184" i="10"/>
  <c r="G184" i="10"/>
  <c r="F184" i="10"/>
  <c r="E184" i="10"/>
  <c r="B184" i="10"/>
  <c r="N183" i="10"/>
  <c r="M183" i="10"/>
  <c r="L183" i="10"/>
  <c r="K183" i="10"/>
  <c r="J183" i="10"/>
  <c r="I183" i="10"/>
  <c r="H183" i="10"/>
  <c r="G183" i="10"/>
  <c r="F183" i="10"/>
  <c r="E183" i="10"/>
  <c r="B183" i="10"/>
  <c r="N182" i="10"/>
  <c r="M182" i="10"/>
  <c r="L182" i="10"/>
  <c r="K182" i="10"/>
  <c r="J182" i="10"/>
  <c r="I182" i="10"/>
  <c r="H182" i="10"/>
  <c r="G182" i="10"/>
  <c r="F182" i="10"/>
  <c r="E182" i="10"/>
  <c r="B182" i="10"/>
  <c r="N181" i="10"/>
  <c r="M181" i="10"/>
  <c r="L181" i="10"/>
  <c r="K181" i="10"/>
  <c r="J181" i="10"/>
  <c r="I181" i="10"/>
  <c r="H181" i="10"/>
  <c r="G181" i="10"/>
  <c r="F181" i="10"/>
  <c r="E181" i="10"/>
  <c r="B181" i="10"/>
  <c r="V180" i="10"/>
  <c r="N180" i="10"/>
  <c r="M180" i="10"/>
  <c r="L180" i="10"/>
  <c r="K180" i="10"/>
  <c r="J180" i="10"/>
  <c r="I180" i="10"/>
  <c r="H180" i="10"/>
  <c r="G180" i="10"/>
  <c r="F180" i="10"/>
  <c r="E180" i="10"/>
  <c r="B180" i="10"/>
  <c r="V179" i="10"/>
  <c r="N179" i="10"/>
  <c r="M179" i="10"/>
  <c r="L179" i="10"/>
  <c r="K179" i="10"/>
  <c r="J179" i="10"/>
  <c r="I179" i="10"/>
  <c r="H179" i="10"/>
  <c r="G179" i="10"/>
  <c r="F179" i="10"/>
  <c r="E179" i="10"/>
  <c r="B179" i="10"/>
  <c r="V178" i="10"/>
  <c r="N178" i="10"/>
  <c r="M178" i="10"/>
  <c r="L178" i="10"/>
  <c r="K178" i="10"/>
  <c r="J178" i="10"/>
  <c r="I178" i="10"/>
  <c r="H178" i="10"/>
  <c r="G178" i="10"/>
  <c r="F178" i="10"/>
  <c r="E178" i="10"/>
  <c r="B178" i="10"/>
  <c r="N177" i="10"/>
  <c r="M177" i="10"/>
  <c r="L177" i="10"/>
  <c r="K177" i="10"/>
  <c r="J177" i="10"/>
  <c r="I177" i="10"/>
  <c r="H177" i="10"/>
  <c r="G177" i="10"/>
  <c r="F177" i="10"/>
  <c r="E177" i="10"/>
  <c r="B177" i="10"/>
  <c r="N176" i="10"/>
  <c r="M176" i="10"/>
  <c r="L176" i="10"/>
  <c r="K176" i="10"/>
  <c r="J176" i="10"/>
  <c r="I176" i="10"/>
  <c r="H176" i="10"/>
  <c r="G176" i="10"/>
  <c r="F176" i="10"/>
  <c r="E176" i="10"/>
  <c r="B176" i="10"/>
  <c r="N175" i="10"/>
  <c r="M175" i="10"/>
  <c r="L175" i="10"/>
  <c r="K175" i="10"/>
  <c r="J175" i="10"/>
  <c r="I175" i="10"/>
  <c r="H175" i="10"/>
  <c r="G175" i="10"/>
  <c r="F175" i="10"/>
  <c r="E175" i="10"/>
  <c r="B175" i="10"/>
  <c r="N174" i="10"/>
  <c r="M174" i="10"/>
  <c r="L174" i="10"/>
  <c r="K174" i="10"/>
  <c r="J174" i="10"/>
  <c r="I174" i="10"/>
  <c r="H174" i="10"/>
  <c r="G174" i="10"/>
  <c r="F174" i="10"/>
  <c r="E174" i="10"/>
  <c r="B174" i="10"/>
  <c r="N173" i="10"/>
  <c r="M173" i="10"/>
  <c r="L173" i="10"/>
  <c r="K173" i="10"/>
  <c r="J173" i="10"/>
  <c r="I173" i="10"/>
  <c r="H173" i="10"/>
  <c r="G173" i="10"/>
  <c r="F173" i="10"/>
  <c r="E173" i="10"/>
  <c r="B173" i="10"/>
  <c r="N172" i="10"/>
  <c r="M172" i="10"/>
  <c r="L172" i="10"/>
  <c r="K172" i="10"/>
  <c r="J172" i="10"/>
  <c r="I172" i="10"/>
  <c r="H172" i="10"/>
  <c r="G172" i="10"/>
  <c r="F172" i="10"/>
  <c r="E172" i="10"/>
  <c r="B172" i="10"/>
  <c r="N171" i="10"/>
  <c r="M171" i="10"/>
  <c r="L171" i="10"/>
  <c r="K171" i="10"/>
  <c r="J171" i="10"/>
  <c r="I171" i="10"/>
  <c r="H171" i="10"/>
  <c r="G171" i="10"/>
  <c r="F171" i="10"/>
  <c r="E171" i="10"/>
  <c r="B171" i="10"/>
  <c r="N170" i="10"/>
  <c r="M170" i="10"/>
  <c r="L170" i="10"/>
  <c r="K170" i="10"/>
  <c r="J170" i="10"/>
  <c r="I170" i="10"/>
  <c r="H170" i="10"/>
  <c r="G170" i="10"/>
  <c r="F170" i="10"/>
  <c r="E170" i="10"/>
  <c r="B170" i="10"/>
  <c r="N169" i="10"/>
  <c r="M169" i="10"/>
  <c r="L169" i="10"/>
  <c r="K169" i="10"/>
  <c r="J169" i="10"/>
  <c r="I169" i="10"/>
  <c r="H169" i="10"/>
  <c r="G169" i="10"/>
  <c r="F169" i="10"/>
  <c r="E169" i="10"/>
  <c r="B169" i="10"/>
  <c r="N168" i="10"/>
  <c r="M168" i="10"/>
  <c r="L168" i="10"/>
  <c r="K168" i="10"/>
  <c r="J168" i="10"/>
  <c r="I168" i="10"/>
  <c r="H168" i="10"/>
  <c r="G168" i="10"/>
  <c r="F168" i="10"/>
  <c r="E168" i="10"/>
  <c r="B168" i="10"/>
  <c r="N167" i="10"/>
  <c r="M167" i="10"/>
  <c r="L167" i="10"/>
  <c r="K167" i="10"/>
  <c r="J167" i="10"/>
  <c r="I167" i="10"/>
  <c r="H167" i="10"/>
  <c r="G167" i="10"/>
  <c r="F167" i="10"/>
  <c r="E167" i="10"/>
  <c r="B167" i="10"/>
  <c r="N166" i="10"/>
  <c r="M166" i="10"/>
  <c r="L166" i="10"/>
  <c r="K166" i="10"/>
  <c r="J166" i="10"/>
  <c r="I166" i="10"/>
  <c r="H166" i="10"/>
  <c r="G166" i="10"/>
  <c r="F166" i="10"/>
  <c r="E166" i="10"/>
  <c r="B166" i="10"/>
  <c r="N165" i="10"/>
  <c r="M165" i="10"/>
  <c r="L165" i="10"/>
  <c r="K165" i="10"/>
  <c r="J165" i="10"/>
  <c r="I165" i="10"/>
  <c r="H165" i="10"/>
  <c r="G165" i="10"/>
  <c r="F165" i="10"/>
  <c r="E165" i="10"/>
  <c r="B165" i="10"/>
  <c r="N164" i="10"/>
  <c r="M164" i="10"/>
  <c r="L164" i="10"/>
  <c r="K164" i="10"/>
  <c r="J164" i="10"/>
  <c r="I164" i="10"/>
  <c r="H164" i="10"/>
  <c r="G164" i="10"/>
  <c r="F164" i="10"/>
  <c r="E164" i="10"/>
  <c r="B164" i="10"/>
  <c r="N163" i="10"/>
  <c r="M163" i="10"/>
  <c r="L163" i="10"/>
  <c r="K163" i="10"/>
  <c r="J163" i="10"/>
  <c r="I163" i="10"/>
  <c r="H163" i="10"/>
  <c r="G163" i="10"/>
  <c r="F163" i="10"/>
  <c r="E163" i="10"/>
  <c r="B163" i="10"/>
  <c r="N162" i="10"/>
  <c r="M162" i="10"/>
  <c r="L162" i="10"/>
  <c r="K162" i="10"/>
  <c r="J162" i="10"/>
  <c r="I162" i="10"/>
  <c r="H162" i="10"/>
  <c r="G162" i="10"/>
  <c r="F162" i="10"/>
  <c r="E162" i="10"/>
  <c r="B162" i="10"/>
  <c r="N161" i="10"/>
  <c r="M161" i="10"/>
  <c r="L161" i="10"/>
  <c r="K161" i="10"/>
  <c r="J161" i="10"/>
  <c r="I161" i="10"/>
  <c r="H161" i="10"/>
  <c r="G161" i="10"/>
  <c r="F161" i="10"/>
  <c r="E161" i="10"/>
  <c r="B161" i="10"/>
  <c r="N160" i="10"/>
  <c r="M160" i="10"/>
  <c r="L160" i="10"/>
  <c r="K160" i="10"/>
  <c r="J160" i="10"/>
  <c r="I160" i="10"/>
  <c r="H160" i="10"/>
  <c r="G160" i="10"/>
  <c r="F160" i="10"/>
  <c r="E160" i="10"/>
  <c r="B160" i="10"/>
  <c r="N159" i="10"/>
  <c r="M159" i="10"/>
  <c r="L159" i="10"/>
  <c r="K159" i="10"/>
  <c r="J159" i="10"/>
  <c r="I159" i="10"/>
  <c r="H159" i="10"/>
  <c r="G159" i="10"/>
  <c r="F159" i="10"/>
  <c r="E159" i="10"/>
  <c r="B159" i="10"/>
  <c r="N158" i="10"/>
  <c r="M158" i="10"/>
  <c r="L158" i="10"/>
  <c r="K158" i="10"/>
  <c r="J158" i="10"/>
  <c r="I158" i="10"/>
  <c r="H158" i="10"/>
  <c r="G158" i="10"/>
  <c r="F158" i="10"/>
  <c r="E158" i="10"/>
  <c r="B158" i="10"/>
  <c r="N157" i="10"/>
  <c r="M157" i="10"/>
  <c r="L157" i="10"/>
  <c r="K157" i="10"/>
  <c r="J157" i="10"/>
  <c r="I157" i="10"/>
  <c r="H157" i="10"/>
  <c r="G157" i="10"/>
  <c r="F157" i="10"/>
  <c r="E157" i="10"/>
  <c r="B157" i="10"/>
  <c r="N156" i="10"/>
  <c r="M156" i="10"/>
  <c r="L156" i="10"/>
  <c r="K156" i="10"/>
  <c r="J156" i="10"/>
  <c r="I156" i="10"/>
  <c r="H156" i="10"/>
  <c r="G156" i="10"/>
  <c r="F156" i="10"/>
  <c r="E156" i="10"/>
  <c r="B156" i="10"/>
  <c r="N155" i="10"/>
  <c r="M155" i="10"/>
  <c r="L155" i="10"/>
  <c r="K155" i="10"/>
  <c r="J155" i="10"/>
  <c r="I155" i="10"/>
  <c r="H155" i="10"/>
  <c r="G155" i="10"/>
  <c r="F155" i="10"/>
  <c r="E155" i="10"/>
  <c r="B155" i="10"/>
  <c r="N154" i="10"/>
  <c r="M154" i="10"/>
  <c r="L154" i="10"/>
  <c r="K154" i="10"/>
  <c r="J154" i="10"/>
  <c r="I154" i="10"/>
  <c r="H154" i="10"/>
  <c r="G154" i="10"/>
  <c r="F154" i="10"/>
  <c r="E154" i="10"/>
  <c r="B154" i="10"/>
  <c r="N153" i="10"/>
  <c r="M153" i="10"/>
  <c r="L153" i="10"/>
  <c r="K153" i="10"/>
  <c r="J153" i="10"/>
  <c r="I153" i="10"/>
  <c r="H153" i="10"/>
  <c r="G153" i="10"/>
  <c r="F153" i="10"/>
  <c r="E153" i="10"/>
  <c r="B153" i="10"/>
  <c r="N152" i="10"/>
  <c r="M152" i="10"/>
  <c r="L152" i="10"/>
  <c r="K152" i="10"/>
  <c r="J152" i="10"/>
  <c r="I152" i="10"/>
  <c r="H152" i="10"/>
  <c r="G152" i="10"/>
  <c r="F152" i="10"/>
  <c r="E152" i="10"/>
  <c r="B152" i="10"/>
  <c r="N151" i="10"/>
  <c r="M151" i="10"/>
  <c r="L151" i="10"/>
  <c r="K151" i="10"/>
  <c r="J151" i="10"/>
  <c r="I151" i="10"/>
  <c r="H151" i="10"/>
  <c r="G151" i="10"/>
  <c r="F151" i="10"/>
  <c r="E151" i="10"/>
  <c r="B151" i="10"/>
  <c r="N150" i="10"/>
  <c r="M150" i="10"/>
  <c r="L150" i="10"/>
  <c r="K150" i="10"/>
  <c r="J150" i="10"/>
  <c r="I150" i="10"/>
  <c r="H150" i="10"/>
  <c r="G150" i="10"/>
  <c r="F150" i="10"/>
  <c r="E150" i="10"/>
  <c r="B150" i="10"/>
  <c r="N149" i="10"/>
  <c r="M149" i="10"/>
  <c r="L149" i="10"/>
  <c r="K149" i="10"/>
  <c r="J149" i="10"/>
  <c r="I149" i="10"/>
  <c r="H149" i="10"/>
  <c r="G149" i="10"/>
  <c r="F149" i="10"/>
  <c r="E149" i="10"/>
  <c r="B149" i="10"/>
  <c r="N148" i="10"/>
  <c r="M148" i="10"/>
  <c r="L148" i="10"/>
  <c r="K148" i="10"/>
  <c r="J148" i="10"/>
  <c r="I148" i="10"/>
  <c r="H148" i="10"/>
  <c r="G148" i="10"/>
  <c r="F148" i="10"/>
  <c r="E148" i="10"/>
  <c r="B148" i="10"/>
  <c r="N147" i="10"/>
  <c r="M147" i="10"/>
  <c r="L147" i="10"/>
  <c r="K147" i="10"/>
  <c r="J147" i="10"/>
  <c r="I147" i="10"/>
  <c r="H147" i="10"/>
  <c r="G147" i="10"/>
  <c r="F147" i="10"/>
  <c r="E147" i="10"/>
  <c r="B147" i="10"/>
  <c r="N146" i="10"/>
  <c r="M146" i="10"/>
  <c r="L146" i="10"/>
  <c r="K146" i="10"/>
  <c r="J146" i="10"/>
  <c r="I146" i="10"/>
  <c r="H146" i="10"/>
  <c r="G146" i="10"/>
  <c r="F146" i="10"/>
  <c r="E146" i="10"/>
  <c r="B146" i="10"/>
  <c r="N145" i="10"/>
  <c r="M145" i="10"/>
  <c r="L145" i="10"/>
  <c r="K145" i="10"/>
  <c r="J145" i="10"/>
  <c r="I145" i="10"/>
  <c r="H145" i="10"/>
  <c r="G145" i="10"/>
  <c r="F145" i="10"/>
  <c r="E145" i="10"/>
  <c r="B145" i="10"/>
  <c r="N144" i="10"/>
  <c r="M144" i="10"/>
  <c r="L144" i="10"/>
  <c r="K144" i="10"/>
  <c r="J144" i="10"/>
  <c r="I144" i="10"/>
  <c r="H144" i="10"/>
  <c r="G144" i="10"/>
  <c r="F144" i="10"/>
  <c r="E144" i="10"/>
  <c r="B144" i="10"/>
  <c r="N143" i="10"/>
  <c r="M143" i="10"/>
  <c r="L143" i="10"/>
  <c r="K143" i="10"/>
  <c r="J143" i="10"/>
  <c r="I143" i="10"/>
  <c r="H143" i="10"/>
  <c r="G143" i="10"/>
  <c r="F143" i="10"/>
  <c r="E143" i="10"/>
  <c r="B143" i="10"/>
  <c r="N142" i="10"/>
  <c r="M142" i="10"/>
  <c r="L142" i="10"/>
  <c r="K142" i="10"/>
  <c r="J142" i="10"/>
  <c r="I142" i="10"/>
  <c r="H142" i="10"/>
  <c r="G142" i="10"/>
  <c r="F142" i="10"/>
  <c r="E142" i="10"/>
  <c r="B142" i="10"/>
  <c r="N141" i="10"/>
  <c r="M141" i="10"/>
  <c r="L141" i="10"/>
  <c r="K141" i="10"/>
  <c r="J141" i="10"/>
  <c r="I141" i="10"/>
  <c r="H141" i="10"/>
  <c r="G141" i="10"/>
  <c r="F141" i="10"/>
  <c r="E141" i="10"/>
  <c r="B141" i="10"/>
  <c r="N140" i="10"/>
  <c r="M140" i="10"/>
  <c r="L140" i="10"/>
  <c r="K140" i="10"/>
  <c r="J140" i="10"/>
  <c r="I140" i="10"/>
  <c r="H140" i="10"/>
  <c r="G140" i="10"/>
  <c r="F140" i="10"/>
  <c r="E140" i="10"/>
  <c r="B140" i="10"/>
  <c r="N139" i="10"/>
  <c r="M139" i="10"/>
  <c r="L139" i="10"/>
  <c r="K139" i="10"/>
  <c r="J139" i="10"/>
  <c r="I139" i="10"/>
  <c r="H139" i="10"/>
  <c r="G139" i="10"/>
  <c r="F139" i="10"/>
  <c r="E139" i="10"/>
  <c r="N138" i="10"/>
  <c r="M138" i="10"/>
  <c r="L138" i="10"/>
  <c r="K138" i="10"/>
  <c r="J138" i="10"/>
  <c r="I138" i="10"/>
  <c r="H138" i="10"/>
  <c r="G138" i="10"/>
  <c r="F138" i="10"/>
  <c r="E138" i="10"/>
  <c r="N137" i="10"/>
  <c r="M137" i="10"/>
  <c r="L137" i="10"/>
  <c r="K137" i="10"/>
  <c r="J137" i="10"/>
  <c r="I137" i="10"/>
  <c r="H137" i="10"/>
  <c r="G137" i="10"/>
  <c r="F137" i="10"/>
  <c r="E137" i="10"/>
  <c r="N136" i="10"/>
  <c r="M136" i="10"/>
  <c r="L136" i="10"/>
  <c r="K136" i="10"/>
  <c r="J136" i="10"/>
  <c r="I136" i="10"/>
  <c r="H136" i="10"/>
  <c r="G136" i="10"/>
  <c r="F136" i="10"/>
  <c r="E136" i="10"/>
  <c r="N135" i="10"/>
  <c r="M135" i="10"/>
  <c r="L135" i="10"/>
  <c r="K135" i="10"/>
  <c r="J135" i="10"/>
  <c r="I135" i="10"/>
  <c r="H135" i="10"/>
  <c r="G135" i="10"/>
  <c r="F135" i="10"/>
  <c r="E135" i="10"/>
  <c r="N134" i="10"/>
  <c r="M134" i="10"/>
  <c r="L134" i="10"/>
  <c r="K134" i="10"/>
  <c r="J134" i="10"/>
  <c r="I134" i="10"/>
  <c r="H134" i="10"/>
  <c r="G134" i="10"/>
  <c r="F134" i="10"/>
  <c r="E134" i="10"/>
  <c r="N133" i="10"/>
  <c r="M133" i="10"/>
  <c r="L133" i="10"/>
  <c r="K133" i="10"/>
  <c r="J133" i="10"/>
  <c r="I133" i="10"/>
  <c r="H133" i="10"/>
  <c r="G133" i="10"/>
  <c r="F133" i="10"/>
  <c r="E133" i="10"/>
  <c r="N132" i="10"/>
  <c r="M132" i="10"/>
  <c r="L132" i="10"/>
  <c r="K132" i="10"/>
  <c r="J132" i="10"/>
  <c r="I132" i="10"/>
  <c r="H132" i="10"/>
  <c r="G132" i="10"/>
  <c r="F132" i="10"/>
  <c r="E132" i="10"/>
  <c r="N131" i="10"/>
  <c r="M131" i="10"/>
  <c r="L131" i="10"/>
  <c r="K131" i="10"/>
  <c r="J131" i="10"/>
  <c r="I131" i="10"/>
  <c r="H131" i="10"/>
  <c r="G131" i="10"/>
  <c r="F131" i="10"/>
  <c r="E131" i="10"/>
  <c r="N130" i="10"/>
  <c r="M130" i="10"/>
  <c r="L130" i="10"/>
  <c r="K130" i="10"/>
  <c r="J130" i="10"/>
  <c r="I130" i="10"/>
  <c r="H130" i="10"/>
  <c r="G130" i="10"/>
  <c r="F130" i="10"/>
  <c r="E130" i="10"/>
  <c r="N129" i="10"/>
  <c r="M129" i="10"/>
  <c r="L129" i="10"/>
  <c r="K129" i="10"/>
  <c r="J129" i="10"/>
  <c r="I129" i="10"/>
  <c r="U196" i="10" s="1"/>
  <c r="H129" i="10"/>
  <c r="G129" i="10"/>
  <c r="F129" i="10"/>
  <c r="E129" i="10"/>
  <c r="N128" i="10"/>
  <c r="M128" i="10"/>
  <c r="L128" i="10"/>
  <c r="K128" i="10"/>
  <c r="J128" i="10"/>
  <c r="I128" i="10"/>
  <c r="H128" i="10"/>
  <c r="G128" i="10"/>
  <c r="F128" i="10"/>
  <c r="E128" i="10"/>
  <c r="N127" i="10"/>
  <c r="M127" i="10"/>
  <c r="L127" i="10"/>
  <c r="K127" i="10"/>
  <c r="J127" i="10"/>
  <c r="I127" i="10"/>
  <c r="H127" i="10"/>
  <c r="G127" i="10"/>
  <c r="F127" i="10"/>
  <c r="E127" i="10"/>
  <c r="N126" i="10"/>
  <c r="M126" i="10"/>
  <c r="L126" i="10"/>
  <c r="K126" i="10"/>
  <c r="U205" i="10" s="1"/>
  <c r="U231" i="10" s="1"/>
  <c r="J126" i="10"/>
  <c r="I126" i="10"/>
  <c r="H126" i="10"/>
  <c r="G126" i="10"/>
  <c r="F126" i="10"/>
  <c r="E126" i="10"/>
  <c r="V125" i="10"/>
  <c r="N125" i="10"/>
  <c r="M125" i="10"/>
  <c r="L125" i="10"/>
  <c r="K125" i="10"/>
  <c r="J125" i="10"/>
  <c r="I125" i="10"/>
  <c r="H125" i="10"/>
  <c r="G125" i="10"/>
  <c r="F125" i="10"/>
  <c r="E125" i="10"/>
  <c r="V124" i="10"/>
  <c r="N124" i="10"/>
  <c r="M124" i="10"/>
  <c r="L124" i="10"/>
  <c r="K124" i="10"/>
  <c r="J124" i="10"/>
  <c r="I124" i="10"/>
  <c r="H124" i="10"/>
  <c r="G124" i="10"/>
  <c r="F124" i="10"/>
  <c r="E124" i="10"/>
  <c r="N123" i="10"/>
  <c r="M123" i="10"/>
  <c r="L123" i="10"/>
  <c r="K123" i="10"/>
  <c r="J123" i="10"/>
  <c r="I123" i="10"/>
  <c r="U192" i="10" s="1"/>
  <c r="H123" i="10"/>
  <c r="G123" i="10"/>
  <c r="F123" i="10"/>
  <c r="E123" i="10"/>
  <c r="N122" i="10"/>
  <c r="M122" i="10"/>
  <c r="L122" i="10"/>
  <c r="K122" i="10"/>
  <c r="J122" i="10"/>
  <c r="I122" i="10"/>
  <c r="H122" i="10"/>
  <c r="G122" i="10"/>
  <c r="F122" i="10"/>
  <c r="E122" i="10"/>
  <c r="N121" i="10"/>
  <c r="M121" i="10"/>
  <c r="L121" i="10"/>
  <c r="K121" i="10"/>
  <c r="J121" i="10"/>
  <c r="I121" i="10"/>
  <c r="H121" i="10"/>
  <c r="G121" i="10"/>
  <c r="F121" i="10"/>
  <c r="E121" i="10"/>
  <c r="N120" i="10"/>
  <c r="M120" i="10"/>
  <c r="L120" i="10"/>
  <c r="K120" i="10"/>
  <c r="J120" i="10"/>
  <c r="I120" i="10"/>
  <c r="H120" i="10"/>
  <c r="G120" i="10"/>
  <c r="F120" i="10"/>
  <c r="E120" i="10"/>
  <c r="N119" i="10"/>
  <c r="M119" i="10"/>
  <c r="L119" i="10"/>
  <c r="K119" i="10"/>
  <c r="S206" i="10" s="1"/>
  <c r="J119" i="10"/>
  <c r="I119" i="10"/>
  <c r="H119" i="10"/>
  <c r="G119" i="10"/>
  <c r="F119" i="10"/>
  <c r="U126" i="10" s="1"/>
  <c r="E119" i="10"/>
  <c r="N118" i="10"/>
  <c r="M118" i="10"/>
  <c r="U204" i="10" s="1"/>
  <c r="L118" i="10"/>
  <c r="K118" i="10"/>
  <c r="J118" i="10"/>
  <c r="I118" i="10"/>
  <c r="H118" i="10"/>
  <c r="G118" i="10"/>
  <c r="F118" i="10"/>
  <c r="E118" i="10"/>
  <c r="N117" i="10"/>
  <c r="M117" i="10"/>
  <c r="L117" i="10"/>
  <c r="U209" i="10" s="1"/>
  <c r="K117" i="10"/>
  <c r="J117" i="10"/>
  <c r="I117" i="10"/>
  <c r="H117" i="10"/>
  <c r="G117" i="10"/>
  <c r="F117" i="10"/>
  <c r="E117" i="10"/>
  <c r="T116" i="10"/>
  <c r="V116" i="10" s="1"/>
  <c r="N116" i="10"/>
  <c r="M116" i="10"/>
  <c r="L116" i="10"/>
  <c r="K116" i="10"/>
  <c r="S204" i="10" s="1"/>
  <c r="J116" i="10"/>
  <c r="I116" i="10"/>
  <c r="H116" i="10"/>
  <c r="G116" i="10"/>
  <c r="F116" i="10"/>
  <c r="E116" i="10"/>
  <c r="N115" i="10"/>
  <c r="M115" i="10"/>
  <c r="L115" i="10"/>
  <c r="U211" i="10" s="1"/>
  <c r="K115" i="10"/>
  <c r="J115" i="10"/>
  <c r="I115" i="10"/>
  <c r="H115" i="10"/>
  <c r="G115" i="10"/>
  <c r="F115" i="10"/>
  <c r="E115" i="10"/>
  <c r="N114" i="10"/>
  <c r="M114" i="10"/>
  <c r="L114" i="10"/>
  <c r="K114" i="10"/>
  <c r="J114" i="10"/>
  <c r="I114" i="10"/>
  <c r="H114" i="10"/>
  <c r="G114" i="10"/>
  <c r="F114" i="10"/>
  <c r="E114" i="10"/>
  <c r="N113" i="10"/>
  <c r="S215" i="10" s="1"/>
  <c r="M113" i="10"/>
  <c r="L113" i="10"/>
  <c r="K113" i="10"/>
  <c r="J113" i="10"/>
  <c r="I113" i="10"/>
  <c r="H113" i="10"/>
  <c r="G113" i="10"/>
  <c r="F113" i="10"/>
  <c r="S126" i="10" s="1"/>
  <c r="E113" i="10"/>
  <c r="U116" i="10" s="1"/>
  <c r="N112" i="10"/>
  <c r="T214" i="10" s="1"/>
  <c r="M112" i="10"/>
  <c r="L112" i="10"/>
  <c r="K112" i="10"/>
  <c r="J112" i="10"/>
  <c r="S200" i="10" s="1"/>
  <c r="I112" i="10"/>
  <c r="H112" i="10"/>
  <c r="G112" i="10"/>
  <c r="F112" i="10"/>
  <c r="E112" i="10"/>
  <c r="N111" i="10"/>
  <c r="M111" i="10"/>
  <c r="L111" i="10"/>
  <c r="K111" i="10"/>
  <c r="J111" i="10"/>
  <c r="I111" i="10"/>
  <c r="H111" i="10"/>
  <c r="G111" i="10"/>
  <c r="F111" i="10"/>
  <c r="E111" i="10"/>
  <c r="N110" i="10"/>
  <c r="M110" i="10"/>
  <c r="S196" i="10" s="1"/>
  <c r="L110" i="10"/>
  <c r="S211" i="10" s="1"/>
  <c r="K110" i="10"/>
  <c r="J110" i="10"/>
  <c r="I110" i="10"/>
  <c r="H110" i="10"/>
  <c r="G110" i="10"/>
  <c r="F110" i="10"/>
  <c r="E110" i="10"/>
  <c r="N109" i="10"/>
  <c r="U215" i="10" s="1"/>
  <c r="M109" i="10"/>
  <c r="U117" i="10" s="1"/>
  <c r="L109" i="10"/>
  <c r="S210" i="10" s="1"/>
  <c r="K109" i="10"/>
  <c r="J109" i="10"/>
  <c r="U201" i="10" s="1"/>
  <c r="I109" i="10"/>
  <c r="H109" i="10"/>
  <c r="G109" i="10"/>
  <c r="U177" i="10" s="1"/>
  <c r="F109" i="10"/>
  <c r="T123" i="10" s="1"/>
  <c r="E109" i="10"/>
  <c r="N108" i="10"/>
  <c r="M108" i="10"/>
  <c r="L108" i="10"/>
  <c r="K108" i="10"/>
  <c r="J108" i="10"/>
  <c r="I108" i="10"/>
  <c r="H108" i="10"/>
  <c r="G108" i="10"/>
  <c r="F108" i="10"/>
  <c r="E108" i="10"/>
  <c r="N107" i="10"/>
  <c r="M107" i="10"/>
  <c r="L107" i="10"/>
  <c r="K107" i="10"/>
  <c r="J107" i="10"/>
  <c r="I107" i="10"/>
  <c r="H107" i="10"/>
  <c r="G107" i="10"/>
  <c r="F107" i="10"/>
  <c r="E107" i="10"/>
  <c r="B107" i="10"/>
  <c r="N106" i="10"/>
  <c r="M106" i="10"/>
  <c r="L106" i="10"/>
  <c r="K106" i="10"/>
  <c r="J106" i="10"/>
  <c r="I106" i="10"/>
  <c r="H106" i="10"/>
  <c r="G106" i="10"/>
  <c r="F106" i="10"/>
  <c r="E106" i="10"/>
  <c r="N105" i="10"/>
  <c r="M105" i="10"/>
  <c r="L105" i="10"/>
  <c r="K105" i="10"/>
  <c r="J105" i="10"/>
  <c r="I105" i="10"/>
  <c r="H105" i="10"/>
  <c r="G105" i="10"/>
  <c r="F105" i="10"/>
  <c r="E105" i="10"/>
  <c r="N104" i="10"/>
  <c r="M104" i="10"/>
  <c r="L104" i="10"/>
  <c r="K104" i="10"/>
  <c r="J104" i="10"/>
  <c r="I104" i="10"/>
  <c r="H104" i="10"/>
  <c r="G104" i="10"/>
  <c r="F104" i="10"/>
  <c r="E104" i="10"/>
  <c r="N103" i="10"/>
  <c r="M103" i="10"/>
  <c r="L103" i="10"/>
  <c r="K103" i="10"/>
  <c r="J103" i="10"/>
  <c r="I103" i="10"/>
  <c r="H103" i="10"/>
  <c r="G103" i="10"/>
  <c r="F103" i="10"/>
  <c r="E103" i="10"/>
  <c r="B103" i="10"/>
  <c r="N102" i="10"/>
  <c r="M102" i="10"/>
  <c r="L102" i="10"/>
  <c r="K102" i="10"/>
  <c r="J102" i="10"/>
  <c r="I102" i="10"/>
  <c r="H102" i="10"/>
  <c r="G102" i="10"/>
  <c r="F102" i="10"/>
  <c r="E102" i="10"/>
  <c r="N101" i="10"/>
  <c r="M101" i="10"/>
  <c r="L101" i="10"/>
  <c r="K101" i="10"/>
  <c r="J101" i="10"/>
  <c r="I101" i="10"/>
  <c r="H101" i="10"/>
  <c r="G101" i="10"/>
  <c r="F101" i="10"/>
  <c r="E101" i="10"/>
  <c r="N100" i="10"/>
  <c r="M100" i="10"/>
  <c r="L100" i="10"/>
  <c r="K100" i="10"/>
  <c r="J100" i="10"/>
  <c r="I100" i="10"/>
  <c r="H100" i="10"/>
  <c r="G100" i="10"/>
  <c r="F100" i="10"/>
  <c r="E100" i="10"/>
  <c r="N99" i="10"/>
  <c r="M99" i="10"/>
  <c r="L99" i="10"/>
  <c r="K99" i="10"/>
  <c r="J99" i="10"/>
  <c r="I99" i="10"/>
  <c r="H99" i="10"/>
  <c r="G99" i="10"/>
  <c r="F99" i="10"/>
  <c r="E99" i="10"/>
  <c r="N95" i="10"/>
  <c r="M95" i="10"/>
  <c r="L95" i="10"/>
  <c r="K95" i="10"/>
  <c r="J95" i="10"/>
  <c r="I95" i="10"/>
  <c r="H95" i="10"/>
  <c r="G95" i="10"/>
  <c r="F95" i="10"/>
  <c r="E95" i="10"/>
  <c r="B95" i="10"/>
  <c r="N94" i="10"/>
  <c r="M94" i="10"/>
  <c r="L94" i="10"/>
  <c r="K94" i="10"/>
  <c r="J94" i="10"/>
  <c r="I94" i="10"/>
  <c r="H94" i="10"/>
  <c r="G94" i="10"/>
  <c r="F94" i="10"/>
  <c r="E94" i="10"/>
  <c r="B94" i="10"/>
  <c r="N93" i="10"/>
  <c r="M93" i="10"/>
  <c r="L93" i="10"/>
  <c r="K93" i="10"/>
  <c r="J93" i="10"/>
  <c r="I93" i="10"/>
  <c r="H93" i="10"/>
  <c r="G93" i="10"/>
  <c r="F93" i="10"/>
  <c r="E93" i="10"/>
  <c r="B93" i="10"/>
  <c r="N92" i="10"/>
  <c r="M92" i="10"/>
  <c r="L92" i="10"/>
  <c r="K92" i="10"/>
  <c r="J92" i="10"/>
  <c r="I92" i="10"/>
  <c r="H92" i="10"/>
  <c r="G92" i="10"/>
  <c r="F92" i="10"/>
  <c r="E92" i="10"/>
  <c r="B92" i="10"/>
  <c r="N91" i="10"/>
  <c r="M91" i="10"/>
  <c r="L91" i="10"/>
  <c r="K91" i="10"/>
  <c r="J91" i="10"/>
  <c r="I91" i="10"/>
  <c r="H91" i="10"/>
  <c r="G91" i="10"/>
  <c r="F91" i="10"/>
  <c r="E91" i="10"/>
  <c r="B91" i="10"/>
  <c r="N90" i="10"/>
  <c r="M90" i="10"/>
  <c r="L90" i="10"/>
  <c r="K90" i="10"/>
  <c r="J90" i="10"/>
  <c r="I90" i="10"/>
  <c r="H90" i="10"/>
  <c r="G90" i="10"/>
  <c r="F90" i="10"/>
  <c r="E90" i="10"/>
  <c r="B90" i="10"/>
  <c r="N89" i="10"/>
  <c r="M89" i="10"/>
  <c r="L89" i="10"/>
  <c r="K89" i="10"/>
  <c r="J89" i="10"/>
  <c r="I89" i="10"/>
  <c r="H89" i="10"/>
  <c r="G89" i="10"/>
  <c r="F89" i="10"/>
  <c r="E89" i="10"/>
  <c r="B89" i="10"/>
  <c r="N88" i="10"/>
  <c r="M88" i="10"/>
  <c r="L88" i="10"/>
  <c r="K88" i="10"/>
  <c r="J88" i="10"/>
  <c r="I88" i="10"/>
  <c r="H88" i="10"/>
  <c r="G88" i="10"/>
  <c r="F88" i="10"/>
  <c r="E88" i="10"/>
  <c r="B88" i="10"/>
  <c r="N87" i="10"/>
  <c r="M87" i="10"/>
  <c r="L87" i="10"/>
  <c r="K87" i="10"/>
  <c r="J87" i="10"/>
  <c r="I87" i="10"/>
  <c r="H87" i="10"/>
  <c r="G87" i="10"/>
  <c r="F87" i="10"/>
  <c r="E87" i="10"/>
  <c r="B87" i="10"/>
  <c r="N86" i="10"/>
  <c r="M86" i="10"/>
  <c r="L86" i="10"/>
  <c r="K86" i="10"/>
  <c r="J86" i="10"/>
  <c r="I86" i="10"/>
  <c r="H86" i="10"/>
  <c r="G86" i="10"/>
  <c r="F86" i="10"/>
  <c r="E86" i="10"/>
  <c r="U6" i="10" s="1"/>
  <c r="B86" i="10"/>
  <c r="N85" i="10"/>
  <c r="M85" i="10"/>
  <c r="L85" i="10"/>
  <c r="K85" i="10"/>
  <c r="J85" i="10"/>
  <c r="I85" i="10"/>
  <c r="H85" i="10"/>
  <c r="G85" i="10"/>
  <c r="F85" i="10"/>
  <c r="E85" i="10"/>
  <c r="B85" i="10"/>
  <c r="N84" i="10"/>
  <c r="M84" i="10"/>
  <c r="L84" i="10"/>
  <c r="K84" i="10"/>
  <c r="J84" i="10"/>
  <c r="I84" i="10"/>
  <c r="H84" i="10"/>
  <c r="G84" i="10"/>
  <c r="F84" i="10"/>
  <c r="E84" i="10"/>
  <c r="B84" i="10"/>
  <c r="N83" i="10"/>
  <c r="M83" i="10"/>
  <c r="L83" i="10"/>
  <c r="K83" i="10"/>
  <c r="J83" i="10"/>
  <c r="I83" i="10"/>
  <c r="H83" i="10"/>
  <c r="G83" i="10"/>
  <c r="F83" i="10"/>
  <c r="E83" i="10"/>
  <c r="B83" i="10"/>
  <c r="N82" i="10"/>
  <c r="M82" i="10"/>
  <c r="L82" i="10"/>
  <c r="K82" i="10"/>
  <c r="J82" i="10"/>
  <c r="I82" i="10"/>
  <c r="T23" i="10" s="1"/>
  <c r="H82" i="10"/>
  <c r="G82" i="10"/>
  <c r="F82" i="10"/>
  <c r="E82" i="10"/>
  <c r="B82" i="10"/>
  <c r="N81" i="10"/>
  <c r="M81" i="10"/>
  <c r="L81" i="10"/>
  <c r="K81" i="10"/>
  <c r="J81" i="10"/>
  <c r="I81" i="10"/>
  <c r="H81" i="10"/>
  <c r="G81" i="10"/>
  <c r="F81" i="10"/>
  <c r="E81" i="10"/>
  <c r="B81" i="10"/>
  <c r="N80" i="10"/>
  <c r="M80" i="10"/>
  <c r="L80" i="10"/>
  <c r="K80" i="10"/>
  <c r="J80" i="10"/>
  <c r="I80" i="10"/>
  <c r="H80" i="10"/>
  <c r="G80" i="10"/>
  <c r="F80" i="10"/>
  <c r="E80" i="10"/>
  <c r="B80" i="10"/>
  <c r="N79" i="10"/>
  <c r="M79" i="10"/>
  <c r="L79" i="10"/>
  <c r="K79" i="10"/>
  <c r="J79" i="10"/>
  <c r="I79" i="10"/>
  <c r="H79" i="10"/>
  <c r="G79" i="10"/>
  <c r="F79" i="10"/>
  <c r="E79" i="10"/>
  <c r="B79" i="10"/>
  <c r="N78" i="10"/>
  <c r="M78" i="10"/>
  <c r="L78" i="10"/>
  <c r="K78" i="10"/>
  <c r="J78" i="10"/>
  <c r="I78" i="10"/>
  <c r="H78" i="10"/>
  <c r="G78" i="10"/>
  <c r="F78" i="10"/>
  <c r="E78" i="10"/>
  <c r="B78" i="10"/>
  <c r="N77" i="10"/>
  <c r="M77" i="10"/>
  <c r="L77" i="10"/>
  <c r="K77" i="10"/>
  <c r="J77" i="10"/>
  <c r="I77" i="10"/>
  <c r="H77" i="10"/>
  <c r="G77" i="10"/>
  <c r="F77" i="10"/>
  <c r="E77" i="10"/>
  <c r="B77" i="10"/>
  <c r="N76" i="10"/>
  <c r="M76" i="10"/>
  <c r="L76" i="10"/>
  <c r="K76" i="10"/>
  <c r="J76" i="10"/>
  <c r="I76" i="10"/>
  <c r="H76" i="10"/>
  <c r="G76" i="10"/>
  <c r="F76" i="10"/>
  <c r="E76" i="10"/>
  <c r="B76" i="10"/>
  <c r="N75" i="10"/>
  <c r="M75" i="10"/>
  <c r="L75" i="10"/>
  <c r="K75" i="10"/>
  <c r="J75" i="10"/>
  <c r="I75" i="10"/>
  <c r="H75" i="10"/>
  <c r="G75" i="10"/>
  <c r="F75" i="10"/>
  <c r="E75" i="10"/>
  <c r="B75" i="10"/>
  <c r="N74" i="10"/>
  <c r="M74" i="10"/>
  <c r="L74" i="10"/>
  <c r="K74" i="10"/>
  <c r="J74" i="10"/>
  <c r="I74" i="10"/>
  <c r="H74" i="10"/>
  <c r="G74" i="10"/>
  <c r="F74" i="10"/>
  <c r="E74" i="10"/>
  <c r="B74" i="10"/>
  <c r="N73" i="10"/>
  <c r="M73" i="10"/>
  <c r="L73" i="10"/>
  <c r="K73" i="10"/>
  <c r="J73" i="10"/>
  <c r="I73" i="10"/>
  <c r="H73" i="10"/>
  <c r="G73" i="10"/>
  <c r="F73" i="10"/>
  <c r="E73" i="10"/>
  <c r="S5" i="10" s="1"/>
  <c r="B73" i="10"/>
  <c r="N72" i="10"/>
  <c r="M72" i="10"/>
  <c r="L72" i="10"/>
  <c r="K72" i="10"/>
  <c r="J72" i="10"/>
  <c r="I72" i="10"/>
  <c r="H72" i="10"/>
  <c r="G72" i="10"/>
  <c r="F72" i="10"/>
  <c r="E72" i="10"/>
  <c r="B72" i="10"/>
  <c r="N71" i="10"/>
  <c r="M71" i="10"/>
  <c r="L71" i="10"/>
  <c r="K71" i="10"/>
  <c r="J71" i="10"/>
  <c r="I71" i="10"/>
  <c r="H71" i="10"/>
  <c r="G71" i="10"/>
  <c r="F71" i="10"/>
  <c r="E71" i="10"/>
  <c r="B71" i="10"/>
  <c r="N70" i="10"/>
  <c r="M70" i="10"/>
  <c r="L70" i="10"/>
  <c r="K70" i="10"/>
  <c r="J70" i="10"/>
  <c r="I70" i="10"/>
  <c r="H70" i="10"/>
  <c r="G70" i="10"/>
  <c r="F70" i="10"/>
  <c r="E70" i="10"/>
  <c r="B70" i="10"/>
  <c r="N69" i="10"/>
  <c r="M69" i="10"/>
  <c r="L69" i="10"/>
  <c r="K69" i="10"/>
  <c r="J69" i="10"/>
  <c r="I69" i="10"/>
  <c r="H69" i="10"/>
  <c r="G69" i="10"/>
  <c r="F69" i="10"/>
  <c r="E69" i="10"/>
  <c r="B69" i="10"/>
  <c r="N68" i="10"/>
  <c r="M68" i="10"/>
  <c r="L68" i="10"/>
  <c r="K68" i="10"/>
  <c r="J68" i="10"/>
  <c r="I68" i="10"/>
  <c r="H68" i="10"/>
  <c r="G68" i="10"/>
  <c r="F68" i="10"/>
  <c r="E68" i="10"/>
  <c r="B68" i="10"/>
  <c r="N67" i="10"/>
  <c r="M67" i="10"/>
  <c r="L67" i="10"/>
  <c r="K67" i="10"/>
  <c r="J67" i="10"/>
  <c r="I67" i="10"/>
  <c r="H67" i="10"/>
  <c r="G67" i="10"/>
  <c r="F67" i="10"/>
  <c r="E67" i="10"/>
  <c r="B67" i="10"/>
  <c r="N66" i="10"/>
  <c r="M66" i="10"/>
  <c r="L66" i="10"/>
  <c r="K66" i="10"/>
  <c r="J66" i="10"/>
  <c r="I66" i="10"/>
  <c r="H66" i="10"/>
  <c r="G66" i="10"/>
  <c r="F66" i="10"/>
  <c r="E66" i="10"/>
  <c r="B66" i="10"/>
  <c r="N65" i="10"/>
  <c r="M65" i="10"/>
  <c r="L65" i="10"/>
  <c r="K65" i="10"/>
  <c r="J65" i="10"/>
  <c r="I65" i="10"/>
  <c r="H65" i="10"/>
  <c r="G65" i="10"/>
  <c r="F65" i="10"/>
  <c r="E65" i="10"/>
  <c r="B65" i="10"/>
  <c r="N64" i="10"/>
  <c r="M64" i="10"/>
  <c r="L64" i="10"/>
  <c r="K64" i="10"/>
  <c r="J64" i="10"/>
  <c r="I64" i="10"/>
  <c r="H64" i="10"/>
  <c r="G64" i="10"/>
  <c r="F64" i="10"/>
  <c r="E64" i="10"/>
  <c r="B64" i="10"/>
  <c r="N63" i="10"/>
  <c r="M63" i="10"/>
  <c r="L63" i="10"/>
  <c r="K63" i="10"/>
  <c r="J63" i="10"/>
  <c r="I63" i="10"/>
  <c r="H63" i="10"/>
  <c r="G63" i="10"/>
  <c r="F63" i="10"/>
  <c r="E63" i="10"/>
  <c r="B63" i="10"/>
  <c r="N62" i="10"/>
  <c r="M62" i="10"/>
  <c r="L62" i="10"/>
  <c r="K62" i="10"/>
  <c r="J62" i="10"/>
  <c r="I62" i="10"/>
  <c r="H62" i="10"/>
  <c r="G62" i="10"/>
  <c r="F62" i="10"/>
  <c r="E62" i="10"/>
  <c r="B62" i="10"/>
  <c r="N61" i="10"/>
  <c r="M61" i="10"/>
  <c r="L61" i="10"/>
  <c r="K61" i="10"/>
  <c r="J61" i="10"/>
  <c r="I61" i="10"/>
  <c r="H61" i="10"/>
  <c r="G61" i="10"/>
  <c r="F61" i="10"/>
  <c r="E61" i="10"/>
  <c r="B61" i="10"/>
  <c r="N60" i="10"/>
  <c r="M60" i="10"/>
  <c r="L60" i="10"/>
  <c r="K60" i="10"/>
  <c r="J60" i="10"/>
  <c r="I60" i="10"/>
  <c r="H60" i="10"/>
  <c r="G60" i="10"/>
  <c r="F60" i="10"/>
  <c r="E60" i="10"/>
  <c r="B60" i="10"/>
  <c r="N59" i="10"/>
  <c r="M59" i="10"/>
  <c r="L59" i="10"/>
  <c r="K59" i="10"/>
  <c r="J59" i="10"/>
  <c r="I59" i="10"/>
  <c r="H59" i="10"/>
  <c r="G59" i="10"/>
  <c r="F59" i="10"/>
  <c r="E59" i="10"/>
  <c r="B59" i="10"/>
  <c r="N58" i="10"/>
  <c r="M58" i="10"/>
  <c r="L58" i="10"/>
  <c r="K58" i="10"/>
  <c r="J58" i="10"/>
  <c r="I58" i="10"/>
  <c r="H58" i="10"/>
  <c r="G58" i="10"/>
  <c r="F58" i="10"/>
  <c r="E58" i="10"/>
  <c r="B58" i="10"/>
  <c r="N57" i="10"/>
  <c r="M57" i="10"/>
  <c r="L57" i="10"/>
  <c r="K57" i="10"/>
  <c r="J57" i="10"/>
  <c r="I57" i="10"/>
  <c r="H57" i="10"/>
  <c r="G57" i="10"/>
  <c r="F57" i="10"/>
  <c r="E57" i="10"/>
  <c r="B57" i="10"/>
  <c r="N56" i="10"/>
  <c r="M56" i="10"/>
  <c r="L56" i="10"/>
  <c r="K56" i="10"/>
  <c r="J56" i="10"/>
  <c r="I56" i="10"/>
  <c r="H56" i="10"/>
  <c r="G56" i="10"/>
  <c r="F56" i="10"/>
  <c r="E56" i="10"/>
  <c r="B56" i="10"/>
  <c r="N55" i="10"/>
  <c r="M55" i="10"/>
  <c r="L55" i="10"/>
  <c r="K55" i="10"/>
  <c r="J55" i="10"/>
  <c r="I55" i="10"/>
  <c r="H55" i="10"/>
  <c r="G55" i="10"/>
  <c r="F55" i="10"/>
  <c r="E55" i="10"/>
  <c r="B55" i="10"/>
  <c r="N54" i="10"/>
  <c r="M54" i="10"/>
  <c r="L54" i="10"/>
  <c r="K54" i="10"/>
  <c r="J54" i="10"/>
  <c r="I54" i="10"/>
  <c r="H54" i="10"/>
  <c r="G54" i="10"/>
  <c r="F54" i="10"/>
  <c r="E54" i="10"/>
  <c r="B54" i="10"/>
  <c r="N53" i="10"/>
  <c r="M53" i="10"/>
  <c r="L53" i="10"/>
  <c r="K53" i="10"/>
  <c r="J53" i="10"/>
  <c r="I53" i="10"/>
  <c r="H53" i="10"/>
  <c r="G53" i="10"/>
  <c r="F53" i="10"/>
  <c r="E53" i="10"/>
  <c r="B53" i="10"/>
  <c r="N52" i="10"/>
  <c r="M52" i="10"/>
  <c r="L52" i="10"/>
  <c r="K52" i="10"/>
  <c r="J52" i="10"/>
  <c r="I52" i="10"/>
  <c r="H52" i="10"/>
  <c r="G52" i="10"/>
  <c r="F52" i="10"/>
  <c r="E52" i="10"/>
  <c r="B52" i="10"/>
  <c r="N51" i="10"/>
  <c r="M51" i="10"/>
  <c r="L51" i="10"/>
  <c r="K51" i="10"/>
  <c r="J51" i="10"/>
  <c r="I51" i="10"/>
  <c r="H51" i="10"/>
  <c r="G51" i="10"/>
  <c r="F51" i="10"/>
  <c r="E51" i="10"/>
  <c r="B51" i="10"/>
  <c r="N50" i="10"/>
  <c r="M50" i="10"/>
  <c r="L50" i="10"/>
  <c r="K50" i="10"/>
  <c r="J50" i="10"/>
  <c r="I50" i="10"/>
  <c r="H50" i="10"/>
  <c r="G50" i="10"/>
  <c r="F50" i="10"/>
  <c r="E50" i="10"/>
  <c r="B50" i="10"/>
  <c r="N49" i="10"/>
  <c r="M49" i="10"/>
  <c r="L49" i="10"/>
  <c r="K49" i="10"/>
  <c r="J49" i="10"/>
  <c r="I49" i="10"/>
  <c r="H49" i="10"/>
  <c r="G49" i="10"/>
  <c r="F49" i="10"/>
  <c r="E49" i="10"/>
  <c r="B49" i="10"/>
  <c r="N48" i="10"/>
  <c r="M48" i="10"/>
  <c r="L48" i="10"/>
  <c r="K48" i="10"/>
  <c r="J48" i="10"/>
  <c r="I48" i="10"/>
  <c r="H48" i="10"/>
  <c r="G48" i="10"/>
  <c r="F48" i="10"/>
  <c r="E48" i="10"/>
  <c r="B48" i="10"/>
  <c r="N47" i="10"/>
  <c r="M47" i="10"/>
  <c r="L47" i="10"/>
  <c r="K47" i="10"/>
  <c r="J47" i="10"/>
  <c r="I47" i="10"/>
  <c r="H47" i="10"/>
  <c r="G47" i="10"/>
  <c r="F47" i="10"/>
  <c r="E47" i="10"/>
  <c r="B47" i="10"/>
  <c r="N46" i="10"/>
  <c r="M46" i="10"/>
  <c r="L46" i="10"/>
  <c r="K46" i="10"/>
  <c r="J46" i="10"/>
  <c r="I46" i="10"/>
  <c r="H46" i="10"/>
  <c r="G46" i="10"/>
  <c r="F46" i="10"/>
  <c r="E46" i="10"/>
  <c r="B46" i="10"/>
  <c r="N45" i="10"/>
  <c r="M45" i="10"/>
  <c r="L45" i="10"/>
  <c r="K45" i="10"/>
  <c r="J45" i="10"/>
  <c r="I45" i="10"/>
  <c r="H45" i="10"/>
  <c r="G45" i="10"/>
  <c r="F45" i="10"/>
  <c r="E45" i="10"/>
  <c r="B45" i="10"/>
  <c r="N44" i="10"/>
  <c r="M44" i="10"/>
  <c r="L44" i="10"/>
  <c r="K44" i="10"/>
  <c r="J44" i="10"/>
  <c r="I44" i="10"/>
  <c r="H44" i="10"/>
  <c r="G44" i="10"/>
  <c r="F44" i="10"/>
  <c r="E44" i="10"/>
  <c r="B44" i="10"/>
  <c r="N43" i="10"/>
  <c r="M43" i="10"/>
  <c r="L43" i="10"/>
  <c r="K43" i="10"/>
  <c r="J43" i="10"/>
  <c r="I43" i="10"/>
  <c r="H43" i="10"/>
  <c r="G43" i="10"/>
  <c r="F43" i="10"/>
  <c r="E43" i="10"/>
  <c r="N42" i="10"/>
  <c r="M42" i="10"/>
  <c r="L42" i="10"/>
  <c r="K42" i="10"/>
  <c r="J42" i="10"/>
  <c r="I42" i="10"/>
  <c r="H42" i="10"/>
  <c r="G42" i="10"/>
  <c r="F42" i="10"/>
  <c r="E42" i="10"/>
  <c r="N41" i="10"/>
  <c r="M41" i="10"/>
  <c r="L41" i="10"/>
  <c r="K41" i="10"/>
  <c r="J41" i="10"/>
  <c r="I41" i="10"/>
  <c r="H41" i="10"/>
  <c r="G41" i="10"/>
  <c r="F41" i="10"/>
  <c r="E41" i="10"/>
  <c r="N40" i="10"/>
  <c r="M40" i="10"/>
  <c r="L40" i="10"/>
  <c r="K40" i="10"/>
  <c r="J40" i="10"/>
  <c r="I40" i="10"/>
  <c r="H40" i="10"/>
  <c r="G40" i="10"/>
  <c r="F40" i="10"/>
  <c r="E40" i="10"/>
  <c r="N39" i="10"/>
  <c r="M39" i="10"/>
  <c r="L39" i="10"/>
  <c r="K39" i="10"/>
  <c r="J39" i="10"/>
  <c r="I39" i="10"/>
  <c r="H39" i="10"/>
  <c r="G39" i="10"/>
  <c r="F39" i="10"/>
  <c r="E39" i="10"/>
  <c r="N38" i="10"/>
  <c r="M38" i="10"/>
  <c r="L38" i="10"/>
  <c r="K38" i="10"/>
  <c r="J38" i="10"/>
  <c r="I38" i="10"/>
  <c r="H38" i="10"/>
  <c r="G38" i="10"/>
  <c r="F38" i="10"/>
  <c r="E38" i="10"/>
  <c r="N37" i="10"/>
  <c r="M37" i="10"/>
  <c r="L37" i="10"/>
  <c r="K37" i="10"/>
  <c r="J37" i="10"/>
  <c r="I37" i="10"/>
  <c r="H37" i="10"/>
  <c r="G37" i="10"/>
  <c r="F37" i="10"/>
  <c r="E37" i="10"/>
  <c r="N36" i="10"/>
  <c r="M36" i="10"/>
  <c r="L36" i="10"/>
  <c r="K36" i="10"/>
  <c r="J36" i="10"/>
  <c r="I36" i="10"/>
  <c r="H36" i="10"/>
  <c r="G36" i="10"/>
  <c r="F36" i="10"/>
  <c r="E36" i="10"/>
  <c r="N35" i="10"/>
  <c r="M35" i="10"/>
  <c r="L35" i="10"/>
  <c r="K35" i="10"/>
  <c r="J35" i="10"/>
  <c r="I35" i="10"/>
  <c r="H35" i="10"/>
  <c r="G35" i="10"/>
  <c r="F35" i="10"/>
  <c r="E35" i="10"/>
  <c r="N34" i="10"/>
  <c r="M34" i="10"/>
  <c r="L34" i="10"/>
  <c r="K34" i="10"/>
  <c r="J34" i="10"/>
  <c r="I34" i="10"/>
  <c r="H34" i="10"/>
  <c r="G34" i="10"/>
  <c r="F34" i="10"/>
  <c r="E34" i="10"/>
  <c r="N33" i="10"/>
  <c r="M33" i="10"/>
  <c r="L33" i="10"/>
  <c r="K33" i="10"/>
  <c r="J33" i="10"/>
  <c r="I33" i="10"/>
  <c r="H33" i="10"/>
  <c r="G33" i="10"/>
  <c r="F33" i="10"/>
  <c r="E33" i="10"/>
  <c r="N32" i="10"/>
  <c r="M32" i="10"/>
  <c r="T42" i="10" s="1"/>
  <c r="L32" i="10"/>
  <c r="U37" i="10" s="1"/>
  <c r="K32" i="10"/>
  <c r="J32" i="10"/>
  <c r="I32" i="10"/>
  <c r="H32" i="10"/>
  <c r="G32" i="10"/>
  <c r="F32" i="10"/>
  <c r="E32" i="10"/>
  <c r="N31" i="10"/>
  <c r="M31" i="10"/>
  <c r="L31" i="10"/>
  <c r="K31" i="10"/>
  <c r="J31" i="10"/>
  <c r="I31" i="10"/>
  <c r="H31" i="10"/>
  <c r="G31" i="10"/>
  <c r="F31" i="10"/>
  <c r="E31" i="10"/>
  <c r="N30" i="10"/>
  <c r="M30" i="10"/>
  <c r="L30" i="10"/>
  <c r="K30" i="10"/>
  <c r="J30" i="10"/>
  <c r="I30" i="10"/>
  <c r="H30" i="10"/>
  <c r="G30" i="10"/>
  <c r="F30" i="10"/>
  <c r="E30" i="10"/>
  <c r="N29" i="10"/>
  <c r="M29" i="10"/>
  <c r="L29" i="10"/>
  <c r="K29" i="10"/>
  <c r="J29" i="10"/>
  <c r="I29" i="10"/>
  <c r="H29" i="10"/>
  <c r="G29" i="10"/>
  <c r="F29" i="10"/>
  <c r="E29" i="10"/>
  <c r="N28" i="10"/>
  <c r="M28" i="10"/>
  <c r="L28" i="10"/>
  <c r="K28" i="10"/>
  <c r="J28" i="10"/>
  <c r="I28" i="10"/>
  <c r="H28" i="10"/>
  <c r="G28" i="10"/>
  <c r="F28" i="10"/>
  <c r="E28" i="10"/>
  <c r="S27" i="10"/>
  <c r="N27" i="10"/>
  <c r="M27" i="10"/>
  <c r="L27" i="10"/>
  <c r="K27" i="10"/>
  <c r="J27" i="10"/>
  <c r="I27" i="10"/>
  <c r="H27" i="10"/>
  <c r="G27" i="10"/>
  <c r="U15" i="10" s="1"/>
  <c r="F27" i="10"/>
  <c r="E27" i="10"/>
  <c r="N26" i="10"/>
  <c r="M26" i="10"/>
  <c r="L26" i="10"/>
  <c r="K26" i="10"/>
  <c r="J26" i="10"/>
  <c r="I26" i="10"/>
  <c r="H26" i="10"/>
  <c r="G26" i="10"/>
  <c r="F26" i="10"/>
  <c r="E26" i="10"/>
  <c r="N25" i="10"/>
  <c r="M25" i="10"/>
  <c r="L25" i="10"/>
  <c r="K25" i="10"/>
  <c r="J25" i="10"/>
  <c r="I25" i="10"/>
  <c r="H25" i="10"/>
  <c r="G25" i="10"/>
  <c r="F25" i="10"/>
  <c r="E25" i="10"/>
  <c r="N24" i="10"/>
  <c r="M24" i="10"/>
  <c r="L24" i="10"/>
  <c r="K24" i="10"/>
  <c r="J24" i="10"/>
  <c r="I24" i="10"/>
  <c r="H24" i="10"/>
  <c r="G24" i="10"/>
  <c r="F24" i="10"/>
  <c r="E24" i="10"/>
  <c r="N23" i="10"/>
  <c r="M23" i="10"/>
  <c r="L23" i="10"/>
  <c r="K23" i="10"/>
  <c r="J23" i="10"/>
  <c r="I23" i="10"/>
  <c r="H23" i="10"/>
  <c r="G23" i="10"/>
  <c r="F23" i="10"/>
  <c r="E23" i="10"/>
  <c r="N22" i="10"/>
  <c r="M22" i="10"/>
  <c r="L22" i="10"/>
  <c r="K22" i="10"/>
  <c r="J22" i="10"/>
  <c r="I22" i="10"/>
  <c r="H22" i="10"/>
  <c r="G22" i="10"/>
  <c r="F22" i="10"/>
  <c r="E22" i="10"/>
  <c r="N21" i="10"/>
  <c r="M21" i="10"/>
  <c r="L21" i="10"/>
  <c r="K21" i="10"/>
  <c r="U32" i="10" s="1"/>
  <c r="J21" i="10"/>
  <c r="I21" i="10"/>
  <c r="H21" i="10"/>
  <c r="G21" i="10"/>
  <c r="F21" i="10"/>
  <c r="E21" i="10"/>
  <c r="N20" i="10"/>
  <c r="M20" i="10"/>
  <c r="L20" i="10"/>
  <c r="S36" i="10" s="1"/>
  <c r="K20" i="10"/>
  <c r="J20" i="10"/>
  <c r="I20" i="10"/>
  <c r="H20" i="10"/>
  <c r="G20" i="10"/>
  <c r="F20" i="10"/>
  <c r="E20" i="10"/>
  <c r="N19" i="10"/>
  <c r="M19" i="10"/>
  <c r="L19" i="10"/>
  <c r="K19" i="10"/>
  <c r="J19" i="10"/>
  <c r="I19" i="10"/>
  <c r="H19" i="10"/>
  <c r="G19" i="10"/>
  <c r="F19" i="10"/>
  <c r="E19" i="10"/>
  <c r="N18" i="10"/>
  <c r="M18" i="10"/>
  <c r="L18" i="10"/>
  <c r="K18" i="10"/>
  <c r="J18" i="10"/>
  <c r="U27" i="10" s="1"/>
  <c r="I18" i="10"/>
  <c r="H18" i="10"/>
  <c r="G18" i="10"/>
  <c r="F18" i="10"/>
  <c r="E18" i="10"/>
  <c r="N17" i="10"/>
  <c r="M17" i="10"/>
  <c r="L17" i="10"/>
  <c r="K17" i="10"/>
  <c r="J17" i="10"/>
  <c r="I17" i="10"/>
  <c r="H17" i="10"/>
  <c r="G17" i="10"/>
  <c r="F17" i="10"/>
  <c r="E17" i="10"/>
  <c r="N16" i="10"/>
  <c r="M16" i="10"/>
  <c r="L16" i="10"/>
  <c r="K16" i="10"/>
  <c r="U31" i="10" s="1"/>
  <c r="J16" i="10"/>
  <c r="I16" i="10"/>
  <c r="H16" i="10"/>
  <c r="G16" i="10"/>
  <c r="F16" i="10"/>
  <c r="U11" i="10" s="1"/>
  <c r="E16" i="10"/>
  <c r="T15" i="10"/>
  <c r="N15" i="10"/>
  <c r="M15" i="10"/>
  <c r="L15" i="10"/>
  <c r="K15" i="10"/>
  <c r="J15" i="10"/>
  <c r="I15" i="10"/>
  <c r="H15" i="10"/>
  <c r="G15" i="10"/>
  <c r="F15" i="10"/>
  <c r="E15" i="10"/>
  <c r="N14" i="10"/>
  <c r="M14" i="10"/>
  <c r="L14" i="10"/>
  <c r="K14" i="10"/>
  <c r="J14" i="10"/>
  <c r="I14" i="10"/>
  <c r="H14" i="10"/>
  <c r="G14" i="10"/>
  <c r="F14" i="10"/>
  <c r="E14" i="10"/>
  <c r="N13" i="10"/>
  <c r="U46" i="10" s="1"/>
  <c r="M13" i="10"/>
  <c r="L13" i="10"/>
  <c r="K13" i="10"/>
  <c r="J13" i="10"/>
  <c r="I13" i="10"/>
  <c r="H13" i="10"/>
  <c r="G13" i="10"/>
  <c r="F13" i="10"/>
  <c r="E13" i="10"/>
  <c r="N12" i="10"/>
  <c r="M12" i="10"/>
  <c r="L12" i="10"/>
  <c r="K12" i="10"/>
  <c r="J12" i="10"/>
  <c r="I12" i="10"/>
  <c r="H12" i="10"/>
  <c r="G12" i="10"/>
  <c r="F12" i="10"/>
  <c r="E12" i="10"/>
  <c r="N11" i="10"/>
  <c r="M11" i="10"/>
  <c r="L11" i="10"/>
  <c r="U36" i="10" s="1"/>
  <c r="K11" i="10"/>
  <c r="J11" i="10"/>
  <c r="I11" i="10"/>
  <c r="H11" i="10"/>
  <c r="G11" i="10"/>
  <c r="F11" i="10"/>
  <c r="E11" i="10"/>
  <c r="B11" i="10"/>
  <c r="N10" i="10"/>
  <c r="M10" i="10"/>
  <c r="L10" i="10"/>
  <c r="K10" i="10"/>
  <c r="J10" i="10"/>
  <c r="I10" i="10"/>
  <c r="H10" i="10"/>
  <c r="G10" i="10"/>
  <c r="F10" i="10"/>
  <c r="E10" i="10"/>
  <c r="N9" i="10"/>
  <c r="M9" i="10"/>
  <c r="L9" i="10"/>
  <c r="K9" i="10"/>
  <c r="J9" i="10"/>
  <c r="I9" i="10"/>
  <c r="H9" i="10"/>
  <c r="G9" i="10"/>
  <c r="F9" i="10"/>
  <c r="E9" i="10"/>
  <c r="N8" i="10"/>
  <c r="M8" i="10"/>
  <c r="L8" i="10"/>
  <c r="T35" i="10" s="1"/>
  <c r="K8" i="10"/>
  <c r="U30" i="10" s="1"/>
  <c r="J8" i="10"/>
  <c r="I8" i="10"/>
  <c r="H8" i="10"/>
  <c r="G8" i="10"/>
  <c r="F8" i="10"/>
  <c r="E8" i="10"/>
  <c r="N7" i="10"/>
  <c r="M7" i="10"/>
  <c r="L7" i="10"/>
  <c r="K7" i="10"/>
  <c r="S30" i="10" s="1"/>
  <c r="J7" i="10"/>
  <c r="T27" i="10" s="1"/>
  <c r="I7" i="10"/>
  <c r="T22" i="10" s="1"/>
  <c r="H7" i="10"/>
  <c r="G7" i="10"/>
  <c r="F7" i="10"/>
  <c r="E7" i="10"/>
  <c r="B7" i="10"/>
  <c r="N6" i="10"/>
  <c r="M6" i="10"/>
  <c r="L6" i="10"/>
  <c r="K6" i="10"/>
  <c r="J6" i="10"/>
  <c r="I6" i="10"/>
  <c r="H6" i="10"/>
  <c r="G6" i="10"/>
  <c r="F6" i="10"/>
  <c r="E6" i="10"/>
  <c r="N5" i="10"/>
  <c r="M5" i="10"/>
  <c r="L5" i="10"/>
  <c r="K5" i="10"/>
  <c r="J5" i="10"/>
  <c r="I5" i="10"/>
  <c r="H5" i="10"/>
  <c r="G5" i="10"/>
  <c r="F5" i="10"/>
  <c r="E5" i="10"/>
  <c r="N4" i="10"/>
  <c r="M4" i="10"/>
  <c r="L4" i="10"/>
  <c r="K4" i="10"/>
  <c r="J4" i="10"/>
  <c r="I4" i="10"/>
  <c r="U22" i="10" s="1"/>
  <c r="H4" i="10"/>
  <c r="G4" i="10"/>
  <c r="S15" i="10" s="1"/>
  <c r="F4" i="10"/>
  <c r="E4" i="10"/>
  <c r="U3" i="10"/>
  <c r="T3" i="10"/>
  <c r="N3" i="10"/>
  <c r="U45" i="10" s="1"/>
  <c r="U47" i="10" s="1"/>
  <c r="M3" i="10"/>
  <c r="S40" i="10" s="1"/>
  <c r="L3" i="10"/>
  <c r="U35" i="10" s="1"/>
  <c r="K3" i="10"/>
  <c r="J3" i="10"/>
  <c r="U26" i="10" s="1"/>
  <c r="I3" i="10"/>
  <c r="H3" i="10"/>
  <c r="U18" i="10" s="1"/>
  <c r="G3" i="10"/>
  <c r="U14" i="10" s="1"/>
  <c r="F3" i="10"/>
  <c r="U10" i="10" s="1"/>
  <c r="E3" i="10"/>
  <c r="S7" i="10" s="1"/>
  <c r="U38" i="10" l="1"/>
  <c r="V27" i="10"/>
  <c r="U28" i="10"/>
  <c r="U12" i="10"/>
  <c r="U16" i="10"/>
  <c r="V3" i="10"/>
  <c r="U33" i="10"/>
  <c r="T24" i="10"/>
  <c r="U7" i="10"/>
  <c r="S35" i="10"/>
  <c r="U200" i="10"/>
  <c r="S14" i="10"/>
  <c r="S16" i="10" s="1"/>
  <c r="S6" i="10"/>
  <c r="S8" i="10" s="1"/>
  <c r="T7" i="10"/>
  <c r="S22" i="10"/>
  <c r="U23" i="10"/>
  <c r="U24" i="10" s="1"/>
  <c r="T30" i="10"/>
  <c r="T36" i="10"/>
  <c r="S41" i="10"/>
  <c r="S109" i="10" s="1"/>
  <c r="U42" i="10"/>
  <c r="U123" i="10"/>
  <c r="T200" i="10"/>
  <c r="V200" i="10" s="1"/>
  <c r="T204" i="10"/>
  <c r="V204" i="10" s="1"/>
  <c r="T206" i="10"/>
  <c r="T210" i="10"/>
  <c r="U214" i="10"/>
  <c r="T14" i="10"/>
  <c r="S19" i="10"/>
  <c r="S26" i="10"/>
  <c r="S28" i="10" s="1"/>
  <c r="S32" i="10"/>
  <c r="T40" i="10"/>
  <c r="T126" i="10"/>
  <c r="V126" i="10" s="1"/>
  <c r="S177" i="10"/>
  <c r="T196" i="10"/>
  <c r="V196" i="10" s="1"/>
  <c r="S201" i="10"/>
  <c r="S205" i="10"/>
  <c r="S231" i="10" s="1"/>
  <c r="S209" i="10"/>
  <c r="T211" i="10"/>
  <c r="T215" i="10"/>
  <c r="U210" i="10"/>
  <c r="U41" i="10"/>
  <c r="U109" i="10" s="1"/>
  <c r="T5" i="10"/>
  <c r="S11" i="10"/>
  <c r="T19" i="10"/>
  <c r="T26" i="10"/>
  <c r="T32" i="10"/>
  <c r="V32" i="10" s="1"/>
  <c r="S37" i="10"/>
  <c r="U40" i="10"/>
  <c r="S46" i="10"/>
  <c r="T177" i="10"/>
  <c r="T201" i="10"/>
  <c r="T205" i="10"/>
  <c r="T209" i="10"/>
  <c r="V209" i="10" s="1"/>
  <c r="T41" i="10"/>
  <c r="U206" i="10"/>
  <c r="U5" i="10"/>
  <c r="S10" i="10"/>
  <c r="T11" i="10"/>
  <c r="S18" i="10"/>
  <c r="U19" i="10"/>
  <c r="U20" i="10" s="1"/>
  <c r="S31" i="10"/>
  <c r="T37" i="10"/>
  <c r="S45" i="10"/>
  <c r="T46" i="10"/>
  <c r="S192" i="10"/>
  <c r="T6" i="10"/>
  <c r="T10" i="10"/>
  <c r="T18" i="10"/>
  <c r="S23" i="10"/>
  <c r="T31" i="10"/>
  <c r="V31" i="10" s="1"/>
  <c r="S42" i="10"/>
  <c r="T45" i="10"/>
  <c r="T117" i="10"/>
  <c r="V117" i="10" s="1"/>
  <c r="S123" i="10"/>
  <c r="V123" i="10" s="1"/>
  <c r="T192" i="10"/>
  <c r="S214" i="10"/>
  <c r="V214" i="10" s="1"/>
  <c r="V6" i="10" l="1"/>
  <c r="V11" i="10"/>
  <c r="S12" i="10"/>
  <c r="V37" i="10"/>
  <c r="S38" i="10"/>
  <c r="S33" i="10"/>
  <c r="S20" i="10"/>
  <c r="T38" i="10"/>
  <c r="V192" i="10"/>
  <c r="T12" i="10"/>
  <c r="V10" i="10"/>
  <c r="T16" i="10"/>
  <c r="V14" i="10"/>
  <c r="W13" i="10" s="1"/>
  <c r="V35" i="10"/>
  <c r="V177" i="10"/>
  <c r="U8" i="10"/>
  <c r="U43" i="10"/>
  <c r="V22" i="10"/>
  <c r="W21" i="10" s="1"/>
  <c r="T33" i="10"/>
  <c r="V30" i="10"/>
  <c r="W29" i="10" s="1"/>
  <c r="V40" i="10"/>
  <c r="T43" i="10"/>
  <c r="S24" i="10"/>
  <c r="T47" i="10"/>
  <c r="V45" i="10"/>
  <c r="W44" i="10" s="1"/>
  <c r="V7" i="10"/>
  <c r="W4" i="10" s="1"/>
  <c r="S47" i="10"/>
  <c r="T109" i="10"/>
  <c r="V109" i="10" s="1"/>
  <c r="V41" i="10"/>
  <c r="V26" i="10"/>
  <c r="W25" i="10" s="1"/>
  <c r="T28" i="10"/>
  <c r="T8" i="10"/>
  <c r="T20" i="10"/>
  <c r="V18" i="10"/>
  <c r="W17" i="10" s="1"/>
  <c r="V205" i="10"/>
  <c r="T231" i="10"/>
  <c r="V231" i="10" s="1"/>
  <c r="S43" i="10"/>
  <c r="W9" i="10" l="1"/>
  <c r="W34" i="10"/>
  <c r="W39" i="10"/>
  <c r="W48" i="10" s="1"/>
  <c r="W203" i="10"/>
  <c r="W199" i="10"/>
  <c r="W149" i="10"/>
  <c r="W195" i="10"/>
  <c r="W213" i="10"/>
  <c r="W119" i="10"/>
  <c r="W190" i="10"/>
  <c r="W112" i="10"/>
  <c r="W208" i="10"/>
  <c r="W337" i="10"/>
  <c r="W320" i="10"/>
  <c r="W332" i="10"/>
  <c r="W316" i="10"/>
  <c r="W237" i="10"/>
  <c r="W312" i="10"/>
  <c r="W328" i="10"/>
  <c r="W324" i="10"/>
  <c r="W216" i="10" l="1"/>
  <c r="H542" i="8"/>
  <c r="H440" i="8"/>
  <c r="H334" i="8"/>
  <c r="H230" i="8"/>
  <c r="H122" i="8"/>
  <c r="E8" i="5"/>
  <c r="H15" i="8"/>
  <c r="AA38" i="9"/>
  <c r="AA48" i="9"/>
  <c r="AP16" i="9"/>
  <c r="AO16" i="9"/>
  <c r="AN16" i="9"/>
  <c r="AM16" i="9"/>
  <c r="AL16" i="9"/>
  <c r="AK16" i="9"/>
  <c r="AJ16" i="9"/>
  <c r="AI16" i="9"/>
  <c r="AH16" i="9"/>
  <c r="AG16" i="9"/>
  <c r="AP15" i="9"/>
  <c r="AO15" i="9"/>
  <c r="AN15" i="9"/>
  <c r="AM15" i="9"/>
  <c r="AL15" i="9"/>
  <c r="AK15" i="9"/>
  <c r="AJ15" i="9"/>
  <c r="AI15" i="9"/>
  <c r="AH15" i="9"/>
  <c r="AG15" i="9"/>
  <c r="AP14" i="9"/>
  <c r="AO14" i="9"/>
  <c r="AN14" i="9"/>
  <c r="AM14" i="9"/>
  <c r="AL14" i="9"/>
  <c r="AK14" i="9"/>
  <c r="AJ14" i="9"/>
  <c r="AI14" i="9"/>
  <c r="AH14" i="9"/>
  <c r="AG14" i="9"/>
  <c r="AP13" i="9"/>
  <c r="AO13" i="9"/>
  <c r="AN13" i="9"/>
  <c r="AM13" i="9"/>
  <c r="AL13" i="9"/>
  <c r="AK13" i="9"/>
  <c r="AJ13" i="9"/>
  <c r="AI13" i="9"/>
  <c r="AH13" i="9"/>
  <c r="AG13" i="9"/>
  <c r="AP12" i="9"/>
  <c r="AO12" i="9"/>
  <c r="AN12" i="9"/>
  <c r="AM12" i="9"/>
  <c r="AL12" i="9"/>
  <c r="AK12" i="9"/>
  <c r="AJ12" i="9"/>
  <c r="AI12" i="9"/>
  <c r="AH12" i="9"/>
  <c r="AG12" i="9"/>
  <c r="AP11" i="9"/>
  <c r="AO11" i="9"/>
  <c r="AN11" i="9"/>
  <c r="AM11" i="9"/>
  <c r="AL11" i="9"/>
  <c r="AK11" i="9"/>
  <c r="AJ11" i="9"/>
  <c r="AI11" i="9"/>
  <c r="AH11" i="9"/>
  <c r="AG11" i="9"/>
  <c r="AP10" i="9"/>
  <c r="AO10" i="9"/>
  <c r="AN10" i="9"/>
  <c r="AM10" i="9"/>
  <c r="AL10" i="9"/>
  <c r="AK10" i="9"/>
  <c r="AJ10" i="9"/>
  <c r="AI10" i="9"/>
  <c r="AH10" i="9"/>
  <c r="AG10" i="9"/>
  <c r="AP9" i="9"/>
  <c r="AO9" i="9"/>
  <c r="AN9" i="9"/>
  <c r="AM9" i="9"/>
  <c r="AL9" i="9"/>
  <c r="AK9" i="9"/>
  <c r="AJ9" i="9"/>
  <c r="AI9" i="9"/>
  <c r="AH9" i="9"/>
  <c r="AG9" i="9"/>
  <c r="AP8" i="9"/>
  <c r="AO8" i="9"/>
  <c r="AN8" i="9"/>
  <c r="AM8" i="9"/>
  <c r="AL8" i="9"/>
  <c r="AK8" i="9"/>
  <c r="AJ8" i="9"/>
  <c r="AI8" i="9"/>
  <c r="AH8" i="9"/>
  <c r="AG8" i="9"/>
  <c r="AP7" i="9"/>
  <c r="AO7" i="9"/>
  <c r="AN7" i="9"/>
  <c r="AM7" i="9"/>
  <c r="AL7" i="9"/>
  <c r="AK7" i="9"/>
  <c r="AJ7" i="9"/>
  <c r="AI7" i="9"/>
  <c r="AH7" i="9"/>
  <c r="AG7" i="9"/>
  <c r="V32" i="9"/>
  <c r="W32" i="9" s="1"/>
  <c r="T32" i="9"/>
  <c r="U32" i="9" s="1"/>
  <c r="R32" i="9"/>
  <c r="S32" i="9" s="1"/>
  <c r="P32" i="9"/>
  <c r="Q32" i="9" s="1"/>
  <c r="N32" i="9"/>
  <c r="O32" i="9" s="1"/>
  <c r="L32" i="9"/>
  <c r="M32" i="9" s="1"/>
  <c r="J32" i="9"/>
  <c r="K32" i="9" s="1"/>
  <c r="H32" i="9"/>
  <c r="I32" i="9" s="1"/>
  <c r="F32" i="9"/>
  <c r="G32" i="9" s="1"/>
  <c r="D32" i="9"/>
  <c r="E32" i="9" s="1"/>
  <c r="V31" i="9"/>
  <c r="W31" i="9" s="1"/>
  <c r="T31" i="9"/>
  <c r="U31" i="9" s="1"/>
  <c r="R31" i="9"/>
  <c r="S31" i="9" s="1"/>
  <c r="P31" i="9"/>
  <c r="Q31" i="9" s="1"/>
  <c r="N31" i="9"/>
  <c r="O31" i="9" s="1"/>
  <c r="L31" i="9"/>
  <c r="M31" i="9" s="1"/>
  <c r="J31" i="9"/>
  <c r="K31" i="9" s="1"/>
  <c r="H31" i="9"/>
  <c r="I31" i="9" s="1"/>
  <c r="F31" i="9"/>
  <c r="G31" i="9" s="1"/>
  <c r="D31" i="9"/>
  <c r="E31" i="9" s="1"/>
  <c r="V30" i="9"/>
  <c r="W30" i="9" s="1"/>
  <c r="T30" i="9"/>
  <c r="U30" i="9" s="1"/>
  <c r="R30" i="9"/>
  <c r="S30" i="9" s="1"/>
  <c r="P30" i="9"/>
  <c r="Q30" i="9" s="1"/>
  <c r="N30" i="9"/>
  <c r="O30" i="9" s="1"/>
  <c r="L30" i="9"/>
  <c r="M30" i="9" s="1"/>
  <c r="J30" i="9"/>
  <c r="K30" i="9" s="1"/>
  <c r="H30" i="9"/>
  <c r="I30" i="9" s="1"/>
  <c r="F30" i="9"/>
  <c r="G30" i="9" s="1"/>
  <c r="D30" i="9"/>
  <c r="E30" i="9" s="1"/>
  <c r="V29" i="9"/>
  <c r="W29" i="9" s="1"/>
  <c r="T29" i="9"/>
  <c r="U29" i="9" s="1"/>
  <c r="R29" i="9"/>
  <c r="S29" i="9" s="1"/>
  <c r="P29" i="9"/>
  <c r="Q29" i="9" s="1"/>
  <c r="N29" i="9"/>
  <c r="O29" i="9" s="1"/>
  <c r="L29" i="9"/>
  <c r="M29" i="9" s="1"/>
  <c r="J29" i="9"/>
  <c r="K29" i="9" s="1"/>
  <c r="H29" i="9"/>
  <c r="I29" i="9" s="1"/>
  <c r="F29" i="9"/>
  <c r="G29" i="9" s="1"/>
  <c r="D29" i="9"/>
  <c r="E29" i="9" s="1"/>
  <c r="V28" i="9"/>
  <c r="W28" i="9" s="1"/>
  <c r="T28" i="9"/>
  <c r="U28" i="9" s="1"/>
  <c r="R28" i="9"/>
  <c r="S28" i="9" s="1"/>
  <c r="P28" i="9"/>
  <c r="Q28" i="9" s="1"/>
  <c r="N28" i="9"/>
  <c r="O28" i="9" s="1"/>
  <c r="L28" i="9"/>
  <c r="M28" i="9" s="1"/>
  <c r="J28" i="9"/>
  <c r="K28" i="9" s="1"/>
  <c r="H28" i="9"/>
  <c r="I28" i="9" s="1"/>
  <c r="F28" i="9"/>
  <c r="G28" i="9" s="1"/>
  <c r="D28" i="9"/>
  <c r="E28" i="9" s="1"/>
  <c r="V27" i="9"/>
  <c r="W27" i="9" s="1"/>
  <c r="T27" i="9"/>
  <c r="U27" i="9" s="1"/>
  <c r="R27" i="9"/>
  <c r="S27" i="9" s="1"/>
  <c r="P27" i="9"/>
  <c r="Q27" i="9" s="1"/>
  <c r="N27" i="9"/>
  <c r="O27" i="9" s="1"/>
  <c r="L27" i="9"/>
  <c r="M27" i="9" s="1"/>
  <c r="J27" i="9"/>
  <c r="K27" i="9" s="1"/>
  <c r="H27" i="9"/>
  <c r="I27" i="9" s="1"/>
  <c r="F27" i="9"/>
  <c r="G27" i="9" s="1"/>
  <c r="D27" i="9"/>
  <c r="E27" i="9" s="1"/>
  <c r="V26" i="9"/>
  <c r="W26" i="9" s="1"/>
  <c r="T26" i="9"/>
  <c r="U26" i="9" s="1"/>
  <c r="R26" i="9"/>
  <c r="S26" i="9" s="1"/>
  <c r="P26" i="9"/>
  <c r="Q26" i="9" s="1"/>
  <c r="N26" i="9"/>
  <c r="O26" i="9" s="1"/>
  <c r="L26" i="9"/>
  <c r="M26" i="9" s="1"/>
  <c r="J26" i="9"/>
  <c r="K26" i="9" s="1"/>
  <c r="H26" i="9"/>
  <c r="I26" i="9" s="1"/>
  <c r="F26" i="9"/>
  <c r="G26" i="9" s="1"/>
  <c r="D26" i="9"/>
  <c r="E26" i="9" s="1"/>
  <c r="V25" i="9"/>
  <c r="W25" i="9" s="1"/>
  <c r="T25" i="9"/>
  <c r="U25" i="9" s="1"/>
  <c r="R25" i="9"/>
  <c r="S25" i="9" s="1"/>
  <c r="P25" i="9"/>
  <c r="Q25" i="9" s="1"/>
  <c r="N25" i="9"/>
  <c r="O25" i="9" s="1"/>
  <c r="L25" i="9"/>
  <c r="M25" i="9" s="1"/>
  <c r="J25" i="9"/>
  <c r="K25" i="9" s="1"/>
  <c r="H25" i="9"/>
  <c r="I25" i="9" s="1"/>
  <c r="F25" i="9"/>
  <c r="G25" i="9" s="1"/>
  <c r="D25" i="9"/>
  <c r="E25" i="9" s="1"/>
  <c r="V24" i="9"/>
  <c r="W24" i="9" s="1"/>
  <c r="T24" i="9"/>
  <c r="U24" i="9" s="1"/>
  <c r="R24" i="9"/>
  <c r="S24" i="9" s="1"/>
  <c r="P24" i="9"/>
  <c r="Q24" i="9" s="1"/>
  <c r="N24" i="9"/>
  <c r="O24" i="9" s="1"/>
  <c r="L24" i="9"/>
  <c r="M24" i="9" s="1"/>
  <c r="J24" i="9"/>
  <c r="K24" i="9" s="1"/>
  <c r="H24" i="9"/>
  <c r="I24" i="9" s="1"/>
  <c r="G24" i="9"/>
  <c r="F24" i="9"/>
  <c r="D24" i="9"/>
  <c r="E24" i="9" s="1"/>
  <c r="V23" i="9"/>
  <c r="W23" i="9" s="1"/>
  <c r="T23" i="9"/>
  <c r="U23" i="9" s="1"/>
  <c r="R23" i="9"/>
  <c r="S23" i="9" s="1"/>
  <c r="P23" i="9"/>
  <c r="Q23" i="9" s="1"/>
  <c r="N23" i="9"/>
  <c r="O23" i="9" s="1"/>
  <c r="L23" i="9"/>
  <c r="M23" i="9" s="1"/>
  <c r="J23" i="9"/>
  <c r="K23" i="9" s="1"/>
  <c r="H23" i="9"/>
  <c r="I23" i="9" s="1"/>
  <c r="F23" i="9"/>
  <c r="G23" i="9" s="1"/>
  <c r="D23" i="9"/>
  <c r="E23" i="9" s="1"/>
  <c r="W22" i="9"/>
  <c r="U22" i="9"/>
  <c r="S22" i="9"/>
  <c r="Q22" i="9"/>
  <c r="O22" i="9"/>
  <c r="M22" i="9"/>
  <c r="K22" i="9"/>
  <c r="I22" i="9"/>
  <c r="G22" i="9"/>
  <c r="E22" i="9"/>
  <c r="W6" i="9"/>
  <c r="U6" i="9"/>
  <c r="S6" i="9"/>
  <c r="Q6" i="9"/>
  <c r="O6" i="9"/>
  <c r="M6" i="9"/>
  <c r="K6" i="9"/>
  <c r="I6" i="9"/>
  <c r="E6" i="9"/>
  <c r="G6" i="9"/>
  <c r="V16" i="9"/>
  <c r="W16" i="9" s="1"/>
  <c r="T16" i="9"/>
  <c r="U16" i="9" s="1"/>
  <c r="R16" i="9"/>
  <c r="S16" i="9" s="1"/>
  <c r="P16" i="9"/>
  <c r="Q16" i="9" s="1"/>
  <c r="N16" i="9"/>
  <c r="O16" i="9" s="1"/>
  <c r="L16" i="9"/>
  <c r="M16" i="9" s="1"/>
  <c r="J16" i="9"/>
  <c r="K16" i="9" s="1"/>
  <c r="H16" i="9"/>
  <c r="I16" i="9" s="1"/>
  <c r="F16" i="9"/>
  <c r="G16" i="9" s="1"/>
  <c r="D16" i="9"/>
  <c r="E16" i="9" s="1"/>
  <c r="V15" i="9"/>
  <c r="W15" i="9" s="1"/>
  <c r="T15" i="9"/>
  <c r="U15" i="9" s="1"/>
  <c r="R15" i="9"/>
  <c r="S15" i="9" s="1"/>
  <c r="P15" i="9"/>
  <c r="Q15" i="9" s="1"/>
  <c r="N15" i="9"/>
  <c r="O15" i="9" s="1"/>
  <c r="L15" i="9"/>
  <c r="M15" i="9" s="1"/>
  <c r="J15" i="9"/>
  <c r="K15" i="9" s="1"/>
  <c r="H15" i="9"/>
  <c r="I15" i="9" s="1"/>
  <c r="F15" i="9"/>
  <c r="G15" i="9" s="1"/>
  <c r="D15" i="9"/>
  <c r="E15" i="9" s="1"/>
  <c r="V14" i="9"/>
  <c r="W14" i="9" s="1"/>
  <c r="T14" i="9"/>
  <c r="U14" i="9" s="1"/>
  <c r="R14" i="9"/>
  <c r="S14" i="9" s="1"/>
  <c r="P14" i="9"/>
  <c r="Q14" i="9" s="1"/>
  <c r="N14" i="9"/>
  <c r="O14" i="9" s="1"/>
  <c r="L14" i="9"/>
  <c r="M14" i="9" s="1"/>
  <c r="J14" i="9"/>
  <c r="K14" i="9" s="1"/>
  <c r="H14" i="9"/>
  <c r="I14" i="9" s="1"/>
  <c r="F14" i="9"/>
  <c r="G14" i="9" s="1"/>
  <c r="D14" i="9"/>
  <c r="E14" i="9" s="1"/>
  <c r="V13" i="9"/>
  <c r="W13" i="9" s="1"/>
  <c r="W4" i="9" s="1"/>
  <c r="T13" i="9"/>
  <c r="U13" i="9" s="1"/>
  <c r="U4" i="9" s="1"/>
  <c r="R13" i="9"/>
  <c r="S13" i="9" s="1"/>
  <c r="S4" i="9" s="1"/>
  <c r="P13" i="9"/>
  <c r="Q13" i="9" s="1"/>
  <c r="Q4" i="9" s="1"/>
  <c r="N13" i="9"/>
  <c r="O13" i="9" s="1"/>
  <c r="O4" i="9" s="1"/>
  <c r="L13" i="9"/>
  <c r="M13" i="9" s="1"/>
  <c r="M4" i="9" s="1"/>
  <c r="J13" i="9"/>
  <c r="K13" i="9" s="1"/>
  <c r="K4" i="9" s="1"/>
  <c r="H13" i="9"/>
  <c r="I13" i="9" s="1"/>
  <c r="I4" i="9" s="1"/>
  <c r="F13" i="9"/>
  <c r="G13" i="9" s="1"/>
  <c r="G4" i="9" s="1"/>
  <c r="D13" i="9"/>
  <c r="E13" i="9" s="1"/>
  <c r="V12" i="9"/>
  <c r="W12" i="9" s="1"/>
  <c r="T12" i="9"/>
  <c r="U12" i="9" s="1"/>
  <c r="R12" i="9"/>
  <c r="S12" i="9" s="1"/>
  <c r="P12" i="9"/>
  <c r="Q12" i="9" s="1"/>
  <c r="N12" i="9"/>
  <c r="O12" i="9" s="1"/>
  <c r="L12" i="9"/>
  <c r="M12" i="9" s="1"/>
  <c r="J12" i="9"/>
  <c r="K12" i="9" s="1"/>
  <c r="H12" i="9"/>
  <c r="I12" i="9" s="1"/>
  <c r="F12" i="9"/>
  <c r="G12" i="9" s="1"/>
  <c r="D12" i="9"/>
  <c r="E12" i="9" s="1"/>
  <c r="V11" i="9"/>
  <c r="W11" i="9" s="1"/>
  <c r="T11" i="9"/>
  <c r="U11" i="9" s="1"/>
  <c r="R11" i="9"/>
  <c r="S11" i="9" s="1"/>
  <c r="P11" i="9"/>
  <c r="Q11" i="9" s="1"/>
  <c r="N11" i="9"/>
  <c r="O11" i="9" s="1"/>
  <c r="L11" i="9"/>
  <c r="M11" i="9" s="1"/>
  <c r="J11" i="9"/>
  <c r="K11" i="9" s="1"/>
  <c r="H11" i="9"/>
  <c r="I11" i="9" s="1"/>
  <c r="F11" i="9"/>
  <c r="G11" i="9" s="1"/>
  <c r="D11" i="9"/>
  <c r="E11" i="9" s="1"/>
  <c r="V10" i="9"/>
  <c r="W10" i="9" s="1"/>
  <c r="W3" i="9" s="1"/>
  <c r="T10" i="9"/>
  <c r="U10" i="9" s="1"/>
  <c r="U3" i="9" s="1"/>
  <c r="R10" i="9"/>
  <c r="S10" i="9" s="1"/>
  <c r="S3" i="9" s="1"/>
  <c r="P10" i="9"/>
  <c r="Q10" i="9" s="1"/>
  <c r="Q3" i="9" s="1"/>
  <c r="N10" i="9"/>
  <c r="O10" i="9" s="1"/>
  <c r="O3" i="9" s="1"/>
  <c r="L10" i="9"/>
  <c r="M10" i="9" s="1"/>
  <c r="M3" i="9" s="1"/>
  <c r="J10" i="9"/>
  <c r="K10" i="9" s="1"/>
  <c r="K3" i="9" s="1"/>
  <c r="H10" i="9"/>
  <c r="I10" i="9" s="1"/>
  <c r="I3" i="9" s="1"/>
  <c r="F10" i="9"/>
  <c r="G10" i="9" s="1"/>
  <c r="G3" i="9" s="1"/>
  <c r="D10" i="9"/>
  <c r="E10" i="9" s="1"/>
  <c r="V9" i="9"/>
  <c r="W9" i="9" s="1"/>
  <c r="T9" i="9"/>
  <c r="U9" i="9" s="1"/>
  <c r="R9" i="9"/>
  <c r="S9" i="9" s="1"/>
  <c r="P9" i="9"/>
  <c r="Q9" i="9" s="1"/>
  <c r="N9" i="9"/>
  <c r="O9" i="9" s="1"/>
  <c r="L9" i="9"/>
  <c r="M9" i="9" s="1"/>
  <c r="J9" i="9"/>
  <c r="K9" i="9" s="1"/>
  <c r="H9" i="9"/>
  <c r="I9" i="9" s="1"/>
  <c r="F9" i="9"/>
  <c r="G9" i="9" s="1"/>
  <c r="D9" i="9"/>
  <c r="E9" i="9" s="1"/>
  <c r="V8" i="9"/>
  <c r="W8" i="9" s="1"/>
  <c r="T8" i="9"/>
  <c r="U8" i="9" s="1"/>
  <c r="R8" i="9"/>
  <c r="S8" i="9" s="1"/>
  <c r="P8" i="9"/>
  <c r="Q8" i="9" s="1"/>
  <c r="N8" i="9"/>
  <c r="O8" i="9" s="1"/>
  <c r="L8" i="9"/>
  <c r="M8" i="9" s="1"/>
  <c r="J8" i="9"/>
  <c r="K8" i="9" s="1"/>
  <c r="H8" i="9"/>
  <c r="I8" i="9" s="1"/>
  <c r="F8" i="9"/>
  <c r="G8" i="9" s="1"/>
  <c r="D8" i="9"/>
  <c r="E8" i="9" s="1"/>
  <c r="V7" i="9"/>
  <c r="W7" i="9" s="1"/>
  <c r="T7" i="9"/>
  <c r="U7" i="9" s="1"/>
  <c r="R7" i="9"/>
  <c r="S7" i="9" s="1"/>
  <c r="P7" i="9"/>
  <c r="Q7" i="9" s="1"/>
  <c r="N7" i="9"/>
  <c r="O7" i="9" s="1"/>
  <c r="L7" i="9"/>
  <c r="M7" i="9" s="1"/>
  <c r="J7" i="9"/>
  <c r="K7" i="9" s="1"/>
  <c r="H7" i="9"/>
  <c r="I7" i="9" s="1"/>
  <c r="F7" i="9"/>
  <c r="G7" i="9" s="1"/>
  <c r="D7" i="9"/>
  <c r="E7" i="9" s="1"/>
  <c r="V626" i="8"/>
  <c r="W626" i="8" s="1"/>
  <c r="T626" i="8"/>
  <c r="U626" i="8" s="1"/>
  <c r="R626" i="8"/>
  <c r="S626" i="8" s="1"/>
  <c r="P626" i="8"/>
  <c r="Q626" i="8" s="1"/>
  <c r="N626" i="8"/>
  <c r="O626" i="8" s="1"/>
  <c r="L626" i="8"/>
  <c r="M626" i="8" s="1"/>
  <c r="J626" i="8"/>
  <c r="K626" i="8" s="1"/>
  <c r="H626" i="8"/>
  <c r="I626" i="8" s="1"/>
  <c r="F626" i="8"/>
  <c r="G626" i="8" s="1"/>
  <c r="D626" i="8"/>
  <c r="E626" i="8" s="1"/>
  <c r="V625" i="8"/>
  <c r="W625" i="8" s="1"/>
  <c r="T625" i="8"/>
  <c r="U625" i="8" s="1"/>
  <c r="R625" i="8"/>
  <c r="S625" i="8" s="1"/>
  <c r="P625" i="8"/>
  <c r="Q625" i="8" s="1"/>
  <c r="N625" i="8"/>
  <c r="O625" i="8" s="1"/>
  <c r="L625" i="8"/>
  <c r="M625" i="8" s="1"/>
  <c r="J625" i="8"/>
  <c r="K625" i="8" s="1"/>
  <c r="H625" i="8"/>
  <c r="I625" i="8" s="1"/>
  <c r="F625" i="8"/>
  <c r="G625" i="8" s="1"/>
  <c r="D625" i="8"/>
  <c r="E625" i="8" s="1"/>
  <c r="V624" i="8"/>
  <c r="W624" i="8" s="1"/>
  <c r="T624" i="8"/>
  <c r="U624" i="8" s="1"/>
  <c r="R624" i="8"/>
  <c r="S624" i="8" s="1"/>
  <c r="P624" i="8"/>
  <c r="Q624" i="8" s="1"/>
  <c r="N624" i="8"/>
  <c r="O624" i="8" s="1"/>
  <c r="L624" i="8"/>
  <c r="M624" i="8" s="1"/>
  <c r="J624" i="8"/>
  <c r="K624" i="8" s="1"/>
  <c r="H624" i="8"/>
  <c r="I624" i="8" s="1"/>
  <c r="F624" i="8"/>
  <c r="G624" i="8" s="1"/>
  <c r="D624" i="8"/>
  <c r="E624" i="8" s="1"/>
  <c r="V623" i="8"/>
  <c r="W623" i="8" s="1"/>
  <c r="T623" i="8"/>
  <c r="U623" i="8" s="1"/>
  <c r="R623" i="8"/>
  <c r="S623" i="8" s="1"/>
  <c r="P623" i="8"/>
  <c r="Q623" i="8" s="1"/>
  <c r="N623" i="8"/>
  <c r="O623" i="8" s="1"/>
  <c r="L623" i="8"/>
  <c r="M623" i="8" s="1"/>
  <c r="J623" i="8"/>
  <c r="K623" i="8" s="1"/>
  <c r="H623" i="8"/>
  <c r="I623" i="8" s="1"/>
  <c r="F623" i="8"/>
  <c r="G623" i="8" s="1"/>
  <c r="D623" i="8"/>
  <c r="E623" i="8" s="1"/>
  <c r="V622" i="8"/>
  <c r="W622" i="8" s="1"/>
  <c r="T622" i="8"/>
  <c r="U622" i="8" s="1"/>
  <c r="R622" i="8"/>
  <c r="S622" i="8" s="1"/>
  <c r="P622" i="8"/>
  <c r="Q622" i="8" s="1"/>
  <c r="N622" i="8"/>
  <c r="O622" i="8" s="1"/>
  <c r="L622" i="8"/>
  <c r="M622" i="8" s="1"/>
  <c r="J622" i="8"/>
  <c r="K622" i="8" s="1"/>
  <c r="H622" i="8"/>
  <c r="I622" i="8" s="1"/>
  <c r="F622" i="8"/>
  <c r="G622" i="8" s="1"/>
  <c r="D622" i="8"/>
  <c r="E622" i="8" s="1"/>
  <c r="V621" i="8"/>
  <c r="W621" i="8" s="1"/>
  <c r="T621" i="8"/>
  <c r="U621" i="8" s="1"/>
  <c r="R621" i="8"/>
  <c r="S621" i="8" s="1"/>
  <c r="P621" i="8"/>
  <c r="Q621" i="8" s="1"/>
  <c r="N621" i="8"/>
  <c r="O621" i="8" s="1"/>
  <c r="L621" i="8"/>
  <c r="M621" i="8" s="1"/>
  <c r="J621" i="8"/>
  <c r="K621" i="8" s="1"/>
  <c r="H621" i="8"/>
  <c r="I621" i="8" s="1"/>
  <c r="F621" i="8"/>
  <c r="G621" i="8" s="1"/>
  <c r="D621" i="8"/>
  <c r="E621" i="8" s="1"/>
  <c r="V620" i="8"/>
  <c r="W620" i="8" s="1"/>
  <c r="T620" i="8"/>
  <c r="U620" i="8" s="1"/>
  <c r="R620" i="8"/>
  <c r="S620" i="8" s="1"/>
  <c r="P620" i="8"/>
  <c r="Q620" i="8" s="1"/>
  <c r="N620" i="8"/>
  <c r="O620" i="8" s="1"/>
  <c r="L620" i="8"/>
  <c r="M620" i="8" s="1"/>
  <c r="J620" i="8"/>
  <c r="K620" i="8" s="1"/>
  <c r="H620" i="8"/>
  <c r="I620" i="8" s="1"/>
  <c r="F620" i="8"/>
  <c r="G620" i="8" s="1"/>
  <c r="D620" i="8"/>
  <c r="E620" i="8" s="1"/>
  <c r="V619" i="8"/>
  <c r="W619" i="8" s="1"/>
  <c r="T619" i="8"/>
  <c r="U619" i="8" s="1"/>
  <c r="R619" i="8"/>
  <c r="S619" i="8" s="1"/>
  <c r="P619" i="8"/>
  <c r="Q619" i="8" s="1"/>
  <c r="N619" i="8"/>
  <c r="O619" i="8" s="1"/>
  <c r="L619" i="8"/>
  <c r="M619" i="8" s="1"/>
  <c r="J619" i="8"/>
  <c r="K619" i="8" s="1"/>
  <c r="H619" i="8"/>
  <c r="I619" i="8" s="1"/>
  <c r="F619" i="8"/>
  <c r="G619" i="8" s="1"/>
  <c r="D619" i="8"/>
  <c r="E619" i="8" s="1"/>
  <c r="V618" i="8"/>
  <c r="W618" i="8" s="1"/>
  <c r="T618" i="8"/>
  <c r="U618" i="8" s="1"/>
  <c r="R618" i="8"/>
  <c r="S618" i="8" s="1"/>
  <c r="P618" i="8"/>
  <c r="Q618" i="8" s="1"/>
  <c r="N618" i="8"/>
  <c r="O618" i="8" s="1"/>
  <c r="L618" i="8"/>
  <c r="M618" i="8" s="1"/>
  <c r="J618" i="8"/>
  <c r="K618" i="8" s="1"/>
  <c r="H618" i="8"/>
  <c r="I618" i="8" s="1"/>
  <c r="F618" i="8"/>
  <c r="G618" i="8" s="1"/>
  <c r="D618" i="8"/>
  <c r="E618" i="8" s="1"/>
  <c r="V617" i="8"/>
  <c r="W617" i="8" s="1"/>
  <c r="T617" i="8"/>
  <c r="U617" i="8" s="1"/>
  <c r="R617" i="8"/>
  <c r="S617" i="8" s="1"/>
  <c r="P617" i="8"/>
  <c r="Q617" i="8" s="1"/>
  <c r="N617" i="8"/>
  <c r="O617" i="8" s="1"/>
  <c r="L617" i="8"/>
  <c r="M617" i="8" s="1"/>
  <c r="J617" i="8"/>
  <c r="K617" i="8" s="1"/>
  <c r="H617" i="8"/>
  <c r="I617" i="8" s="1"/>
  <c r="F617" i="8"/>
  <c r="G617" i="8" s="1"/>
  <c r="D617" i="8"/>
  <c r="E617" i="8" s="1"/>
  <c r="V616" i="8"/>
  <c r="W616" i="8" s="1"/>
  <c r="T616" i="8"/>
  <c r="U616" i="8" s="1"/>
  <c r="R616" i="8"/>
  <c r="S616" i="8" s="1"/>
  <c r="P616" i="8"/>
  <c r="Q616" i="8" s="1"/>
  <c r="N616" i="8"/>
  <c r="O616" i="8" s="1"/>
  <c r="L616" i="8"/>
  <c r="M616" i="8" s="1"/>
  <c r="J616" i="8"/>
  <c r="K616" i="8" s="1"/>
  <c r="H616" i="8"/>
  <c r="I616" i="8" s="1"/>
  <c r="F616" i="8"/>
  <c r="G616" i="8" s="1"/>
  <c r="D616" i="8"/>
  <c r="E616" i="8" s="1"/>
  <c r="V615" i="8"/>
  <c r="W615" i="8" s="1"/>
  <c r="T615" i="8"/>
  <c r="U615" i="8" s="1"/>
  <c r="R615" i="8"/>
  <c r="S615" i="8" s="1"/>
  <c r="P615" i="8"/>
  <c r="Q615" i="8" s="1"/>
  <c r="O615" i="8"/>
  <c r="N615" i="8"/>
  <c r="L615" i="8"/>
  <c r="M615" i="8" s="1"/>
  <c r="J615" i="8"/>
  <c r="K615" i="8" s="1"/>
  <c r="H615" i="8"/>
  <c r="I615" i="8" s="1"/>
  <c r="F615" i="8"/>
  <c r="G615" i="8" s="1"/>
  <c r="D615" i="8"/>
  <c r="E615" i="8" s="1"/>
  <c r="V614" i="8"/>
  <c r="W614" i="8" s="1"/>
  <c r="T614" i="8"/>
  <c r="U614" i="8" s="1"/>
  <c r="R614" i="8"/>
  <c r="S614" i="8" s="1"/>
  <c r="P614" i="8"/>
  <c r="Q614" i="8" s="1"/>
  <c r="N614" i="8"/>
  <c r="O614" i="8" s="1"/>
  <c r="L614" i="8"/>
  <c r="M614" i="8" s="1"/>
  <c r="J614" i="8"/>
  <c r="K614" i="8" s="1"/>
  <c r="H614" i="8"/>
  <c r="I614" i="8" s="1"/>
  <c r="F614" i="8"/>
  <c r="G614" i="8" s="1"/>
  <c r="D614" i="8"/>
  <c r="E614" i="8" s="1"/>
  <c r="V613" i="8"/>
  <c r="W613" i="8" s="1"/>
  <c r="T613" i="8"/>
  <c r="U613" i="8" s="1"/>
  <c r="R613" i="8"/>
  <c r="S613" i="8" s="1"/>
  <c r="P613" i="8"/>
  <c r="Q613" i="8" s="1"/>
  <c r="N613" i="8"/>
  <c r="O613" i="8" s="1"/>
  <c r="L613" i="8"/>
  <c r="M613" i="8" s="1"/>
  <c r="J613" i="8"/>
  <c r="K613" i="8" s="1"/>
  <c r="H613" i="8"/>
  <c r="I613" i="8" s="1"/>
  <c r="F613" i="8"/>
  <c r="G613" i="8" s="1"/>
  <c r="D613" i="8"/>
  <c r="E613" i="8" s="1"/>
  <c r="V612" i="8"/>
  <c r="W612" i="8" s="1"/>
  <c r="T612" i="8"/>
  <c r="U612" i="8" s="1"/>
  <c r="R612" i="8"/>
  <c r="S612" i="8" s="1"/>
  <c r="P612" i="8"/>
  <c r="Q612" i="8" s="1"/>
  <c r="N612" i="8"/>
  <c r="O612" i="8" s="1"/>
  <c r="L612" i="8"/>
  <c r="M612" i="8" s="1"/>
  <c r="J612" i="8"/>
  <c r="K612" i="8" s="1"/>
  <c r="H612" i="8"/>
  <c r="I612" i="8" s="1"/>
  <c r="F612" i="8"/>
  <c r="G612" i="8" s="1"/>
  <c r="D612" i="8"/>
  <c r="E612" i="8" s="1"/>
  <c r="V611" i="8"/>
  <c r="W611" i="8" s="1"/>
  <c r="T611" i="8"/>
  <c r="U611" i="8" s="1"/>
  <c r="R611" i="8"/>
  <c r="S611" i="8" s="1"/>
  <c r="P611" i="8"/>
  <c r="Q611" i="8" s="1"/>
  <c r="N611" i="8"/>
  <c r="O611" i="8" s="1"/>
  <c r="L611" i="8"/>
  <c r="M611" i="8" s="1"/>
  <c r="J611" i="8"/>
  <c r="K611" i="8" s="1"/>
  <c r="H611" i="8"/>
  <c r="I611" i="8" s="1"/>
  <c r="F611" i="8"/>
  <c r="G611" i="8" s="1"/>
  <c r="D611" i="8"/>
  <c r="E611" i="8" s="1"/>
  <c r="V610" i="8"/>
  <c r="W610" i="8" s="1"/>
  <c r="T610" i="8"/>
  <c r="U610" i="8" s="1"/>
  <c r="R610" i="8"/>
  <c r="S610" i="8" s="1"/>
  <c r="P610" i="8"/>
  <c r="Q610" i="8" s="1"/>
  <c r="N610" i="8"/>
  <c r="O610" i="8" s="1"/>
  <c r="L610" i="8"/>
  <c r="M610" i="8" s="1"/>
  <c r="J610" i="8"/>
  <c r="K610" i="8" s="1"/>
  <c r="H610" i="8"/>
  <c r="I610" i="8" s="1"/>
  <c r="F610" i="8"/>
  <c r="G610" i="8" s="1"/>
  <c r="D610" i="8"/>
  <c r="E610" i="8" s="1"/>
  <c r="V609" i="8"/>
  <c r="W609" i="8" s="1"/>
  <c r="T609" i="8"/>
  <c r="U609" i="8" s="1"/>
  <c r="R609" i="8"/>
  <c r="S609" i="8" s="1"/>
  <c r="P609" i="8"/>
  <c r="Q609" i="8" s="1"/>
  <c r="N609" i="8"/>
  <c r="O609" i="8" s="1"/>
  <c r="L609" i="8"/>
  <c r="M609" i="8" s="1"/>
  <c r="J609" i="8"/>
  <c r="K609" i="8" s="1"/>
  <c r="H609" i="8"/>
  <c r="I609" i="8" s="1"/>
  <c r="F609" i="8"/>
  <c r="G609" i="8" s="1"/>
  <c r="D609" i="8"/>
  <c r="E609" i="8" s="1"/>
  <c r="V608" i="8"/>
  <c r="W608" i="8" s="1"/>
  <c r="T608" i="8"/>
  <c r="U608" i="8" s="1"/>
  <c r="R608" i="8"/>
  <c r="S608" i="8" s="1"/>
  <c r="P608" i="8"/>
  <c r="Q608" i="8" s="1"/>
  <c r="N608" i="8"/>
  <c r="O608" i="8" s="1"/>
  <c r="L608" i="8"/>
  <c r="M608" i="8" s="1"/>
  <c r="J608" i="8"/>
  <c r="K608" i="8" s="1"/>
  <c r="H608" i="8"/>
  <c r="I608" i="8" s="1"/>
  <c r="F608" i="8"/>
  <c r="G608" i="8" s="1"/>
  <c r="D608" i="8"/>
  <c r="E608" i="8" s="1"/>
  <c r="V607" i="8"/>
  <c r="W607" i="8" s="1"/>
  <c r="T607" i="8"/>
  <c r="U607" i="8" s="1"/>
  <c r="R607" i="8"/>
  <c r="S607" i="8" s="1"/>
  <c r="P607" i="8"/>
  <c r="Q607" i="8" s="1"/>
  <c r="N607" i="8"/>
  <c r="O607" i="8" s="1"/>
  <c r="L607" i="8"/>
  <c r="M607" i="8" s="1"/>
  <c r="J607" i="8"/>
  <c r="K607" i="8" s="1"/>
  <c r="H607" i="8"/>
  <c r="I607" i="8" s="1"/>
  <c r="F607" i="8"/>
  <c r="G607" i="8" s="1"/>
  <c r="D607" i="8"/>
  <c r="E607" i="8" s="1"/>
  <c r="V606" i="8"/>
  <c r="W606" i="8" s="1"/>
  <c r="T606" i="8"/>
  <c r="U606" i="8" s="1"/>
  <c r="R606" i="8"/>
  <c r="S606" i="8" s="1"/>
  <c r="P606" i="8"/>
  <c r="Q606" i="8" s="1"/>
  <c r="N606" i="8"/>
  <c r="O606" i="8" s="1"/>
  <c r="L606" i="8"/>
  <c r="M606" i="8" s="1"/>
  <c r="J606" i="8"/>
  <c r="K606" i="8" s="1"/>
  <c r="H606" i="8"/>
  <c r="I606" i="8" s="1"/>
  <c r="F606" i="8"/>
  <c r="G606" i="8" s="1"/>
  <c r="D606" i="8"/>
  <c r="E606" i="8" s="1"/>
  <c r="V605" i="8"/>
  <c r="W605" i="8" s="1"/>
  <c r="T605" i="8"/>
  <c r="U605" i="8" s="1"/>
  <c r="R605" i="8"/>
  <c r="S605" i="8" s="1"/>
  <c r="P605" i="8"/>
  <c r="Q605" i="8" s="1"/>
  <c r="N605" i="8"/>
  <c r="O605" i="8" s="1"/>
  <c r="L605" i="8"/>
  <c r="M605" i="8" s="1"/>
  <c r="J605" i="8"/>
  <c r="K605" i="8" s="1"/>
  <c r="H605" i="8"/>
  <c r="I605" i="8" s="1"/>
  <c r="F605" i="8"/>
  <c r="G605" i="8" s="1"/>
  <c r="D605" i="8"/>
  <c r="E605" i="8" s="1"/>
  <c r="V604" i="8"/>
  <c r="W604" i="8" s="1"/>
  <c r="T604" i="8"/>
  <c r="U604" i="8" s="1"/>
  <c r="R604" i="8"/>
  <c r="S604" i="8" s="1"/>
  <c r="P604" i="8"/>
  <c r="Q604" i="8" s="1"/>
  <c r="N604" i="8"/>
  <c r="O604" i="8" s="1"/>
  <c r="L604" i="8"/>
  <c r="M604" i="8" s="1"/>
  <c r="J604" i="8"/>
  <c r="K604" i="8" s="1"/>
  <c r="H604" i="8"/>
  <c r="I604" i="8" s="1"/>
  <c r="F604" i="8"/>
  <c r="G604" i="8" s="1"/>
  <c r="D604" i="8"/>
  <c r="E604" i="8" s="1"/>
  <c r="V603" i="8"/>
  <c r="W603" i="8" s="1"/>
  <c r="T603" i="8"/>
  <c r="U603" i="8" s="1"/>
  <c r="R603" i="8"/>
  <c r="S603" i="8" s="1"/>
  <c r="P603" i="8"/>
  <c r="Q603" i="8" s="1"/>
  <c r="N603" i="8"/>
  <c r="O603" i="8" s="1"/>
  <c r="L603" i="8"/>
  <c r="M603" i="8" s="1"/>
  <c r="J603" i="8"/>
  <c r="K603" i="8" s="1"/>
  <c r="H603" i="8"/>
  <c r="I603" i="8" s="1"/>
  <c r="F603" i="8"/>
  <c r="G603" i="8" s="1"/>
  <c r="D603" i="8"/>
  <c r="E603" i="8" s="1"/>
  <c r="V602" i="8"/>
  <c r="W602" i="8" s="1"/>
  <c r="T602" i="8"/>
  <c r="U602" i="8" s="1"/>
  <c r="R602" i="8"/>
  <c r="S602" i="8" s="1"/>
  <c r="P602" i="8"/>
  <c r="Q602" i="8" s="1"/>
  <c r="N602" i="8"/>
  <c r="O602" i="8" s="1"/>
  <c r="L602" i="8"/>
  <c r="M602" i="8" s="1"/>
  <c r="J602" i="8"/>
  <c r="K602" i="8" s="1"/>
  <c r="H602" i="8"/>
  <c r="I602" i="8" s="1"/>
  <c r="F602" i="8"/>
  <c r="G602" i="8" s="1"/>
  <c r="D602" i="8"/>
  <c r="E602" i="8" s="1"/>
  <c r="V601" i="8"/>
  <c r="W601" i="8" s="1"/>
  <c r="T601" i="8"/>
  <c r="U601" i="8" s="1"/>
  <c r="R601" i="8"/>
  <c r="S601" i="8" s="1"/>
  <c r="P601" i="8"/>
  <c r="Q601" i="8" s="1"/>
  <c r="N601" i="8"/>
  <c r="O601" i="8" s="1"/>
  <c r="L601" i="8"/>
  <c r="M601" i="8" s="1"/>
  <c r="J601" i="8"/>
  <c r="K601" i="8" s="1"/>
  <c r="H601" i="8"/>
  <c r="I601" i="8" s="1"/>
  <c r="F601" i="8"/>
  <c r="G601" i="8" s="1"/>
  <c r="D601" i="8"/>
  <c r="E601" i="8" s="1"/>
  <c r="V600" i="8"/>
  <c r="W600" i="8" s="1"/>
  <c r="T600" i="8"/>
  <c r="U600" i="8" s="1"/>
  <c r="S600" i="8"/>
  <c r="R600" i="8"/>
  <c r="P600" i="8"/>
  <c r="Q600" i="8" s="1"/>
  <c r="N600" i="8"/>
  <c r="O600" i="8" s="1"/>
  <c r="L600" i="8"/>
  <c r="M600" i="8" s="1"/>
  <c r="J600" i="8"/>
  <c r="K600" i="8" s="1"/>
  <c r="H600" i="8"/>
  <c r="I600" i="8" s="1"/>
  <c r="F600" i="8"/>
  <c r="G600" i="8" s="1"/>
  <c r="D600" i="8"/>
  <c r="E600" i="8" s="1"/>
  <c r="V599" i="8"/>
  <c r="W599" i="8" s="1"/>
  <c r="T599" i="8"/>
  <c r="U599" i="8" s="1"/>
  <c r="R599" i="8"/>
  <c r="S599" i="8" s="1"/>
  <c r="P599" i="8"/>
  <c r="Q599" i="8" s="1"/>
  <c r="N599" i="8"/>
  <c r="O599" i="8" s="1"/>
  <c r="L599" i="8"/>
  <c r="M599" i="8" s="1"/>
  <c r="J599" i="8"/>
  <c r="K599" i="8" s="1"/>
  <c r="H599" i="8"/>
  <c r="I599" i="8" s="1"/>
  <c r="F599" i="8"/>
  <c r="G599" i="8" s="1"/>
  <c r="D599" i="8"/>
  <c r="E599" i="8" s="1"/>
  <c r="V598" i="8"/>
  <c r="W598" i="8" s="1"/>
  <c r="T598" i="8"/>
  <c r="U598" i="8" s="1"/>
  <c r="R598" i="8"/>
  <c r="S598" i="8" s="1"/>
  <c r="P598" i="8"/>
  <c r="Q598" i="8" s="1"/>
  <c r="N598" i="8"/>
  <c r="O598" i="8" s="1"/>
  <c r="M598" i="8"/>
  <c r="L598" i="8"/>
  <c r="J598" i="8"/>
  <c r="K598" i="8" s="1"/>
  <c r="H598" i="8"/>
  <c r="I598" i="8" s="1"/>
  <c r="F598" i="8"/>
  <c r="G598" i="8" s="1"/>
  <c r="D598" i="8"/>
  <c r="E598" i="8" s="1"/>
  <c r="V597" i="8"/>
  <c r="W597" i="8" s="1"/>
  <c r="T597" i="8"/>
  <c r="U597" i="8" s="1"/>
  <c r="S597" i="8"/>
  <c r="R597" i="8"/>
  <c r="P597" i="8"/>
  <c r="Q597" i="8" s="1"/>
  <c r="N597" i="8"/>
  <c r="O597" i="8" s="1"/>
  <c r="L597" i="8"/>
  <c r="M597" i="8" s="1"/>
  <c r="J597" i="8"/>
  <c r="K597" i="8" s="1"/>
  <c r="H597" i="8"/>
  <c r="I597" i="8" s="1"/>
  <c r="F597" i="8"/>
  <c r="G597" i="8" s="1"/>
  <c r="D597" i="8"/>
  <c r="E597" i="8" s="1"/>
  <c r="V596" i="8"/>
  <c r="W596" i="8" s="1"/>
  <c r="T596" i="8"/>
  <c r="U596" i="8" s="1"/>
  <c r="R596" i="8"/>
  <c r="S596" i="8" s="1"/>
  <c r="P596" i="8"/>
  <c r="Q596" i="8" s="1"/>
  <c r="N596" i="8"/>
  <c r="O596" i="8" s="1"/>
  <c r="L596" i="8"/>
  <c r="M596" i="8" s="1"/>
  <c r="J596" i="8"/>
  <c r="K596" i="8" s="1"/>
  <c r="H596" i="8"/>
  <c r="I596" i="8" s="1"/>
  <c r="F596" i="8"/>
  <c r="G596" i="8" s="1"/>
  <c r="D596" i="8"/>
  <c r="E596" i="8" s="1"/>
  <c r="V595" i="8"/>
  <c r="W595" i="8" s="1"/>
  <c r="T595" i="8"/>
  <c r="U595" i="8" s="1"/>
  <c r="R595" i="8"/>
  <c r="S595" i="8" s="1"/>
  <c r="P595" i="8"/>
  <c r="Q595" i="8" s="1"/>
  <c r="N595" i="8"/>
  <c r="O595" i="8" s="1"/>
  <c r="L595" i="8"/>
  <c r="M595" i="8" s="1"/>
  <c r="J595" i="8"/>
  <c r="K595" i="8" s="1"/>
  <c r="H595" i="8"/>
  <c r="I595" i="8" s="1"/>
  <c r="F595" i="8"/>
  <c r="G595" i="8" s="1"/>
  <c r="D595" i="8"/>
  <c r="E595" i="8" s="1"/>
  <c r="V594" i="8"/>
  <c r="W594" i="8" s="1"/>
  <c r="T594" i="8"/>
  <c r="U594" i="8" s="1"/>
  <c r="R594" i="8"/>
  <c r="S594" i="8" s="1"/>
  <c r="P594" i="8"/>
  <c r="Q594" i="8" s="1"/>
  <c r="N594" i="8"/>
  <c r="O594" i="8" s="1"/>
  <c r="L594" i="8"/>
  <c r="M594" i="8" s="1"/>
  <c r="J594" i="8"/>
  <c r="K594" i="8" s="1"/>
  <c r="H594" i="8"/>
  <c r="I594" i="8" s="1"/>
  <c r="F594" i="8"/>
  <c r="G594" i="8" s="1"/>
  <c r="D594" i="8"/>
  <c r="E594" i="8" s="1"/>
  <c r="V593" i="8"/>
  <c r="W593" i="8" s="1"/>
  <c r="T593" i="8"/>
  <c r="U593" i="8" s="1"/>
  <c r="R593" i="8"/>
  <c r="S593" i="8" s="1"/>
  <c r="P593" i="8"/>
  <c r="Q593" i="8" s="1"/>
  <c r="N593" i="8"/>
  <c r="O593" i="8" s="1"/>
  <c r="L593" i="8"/>
  <c r="M593" i="8" s="1"/>
  <c r="J593" i="8"/>
  <c r="K593" i="8" s="1"/>
  <c r="H593" i="8"/>
  <c r="I593" i="8" s="1"/>
  <c r="F593" i="8"/>
  <c r="G593" i="8" s="1"/>
  <c r="D593" i="8"/>
  <c r="E593" i="8" s="1"/>
  <c r="V592" i="8"/>
  <c r="W592" i="8" s="1"/>
  <c r="T592" i="8"/>
  <c r="U592" i="8" s="1"/>
  <c r="R592" i="8"/>
  <c r="S592" i="8" s="1"/>
  <c r="P592" i="8"/>
  <c r="Q592" i="8" s="1"/>
  <c r="N592" i="8"/>
  <c r="O592" i="8" s="1"/>
  <c r="L592" i="8"/>
  <c r="M592" i="8" s="1"/>
  <c r="J592" i="8"/>
  <c r="K592" i="8" s="1"/>
  <c r="H592" i="8"/>
  <c r="I592" i="8" s="1"/>
  <c r="F592" i="8"/>
  <c r="G592" i="8" s="1"/>
  <c r="E592" i="8"/>
  <c r="D592" i="8"/>
  <c r="V591" i="8"/>
  <c r="W591" i="8" s="1"/>
  <c r="T591" i="8"/>
  <c r="U591" i="8" s="1"/>
  <c r="R591" i="8"/>
  <c r="S591" i="8" s="1"/>
  <c r="P591" i="8"/>
  <c r="Q591" i="8" s="1"/>
  <c r="N591" i="8"/>
  <c r="O591" i="8" s="1"/>
  <c r="L591" i="8"/>
  <c r="M591" i="8" s="1"/>
  <c r="K591" i="8"/>
  <c r="J591" i="8"/>
  <c r="H591" i="8"/>
  <c r="I591" i="8" s="1"/>
  <c r="F591" i="8"/>
  <c r="G591" i="8" s="1"/>
  <c r="D591" i="8"/>
  <c r="E591" i="8" s="1"/>
  <c r="V590" i="8"/>
  <c r="W590" i="8" s="1"/>
  <c r="T590" i="8"/>
  <c r="U590" i="8" s="1"/>
  <c r="R590" i="8"/>
  <c r="S590" i="8" s="1"/>
  <c r="P590" i="8"/>
  <c r="Q590" i="8" s="1"/>
  <c r="N590" i="8"/>
  <c r="O590" i="8" s="1"/>
  <c r="L590" i="8"/>
  <c r="M590" i="8" s="1"/>
  <c r="J590" i="8"/>
  <c r="K590" i="8" s="1"/>
  <c r="H590" i="8"/>
  <c r="I590" i="8" s="1"/>
  <c r="F590" i="8"/>
  <c r="G590" i="8" s="1"/>
  <c r="D590" i="8"/>
  <c r="E590" i="8" s="1"/>
  <c r="V589" i="8"/>
  <c r="W589" i="8" s="1"/>
  <c r="T589" i="8"/>
  <c r="U589" i="8" s="1"/>
  <c r="S589" i="8"/>
  <c r="R589" i="8"/>
  <c r="P589" i="8"/>
  <c r="Q589" i="8" s="1"/>
  <c r="N589" i="8"/>
  <c r="O589" i="8" s="1"/>
  <c r="L589" i="8"/>
  <c r="M589" i="8" s="1"/>
  <c r="J589" i="8"/>
  <c r="K589" i="8" s="1"/>
  <c r="H589" i="8"/>
  <c r="I589" i="8" s="1"/>
  <c r="F589" i="8"/>
  <c r="G589" i="8" s="1"/>
  <c r="D589" i="8"/>
  <c r="E589" i="8" s="1"/>
  <c r="V588" i="8"/>
  <c r="W588" i="8" s="1"/>
  <c r="T588" i="8"/>
  <c r="U588" i="8" s="1"/>
  <c r="R588" i="8"/>
  <c r="S588" i="8" s="1"/>
  <c r="P588" i="8"/>
  <c r="Q588" i="8" s="1"/>
  <c r="N588" i="8"/>
  <c r="O588" i="8" s="1"/>
  <c r="L588" i="8"/>
  <c r="M588" i="8" s="1"/>
  <c r="J588" i="8"/>
  <c r="K588" i="8" s="1"/>
  <c r="H588" i="8"/>
  <c r="I588" i="8" s="1"/>
  <c r="F588" i="8"/>
  <c r="G588" i="8" s="1"/>
  <c r="D588" i="8"/>
  <c r="E588" i="8" s="1"/>
  <c r="V587" i="8"/>
  <c r="W587" i="8" s="1"/>
  <c r="T587" i="8"/>
  <c r="U587" i="8" s="1"/>
  <c r="R587" i="8"/>
  <c r="S587" i="8" s="1"/>
  <c r="P587" i="8"/>
  <c r="Q587" i="8" s="1"/>
  <c r="N587" i="8"/>
  <c r="O587" i="8" s="1"/>
  <c r="L587" i="8"/>
  <c r="M587" i="8" s="1"/>
  <c r="J587" i="8"/>
  <c r="K587" i="8" s="1"/>
  <c r="H587" i="8"/>
  <c r="I587" i="8" s="1"/>
  <c r="F587" i="8"/>
  <c r="G587" i="8" s="1"/>
  <c r="D587" i="8"/>
  <c r="E587" i="8" s="1"/>
  <c r="V586" i="8"/>
  <c r="W586" i="8" s="1"/>
  <c r="T586" i="8"/>
  <c r="U586" i="8" s="1"/>
  <c r="R586" i="8"/>
  <c r="S586" i="8" s="1"/>
  <c r="P586" i="8"/>
  <c r="Q586" i="8" s="1"/>
  <c r="N586" i="8"/>
  <c r="O586" i="8" s="1"/>
  <c r="L586" i="8"/>
  <c r="M586" i="8" s="1"/>
  <c r="J586" i="8"/>
  <c r="K586" i="8" s="1"/>
  <c r="H586" i="8"/>
  <c r="I586" i="8" s="1"/>
  <c r="F586" i="8"/>
  <c r="G586" i="8" s="1"/>
  <c r="D586" i="8"/>
  <c r="E586" i="8" s="1"/>
  <c r="V585" i="8"/>
  <c r="W585" i="8" s="1"/>
  <c r="T585" i="8"/>
  <c r="U585" i="8" s="1"/>
  <c r="R585" i="8"/>
  <c r="S585" i="8" s="1"/>
  <c r="P585" i="8"/>
  <c r="Q585" i="8" s="1"/>
  <c r="N585" i="8"/>
  <c r="O585" i="8" s="1"/>
  <c r="L585" i="8"/>
  <c r="M585" i="8" s="1"/>
  <c r="J585" i="8"/>
  <c r="K585" i="8" s="1"/>
  <c r="H585" i="8"/>
  <c r="I585" i="8" s="1"/>
  <c r="F585" i="8"/>
  <c r="G585" i="8" s="1"/>
  <c r="D585" i="8"/>
  <c r="E585" i="8" s="1"/>
  <c r="V584" i="8"/>
  <c r="W584" i="8" s="1"/>
  <c r="U584" i="8"/>
  <c r="T584" i="8"/>
  <c r="R584" i="8"/>
  <c r="S584" i="8" s="1"/>
  <c r="P584" i="8"/>
  <c r="Q584" i="8" s="1"/>
  <c r="N584" i="8"/>
  <c r="O584" i="8" s="1"/>
  <c r="L584" i="8"/>
  <c r="M584" i="8" s="1"/>
  <c r="J584" i="8"/>
  <c r="K584" i="8" s="1"/>
  <c r="H584" i="8"/>
  <c r="I584" i="8" s="1"/>
  <c r="F584" i="8"/>
  <c r="G584" i="8" s="1"/>
  <c r="D584" i="8"/>
  <c r="E584" i="8" s="1"/>
  <c r="V583" i="8"/>
  <c r="W583" i="8" s="1"/>
  <c r="T583" i="8"/>
  <c r="U583" i="8" s="1"/>
  <c r="R583" i="8"/>
  <c r="S583" i="8" s="1"/>
  <c r="P583" i="8"/>
  <c r="Q583" i="8" s="1"/>
  <c r="N583" i="8"/>
  <c r="O583" i="8" s="1"/>
  <c r="L583" i="8"/>
  <c r="M583" i="8" s="1"/>
  <c r="J583" i="8"/>
  <c r="K583" i="8" s="1"/>
  <c r="H583" i="8"/>
  <c r="I583" i="8" s="1"/>
  <c r="F583" i="8"/>
  <c r="G583" i="8" s="1"/>
  <c r="D583" i="8"/>
  <c r="E583" i="8" s="1"/>
  <c r="V582" i="8"/>
  <c r="W582" i="8" s="1"/>
  <c r="T582" i="8"/>
  <c r="U582" i="8" s="1"/>
  <c r="R582" i="8"/>
  <c r="S582" i="8" s="1"/>
  <c r="P582" i="8"/>
  <c r="Q582" i="8" s="1"/>
  <c r="N582" i="8"/>
  <c r="O582" i="8" s="1"/>
  <c r="L582" i="8"/>
  <c r="M582" i="8" s="1"/>
  <c r="J582" i="8"/>
  <c r="K582" i="8" s="1"/>
  <c r="H582" i="8"/>
  <c r="I582" i="8" s="1"/>
  <c r="F582" i="8"/>
  <c r="G582" i="8" s="1"/>
  <c r="D582" i="8"/>
  <c r="E582" i="8" s="1"/>
  <c r="V581" i="8"/>
  <c r="W581" i="8" s="1"/>
  <c r="T581" i="8"/>
  <c r="U581" i="8" s="1"/>
  <c r="R581" i="8"/>
  <c r="S581" i="8" s="1"/>
  <c r="P581" i="8"/>
  <c r="Q581" i="8" s="1"/>
  <c r="N581" i="8"/>
  <c r="O581" i="8" s="1"/>
  <c r="L581" i="8"/>
  <c r="M581" i="8" s="1"/>
  <c r="J581" i="8"/>
  <c r="K581" i="8" s="1"/>
  <c r="H581" i="8"/>
  <c r="I581" i="8" s="1"/>
  <c r="F581" i="8"/>
  <c r="G581" i="8" s="1"/>
  <c r="D581" i="8"/>
  <c r="E581" i="8" s="1"/>
  <c r="V580" i="8"/>
  <c r="W580" i="8" s="1"/>
  <c r="U580" i="8"/>
  <c r="T580" i="8"/>
  <c r="R580" i="8"/>
  <c r="S580" i="8" s="1"/>
  <c r="P580" i="8"/>
  <c r="Q580" i="8" s="1"/>
  <c r="N580" i="8"/>
  <c r="O580" i="8" s="1"/>
  <c r="L580" i="8"/>
  <c r="M580" i="8" s="1"/>
  <c r="J580" i="8"/>
  <c r="K580" i="8" s="1"/>
  <c r="H580" i="8"/>
  <c r="I580" i="8" s="1"/>
  <c r="F580" i="8"/>
  <c r="G580" i="8" s="1"/>
  <c r="D580" i="8"/>
  <c r="E580" i="8" s="1"/>
  <c r="V579" i="8"/>
  <c r="W579" i="8" s="1"/>
  <c r="T579" i="8"/>
  <c r="U579" i="8" s="1"/>
  <c r="R579" i="8"/>
  <c r="S579" i="8" s="1"/>
  <c r="P579" i="8"/>
  <c r="Q579" i="8" s="1"/>
  <c r="N579" i="8"/>
  <c r="O579" i="8" s="1"/>
  <c r="L579" i="8"/>
  <c r="M579" i="8" s="1"/>
  <c r="J579" i="8"/>
  <c r="K579" i="8" s="1"/>
  <c r="H579" i="8"/>
  <c r="I579" i="8" s="1"/>
  <c r="F579" i="8"/>
  <c r="G579" i="8" s="1"/>
  <c r="D579" i="8"/>
  <c r="E579" i="8" s="1"/>
  <c r="W578" i="8"/>
  <c r="V578" i="8"/>
  <c r="T578" i="8"/>
  <c r="U578" i="8" s="1"/>
  <c r="R578" i="8"/>
  <c r="S578" i="8" s="1"/>
  <c r="P578" i="8"/>
  <c r="Q578" i="8" s="1"/>
  <c r="N578" i="8"/>
  <c r="O578" i="8" s="1"/>
  <c r="L578" i="8"/>
  <c r="M578" i="8" s="1"/>
  <c r="J578" i="8"/>
  <c r="K578" i="8" s="1"/>
  <c r="H578" i="8"/>
  <c r="I578" i="8" s="1"/>
  <c r="F578" i="8"/>
  <c r="G578" i="8" s="1"/>
  <c r="D578" i="8"/>
  <c r="E578" i="8" s="1"/>
  <c r="V577" i="8"/>
  <c r="W577" i="8" s="1"/>
  <c r="T577" i="8"/>
  <c r="U577" i="8" s="1"/>
  <c r="R577" i="8"/>
  <c r="S577" i="8" s="1"/>
  <c r="P577" i="8"/>
  <c r="Q577" i="8" s="1"/>
  <c r="N577" i="8"/>
  <c r="O577" i="8" s="1"/>
  <c r="L577" i="8"/>
  <c r="M577" i="8" s="1"/>
  <c r="J577" i="8"/>
  <c r="K577" i="8" s="1"/>
  <c r="H577" i="8"/>
  <c r="I577" i="8" s="1"/>
  <c r="F577" i="8"/>
  <c r="G577" i="8" s="1"/>
  <c r="D577" i="8"/>
  <c r="E577" i="8" s="1"/>
  <c r="V576" i="8"/>
  <c r="W576" i="8" s="1"/>
  <c r="T576" i="8"/>
  <c r="U576" i="8" s="1"/>
  <c r="R576" i="8"/>
  <c r="S576" i="8" s="1"/>
  <c r="P576" i="8"/>
  <c r="Q576" i="8" s="1"/>
  <c r="O576" i="8"/>
  <c r="N576" i="8"/>
  <c r="L576" i="8"/>
  <c r="M576" i="8" s="1"/>
  <c r="J576" i="8"/>
  <c r="K576" i="8" s="1"/>
  <c r="H576" i="8"/>
  <c r="I576" i="8" s="1"/>
  <c r="F576" i="8"/>
  <c r="G576" i="8" s="1"/>
  <c r="D576" i="8"/>
  <c r="E576" i="8" s="1"/>
  <c r="V575" i="8"/>
  <c r="W575" i="8" s="1"/>
  <c r="T575" i="8"/>
  <c r="U575" i="8" s="1"/>
  <c r="R575" i="8"/>
  <c r="S575" i="8" s="1"/>
  <c r="P575" i="8"/>
  <c r="Q575" i="8" s="1"/>
  <c r="N575" i="8"/>
  <c r="O575" i="8" s="1"/>
  <c r="L575" i="8"/>
  <c r="M575" i="8" s="1"/>
  <c r="J575" i="8"/>
  <c r="K575" i="8" s="1"/>
  <c r="H575" i="8"/>
  <c r="I575" i="8" s="1"/>
  <c r="F575" i="8"/>
  <c r="G575" i="8" s="1"/>
  <c r="D575" i="8"/>
  <c r="E575" i="8" s="1"/>
  <c r="V574" i="8"/>
  <c r="W574" i="8" s="1"/>
  <c r="T574" i="8"/>
  <c r="U574" i="8" s="1"/>
  <c r="R574" i="8"/>
  <c r="S574" i="8" s="1"/>
  <c r="P574" i="8"/>
  <c r="Q574" i="8" s="1"/>
  <c r="N574" i="8"/>
  <c r="O574" i="8" s="1"/>
  <c r="L574" i="8"/>
  <c r="M574" i="8" s="1"/>
  <c r="J574" i="8"/>
  <c r="K574" i="8" s="1"/>
  <c r="H574" i="8"/>
  <c r="I574" i="8" s="1"/>
  <c r="F574" i="8"/>
  <c r="G574" i="8" s="1"/>
  <c r="D574" i="8"/>
  <c r="E574" i="8" s="1"/>
  <c r="V573" i="8"/>
  <c r="W573" i="8" s="1"/>
  <c r="T573" i="8"/>
  <c r="U573" i="8" s="1"/>
  <c r="R573" i="8"/>
  <c r="S573" i="8" s="1"/>
  <c r="P573" i="8"/>
  <c r="Q573" i="8" s="1"/>
  <c r="N573" i="8"/>
  <c r="O573" i="8" s="1"/>
  <c r="L573" i="8"/>
  <c r="M573" i="8" s="1"/>
  <c r="J573" i="8"/>
  <c r="K573" i="8" s="1"/>
  <c r="H573" i="8"/>
  <c r="I573" i="8" s="1"/>
  <c r="F573" i="8"/>
  <c r="G573" i="8" s="1"/>
  <c r="D573" i="8"/>
  <c r="E573" i="8" s="1"/>
  <c r="V572" i="8"/>
  <c r="W572" i="8" s="1"/>
  <c r="T572" i="8"/>
  <c r="U572" i="8" s="1"/>
  <c r="R572" i="8"/>
  <c r="S572" i="8" s="1"/>
  <c r="P572" i="8"/>
  <c r="Q572" i="8" s="1"/>
  <c r="N572" i="8"/>
  <c r="O572" i="8" s="1"/>
  <c r="L572" i="8"/>
  <c r="M572" i="8" s="1"/>
  <c r="J572" i="8"/>
  <c r="K572" i="8" s="1"/>
  <c r="H572" i="8"/>
  <c r="I572" i="8" s="1"/>
  <c r="F572" i="8"/>
  <c r="G572" i="8" s="1"/>
  <c r="D572" i="8"/>
  <c r="E572" i="8" s="1"/>
  <c r="V571" i="8"/>
  <c r="W571" i="8" s="1"/>
  <c r="T571" i="8"/>
  <c r="U571" i="8" s="1"/>
  <c r="R571" i="8"/>
  <c r="S571" i="8" s="1"/>
  <c r="P571" i="8"/>
  <c r="Q571" i="8" s="1"/>
  <c r="N571" i="8"/>
  <c r="O571" i="8" s="1"/>
  <c r="L571" i="8"/>
  <c r="M571" i="8" s="1"/>
  <c r="J571" i="8"/>
  <c r="K571" i="8" s="1"/>
  <c r="H571" i="8"/>
  <c r="I571" i="8" s="1"/>
  <c r="F571" i="8"/>
  <c r="G571" i="8" s="1"/>
  <c r="E571" i="8"/>
  <c r="D571" i="8"/>
  <c r="V570" i="8"/>
  <c r="W570" i="8" s="1"/>
  <c r="T570" i="8"/>
  <c r="U570" i="8" s="1"/>
  <c r="R570" i="8"/>
  <c r="S570" i="8" s="1"/>
  <c r="P570" i="8"/>
  <c r="Q570" i="8" s="1"/>
  <c r="N570" i="8"/>
  <c r="O570" i="8" s="1"/>
  <c r="L570" i="8"/>
  <c r="M570" i="8" s="1"/>
  <c r="K570" i="8"/>
  <c r="J570" i="8"/>
  <c r="H570" i="8"/>
  <c r="I570" i="8" s="1"/>
  <c r="F570" i="8"/>
  <c r="G570" i="8" s="1"/>
  <c r="D570" i="8"/>
  <c r="E570" i="8" s="1"/>
  <c r="V569" i="8"/>
  <c r="W569" i="8" s="1"/>
  <c r="T569" i="8"/>
  <c r="U569" i="8" s="1"/>
  <c r="R569" i="8"/>
  <c r="S569" i="8" s="1"/>
  <c r="P569" i="8"/>
  <c r="Q569" i="8" s="1"/>
  <c r="N569" i="8"/>
  <c r="O569" i="8" s="1"/>
  <c r="L569" i="8"/>
  <c r="M569" i="8" s="1"/>
  <c r="J569" i="8"/>
  <c r="K569" i="8" s="1"/>
  <c r="H569" i="8"/>
  <c r="I569" i="8" s="1"/>
  <c r="F569" i="8"/>
  <c r="G569" i="8" s="1"/>
  <c r="D569" i="8"/>
  <c r="E569" i="8" s="1"/>
  <c r="V568" i="8"/>
  <c r="W568" i="8" s="1"/>
  <c r="T568" i="8"/>
  <c r="U568" i="8" s="1"/>
  <c r="R568" i="8"/>
  <c r="S568" i="8" s="1"/>
  <c r="P568" i="8"/>
  <c r="Q568" i="8" s="1"/>
  <c r="N568" i="8"/>
  <c r="O568" i="8" s="1"/>
  <c r="L568" i="8"/>
  <c r="M568" i="8" s="1"/>
  <c r="J568" i="8"/>
  <c r="K568" i="8" s="1"/>
  <c r="H568" i="8"/>
  <c r="I568" i="8" s="1"/>
  <c r="F568" i="8"/>
  <c r="G568" i="8" s="1"/>
  <c r="D568" i="8"/>
  <c r="E568" i="8" s="1"/>
  <c r="V567" i="8"/>
  <c r="W567" i="8" s="1"/>
  <c r="T567" i="8"/>
  <c r="U567" i="8" s="1"/>
  <c r="R567" i="8"/>
  <c r="S567" i="8" s="1"/>
  <c r="P567" i="8"/>
  <c r="Q567" i="8" s="1"/>
  <c r="N567" i="8"/>
  <c r="O567" i="8" s="1"/>
  <c r="L567" i="8"/>
  <c r="M567" i="8" s="1"/>
  <c r="J567" i="8"/>
  <c r="K567" i="8" s="1"/>
  <c r="H567" i="8"/>
  <c r="I567" i="8" s="1"/>
  <c r="F567" i="8"/>
  <c r="G567" i="8" s="1"/>
  <c r="D567" i="8"/>
  <c r="E567" i="8" s="1"/>
  <c r="V566" i="8"/>
  <c r="W566" i="8" s="1"/>
  <c r="T566" i="8"/>
  <c r="U566" i="8" s="1"/>
  <c r="R566" i="8"/>
  <c r="S566" i="8" s="1"/>
  <c r="P566" i="8"/>
  <c r="Q566" i="8" s="1"/>
  <c r="N566" i="8"/>
  <c r="O566" i="8" s="1"/>
  <c r="L566" i="8"/>
  <c r="M566" i="8" s="1"/>
  <c r="J566" i="8"/>
  <c r="K566" i="8" s="1"/>
  <c r="H566" i="8"/>
  <c r="I566" i="8" s="1"/>
  <c r="F566" i="8"/>
  <c r="G566" i="8" s="1"/>
  <c r="D566" i="8"/>
  <c r="E566" i="8" s="1"/>
  <c r="V565" i="8"/>
  <c r="W565" i="8" s="1"/>
  <c r="T565" i="8"/>
  <c r="U565" i="8" s="1"/>
  <c r="R565" i="8"/>
  <c r="S565" i="8" s="1"/>
  <c r="P565" i="8"/>
  <c r="Q565" i="8" s="1"/>
  <c r="N565" i="8"/>
  <c r="O565" i="8" s="1"/>
  <c r="L565" i="8"/>
  <c r="M565" i="8" s="1"/>
  <c r="J565" i="8"/>
  <c r="K565" i="8" s="1"/>
  <c r="H565" i="8"/>
  <c r="I565" i="8" s="1"/>
  <c r="F565" i="8"/>
  <c r="G565" i="8" s="1"/>
  <c r="D565" i="8"/>
  <c r="E565" i="8" s="1"/>
  <c r="V564" i="8"/>
  <c r="W564" i="8" s="1"/>
  <c r="T564" i="8"/>
  <c r="U564" i="8" s="1"/>
  <c r="R564" i="8"/>
  <c r="S564" i="8" s="1"/>
  <c r="P564" i="8"/>
  <c r="Q564" i="8" s="1"/>
  <c r="N564" i="8"/>
  <c r="O564" i="8" s="1"/>
  <c r="L564" i="8"/>
  <c r="M564" i="8" s="1"/>
  <c r="J564" i="8"/>
  <c r="K564" i="8" s="1"/>
  <c r="H564" i="8"/>
  <c r="I564" i="8" s="1"/>
  <c r="F564" i="8"/>
  <c r="G564" i="8" s="1"/>
  <c r="D564" i="8"/>
  <c r="E564" i="8" s="1"/>
  <c r="V563" i="8"/>
  <c r="W563" i="8" s="1"/>
  <c r="T563" i="8"/>
  <c r="U563" i="8" s="1"/>
  <c r="R563" i="8"/>
  <c r="S563" i="8" s="1"/>
  <c r="P563" i="8"/>
  <c r="Q563" i="8" s="1"/>
  <c r="N563" i="8"/>
  <c r="O563" i="8" s="1"/>
  <c r="L563" i="8"/>
  <c r="M563" i="8" s="1"/>
  <c r="J563" i="8"/>
  <c r="K563" i="8" s="1"/>
  <c r="H563" i="8"/>
  <c r="I563" i="8" s="1"/>
  <c r="G563" i="8"/>
  <c r="F563" i="8"/>
  <c r="D563" i="8"/>
  <c r="E563" i="8" s="1"/>
  <c r="V562" i="8"/>
  <c r="W562" i="8" s="1"/>
  <c r="T562" i="8"/>
  <c r="U562" i="8" s="1"/>
  <c r="R562" i="8"/>
  <c r="S562" i="8" s="1"/>
  <c r="P562" i="8"/>
  <c r="Q562" i="8" s="1"/>
  <c r="N562" i="8"/>
  <c r="O562" i="8" s="1"/>
  <c r="M562" i="8"/>
  <c r="L562" i="8"/>
  <c r="J562" i="8"/>
  <c r="K562" i="8" s="1"/>
  <c r="H562" i="8"/>
  <c r="I562" i="8" s="1"/>
  <c r="F562" i="8"/>
  <c r="G562" i="8" s="1"/>
  <c r="D562" i="8"/>
  <c r="E562" i="8" s="1"/>
  <c r="V561" i="8"/>
  <c r="W561" i="8" s="1"/>
  <c r="T561" i="8"/>
  <c r="U561" i="8" s="1"/>
  <c r="R561" i="8"/>
  <c r="S561" i="8" s="1"/>
  <c r="P561" i="8"/>
  <c r="Q561" i="8" s="1"/>
  <c r="N561" i="8"/>
  <c r="O561" i="8" s="1"/>
  <c r="L561" i="8"/>
  <c r="M561" i="8" s="1"/>
  <c r="J561" i="8"/>
  <c r="K561" i="8" s="1"/>
  <c r="H561" i="8"/>
  <c r="I561" i="8" s="1"/>
  <c r="F561" i="8"/>
  <c r="G561" i="8" s="1"/>
  <c r="D561" i="8"/>
  <c r="E561" i="8" s="1"/>
  <c r="V560" i="8"/>
  <c r="W560" i="8" s="1"/>
  <c r="T560" i="8"/>
  <c r="U560" i="8" s="1"/>
  <c r="S560" i="8"/>
  <c r="R560" i="8"/>
  <c r="P560" i="8"/>
  <c r="Q560" i="8" s="1"/>
  <c r="N560" i="8"/>
  <c r="O560" i="8" s="1"/>
  <c r="L560" i="8"/>
  <c r="M560" i="8" s="1"/>
  <c r="J560" i="8"/>
  <c r="K560" i="8" s="1"/>
  <c r="H560" i="8"/>
  <c r="I560" i="8" s="1"/>
  <c r="F560" i="8"/>
  <c r="G560" i="8" s="1"/>
  <c r="D560" i="8"/>
  <c r="E560" i="8" s="1"/>
  <c r="V559" i="8"/>
  <c r="W559" i="8" s="1"/>
  <c r="T559" i="8"/>
  <c r="U559" i="8" s="1"/>
  <c r="R559" i="8"/>
  <c r="S559" i="8" s="1"/>
  <c r="P559" i="8"/>
  <c r="Q559" i="8" s="1"/>
  <c r="N559" i="8"/>
  <c r="O559" i="8" s="1"/>
  <c r="L559" i="8"/>
  <c r="M559" i="8" s="1"/>
  <c r="J559" i="8"/>
  <c r="K559" i="8" s="1"/>
  <c r="H559" i="8"/>
  <c r="I559" i="8" s="1"/>
  <c r="F559" i="8"/>
  <c r="G559" i="8" s="1"/>
  <c r="D559" i="8"/>
  <c r="E559" i="8" s="1"/>
  <c r="V558" i="8"/>
  <c r="W558" i="8" s="1"/>
  <c r="T558" i="8"/>
  <c r="U558" i="8" s="1"/>
  <c r="R558" i="8"/>
  <c r="S558" i="8" s="1"/>
  <c r="P558" i="8"/>
  <c r="Q558" i="8" s="1"/>
  <c r="N558" i="8"/>
  <c r="O558" i="8" s="1"/>
  <c r="L558" i="8"/>
  <c r="M558" i="8" s="1"/>
  <c r="J558" i="8"/>
  <c r="K558" i="8" s="1"/>
  <c r="H558" i="8"/>
  <c r="I558" i="8" s="1"/>
  <c r="F558" i="8"/>
  <c r="G558" i="8" s="1"/>
  <c r="D558" i="8"/>
  <c r="E558" i="8" s="1"/>
  <c r="W557" i="8"/>
  <c r="V557" i="8"/>
  <c r="T557" i="8"/>
  <c r="U557" i="8" s="1"/>
  <c r="S557" i="8"/>
  <c r="R557" i="8"/>
  <c r="P557" i="8"/>
  <c r="Q557" i="8" s="1"/>
  <c r="N557" i="8"/>
  <c r="O557" i="8" s="1"/>
  <c r="L557" i="8"/>
  <c r="M557" i="8" s="1"/>
  <c r="J557" i="8"/>
  <c r="K557" i="8" s="1"/>
  <c r="H557" i="8"/>
  <c r="I557" i="8" s="1"/>
  <c r="F557" i="8"/>
  <c r="G557" i="8" s="1"/>
  <c r="E557" i="8"/>
  <c r="D557" i="8"/>
  <c r="V556" i="8"/>
  <c r="W556" i="8" s="1"/>
  <c r="T556" i="8"/>
  <c r="U556" i="8" s="1"/>
  <c r="R556" i="8"/>
  <c r="S556" i="8" s="1"/>
  <c r="P556" i="8"/>
  <c r="Q556" i="8" s="1"/>
  <c r="N556" i="8"/>
  <c r="O556" i="8" s="1"/>
  <c r="L556" i="8"/>
  <c r="M556" i="8" s="1"/>
  <c r="J556" i="8"/>
  <c r="K556" i="8" s="1"/>
  <c r="H556" i="8"/>
  <c r="I556" i="8" s="1"/>
  <c r="F556" i="8"/>
  <c r="G556" i="8" s="1"/>
  <c r="D556" i="8"/>
  <c r="E556" i="8" s="1"/>
  <c r="V555" i="8"/>
  <c r="W555" i="8" s="1"/>
  <c r="T555" i="8"/>
  <c r="U555" i="8" s="1"/>
  <c r="R555" i="8"/>
  <c r="S555" i="8" s="1"/>
  <c r="P555" i="8"/>
  <c r="Q555" i="8" s="1"/>
  <c r="N555" i="8"/>
  <c r="O555" i="8" s="1"/>
  <c r="L555" i="8"/>
  <c r="M555" i="8" s="1"/>
  <c r="J555" i="8"/>
  <c r="K555" i="8" s="1"/>
  <c r="H555" i="8"/>
  <c r="I555" i="8" s="1"/>
  <c r="F555" i="8"/>
  <c r="G555" i="8" s="1"/>
  <c r="D555" i="8"/>
  <c r="E555" i="8" s="1"/>
  <c r="V554" i="8"/>
  <c r="W554" i="8" s="1"/>
  <c r="T554" i="8"/>
  <c r="U554" i="8" s="1"/>
  <c r="R554" i="8"/>
  <c r="S554" i="8" s="1"/>
  <c r="P554" i="8"/>
  <c r="Q554" i="8" s="1"/>
  <c r="N554" i="8"/>
  <c r="O554" i="8" s="1"/>
  <c r="L554" i="8"/>
  <c r="M554" i="8" s="1"/>
  <c r="J554" i="8"/>
  <c r="K554" i="8" s="1"/>
  <c r="H554" i="8"/>
  <c r="I554" i="8" s="1"/>
  <c r="F554" i="8"/>
  <c r="G554" i="8" s="1"/>
  <c r="D554" i="8"/>
  <c r="E554" i="8" s="1"/>
  <c r="V553" i="8"/>
  <c r="W553" i="8" s="1"/>
  <c r="T553" i="8"/>
  <c r="U553" i="8" s="1"/>
  <c r="R553" i="8"/>
  <c r="S553" i="8" s="1"/>
  <c r="P553" i="8"/>
  <c r="Q553" i="8" s="1"/>
  <c r="N553" i="8"/>
  <c r="O553" i="8" s="1"/>
  <c r="L553" i="8"/>
  <c r="M553" i="8" s="1"/>
  <c r="J553" i="8"/>
  <c r="K553" i="8" s="1"/>
  <c r="H553" i="8"/>
  <c r="I553" i="8" s="1"/>
  <c r="F553" i="8"/>
  <c r="G553" i="8" s="1"/>
  <c r="D553" i="8"/>
  <c r="E553" i="8" s="1"/>
  <c r="V552" i="8"/>
  <c r="W552" i="8" s="1"/>
  <c r="T552" i="8"/>
  <c r="U552" i="8" s="1"/>
  <c r="R552" i="8"/>
  <c r="S552" i="8" s="1"/>
  <c r="P552" i="8"/>
  <c r="Q552" i="8" s="1"/>
  <c r="N552" i="8"/>
  <c r="O552" i="8" s="1"/>
  <c r="L552" i="8"/>
  <c r="M552" i="8" s="1"/>
  <c r="J552" i="8"/>
  <c r="K552" i="8" s="1"/>
  <c r="H552" i="8"/>
  <c r="I552" i="8" s="1"/>
  <c r="F552" i="8"/>
  <c r="G552" i="8" s="1"/>
  <c r="D552" i="8"/>
  <c r="E552" i="8" s="1"/>
  <c r="V551" i="8"/>
  <c r="W551" i="8" s="1"/>
  <c r="T551" i="8"/>
  <c r="U551" i="8" s="1"/>
  <c r="R551" i="8"/>
  <c r="S551" i="8" s="1"/>
  <c r="P551" i="8"/>
  <c r="Q551" i="8" s="1"/>
  <c r="N551" i="8"/>
  <c r="O551" i="8" s="1"/>
  <c r="L551" i="8"/>
  <c r="M551" i="8" s="1"/>
  <c r="J551" i="8"/>
  <c r="K551" i="8" s="1"/>
  <c r="H551" i="8"/>
  <c r="I551" i="8" s="1"/>
  <c r="F551" i="8"/>
  <c r="G551" i="8" s="1"/>
  <c r="D551" i="8"/>
  <c r="E551" i="8" s="1"/>
  <c r="V550" i="8"/>
  <c r="W550" i="8" s="1"/>
  <c r="T550" i="8"/>
  <c r="U550" i="8" s="1"/>
  <c r="R550" i="8"/>
  <c r="S550" i="8" s="1"/>
  <c r="P550" i="8"/>
  <c r="Q550" i="8" s="1"/>
  <c r="N550" i="8"/>
  <c r="O550" i="8" s="1"/>
  <c r="L550" i="8"/>
  <c r="M550" i="8" s="1"/>
  <c r="J550" i="8"/>
  <c r="K550" i="8" s="1"/>
  <c r="H550" i="8"/>
  <c r="I550" i="8" s="1"/>
  <c r="F550" i="8"/>
  <c r="G550" i="8" s="1"/>
  <c r="D550" i="8"/>
  <c r="E550" i="8" s="1"/>
  <c r="V549" i="8"/>
  <c r="W549" i="8" s="1"/>
  <c r="T549" i="8"/>
  <c r="U549" i="8" s="1"/>
  <c r="R549" i="8"/>
  <c r="S549" i="8" s="1"/>
  <c r="P549" i="8"/>
  <c r="Q549" i="8" s="1"/>
  <c r="N549" i="8"/>
  <c r="O549" i="8" s="1"/>
  <c r="L549" i="8"/>
  <c r="M549" i="8" s="1"/>
  <c r="J549" i="8"/>
  <c r="K549" i="8" s="1"/>
  <c r="H549" i="8"/>
  <c r="I549" i="8" s="1"/>
  <c r="F549" i="8"/>
  <c r="G549" i="8" s="1"/>
  <c r="D549" i="8"/>
  <c r="E549" i="8" s="1"/>
  <c r="V548" i="8"/>
  <c r="W548" i="8" s="1"/>
  <c r="T548" i="8"/>
  <c r="U548" i="8" s="1"/>
  <c r="R548" i="8"/>
  <c r="S548" i="8" s="1"/>
  <c r="P548" i="8"/>
  <c r="Q548" i="8" s="1"/>
  <c r="N548" i="8"/>
  <c r="O548" i="8" s="1"/>
  <c r="L548" i="8"/>
  <c r="M548" i="8" s="1"/>
  <c r="J548" i="8"/>
  <c r="K548" i="8" s="1"/>
  <c r="H548" i="8"/>
  <c r="I548" i="8" s="1"/>
  <c r="F548" i="8"/>
  <c r="G548" i="8" s="1"/>
  <c r="D548" i="8"/>
  <c r="E548" i="8" s="1"/>
  <c r="V547" i="8"/>
  <c r="W547" i="8" s="1"/>
  <c r="T547" i="8"/>
  <c r="U547" i="8" s="1"/>
  <c r="R547" i="8"/>
  <c r="S547" i="8" s="1"/>
  <c r="P547" i="8"/>
  <c r="Q547" i="8" s="1"/>
  <c r="N547" i="8"/>
  <c r="O547" i="8" s="1"/>
  <c r="L547" i="8"/>
  <c r="M547" i="8" s="1"/>
  <c r="J547" i="8"/>
  <c r="K547" i="8" s="1"/>
  <c r="H547" i="8"/>
  <c r="I547" i="8" s="1"/>
  <c r="F547" i="8"/>
  <c r="G547" i="8" s="1"/>
  <c r="D547" i="8"/>
  <c r="E547" i="8" s="1"/>
  <c r="V546" i="8"/>
  <c r="W546" i="8" s="1"/>
  <c r="T546" i="8"/>
  <c r="U546" i="8" s="1"/>
  <c r="R546" i="8"/>
  <c r="S546" i="8" s="1"/>
  <c r="P546" i="8"/>
  <c r="Q546" i="8" s="1"/>
  <c r="N546" i="8"/>
  <c r="O546" i="8" s="1"/>
  <c r="L546" i="8"/>
  <c r="M546" i="8" s="1"/>
  <c r="J546" i="8"/>
  <c r="K546" i="8" s="1"/>
  <c r="H546" i="8"/>
  <c r="I546" i="8" s="1"/>
  <c r="F546" i="8"/>
  <c r="G546" i="8" s="1"/>
  <c r="D546" i="8"/>
  <c r="E546" i="8" s="1"/>
  <c r="V545" i="8"/>
  <c r="W545" i="8" s="1"/>
  <c r="T545" i="8"/>
  <c r="U545" i="8" s="1"/>
  <c r="R545" i="8"/>
  <c r="S545" i="8" s="1"/>
  <c r="P545" i="8"/>
  <c r="Q545" i="8" s="1"/>
  <c r="N545" i="8"/>
  <c r="O545" i="8" s="1"/>
  <c r="L545" i="8"/>
  <c r="M545" i="8" s="1"/>
  <c r="J545" i="8"/>
  <c r="K545" i="8" s="1"/>
  <c r="H545" i="8"/>
  <c r="I545" i="8" s="1"/>
  <c r="F545" i="8"/>
  <c r="G545" i="8" s="1"/>
  <c r="D545" i="8"/>
  <c r="E545" i="8" s="1"/>
  <c r="V544" i="8"/>
  <c r="W544" i="8" s="1"/>
  <c r="T544" i="8"/>
  <c r="U544" i="8" s="1"/>
  <c r="R544" i="8"/>
  <c r="S544" i="8" s="1"/>
  <c r="P544" i="8"/>
  <c r="Q544" i="8" s="1"/>
  <c r="N544" i="8"/>
  <c r="O544" i="8" s="1"/>
  <c r="L544" i="8"/>
  <c r="M544" i="8" s="1"/>
  <c r="J544" i="8"/>
  <c r="K544" i="8" s="1"/>
  <c r="H544" i="8"/>
  <c r="I544" i="8" s="1"/>
  <c r="F544" i="8"/>
  <c r="G544" i="8" s="1"/>
  <c r="D544" i="8"/>
  <c r="E544" i="8" s="1"/>
  <c r="V543" i="8"/>
  <c r="W543" i="8" s="1"/>
  <c r="T543" i="8"/>
  <c r="U543" i="8" s="1"/>
  <c r="R543" i="8"/>
  <c r="S543" i="8" s="1"/>
  <c r="P543" i="8"/>
  <c r="Q543" i="8" s="1"/>
  <c r="N543" i="8"/>
  <c r="O543" i="8" s="1"/>
  <c r="L543" i="8"/>
  <c r="M543" i="8" s="1"/>
  <c r="J543" i="8"/>
  <c r="K543" i="8" s="1"/>
  <c r="H543" i="8"/>
  <c r="I543" i="8" s="1"/>
  <c r="F543" i="8"/>
  <c r="G543" i="8" s="1"/>
  <c r="D543" i="8"/>
  <c r="E543" i="8" s="1"/>
  <c r="V542" i="8"/>
  <c r="W542" i="8" s="1"/>
  <c r="T542" i="8"/>
  <c r="U542" i="8" s="1"/>
  <c r="R542" i="8"/>
  <c r="S542" i="8" s="1"/>
  <c r="P542" i="8"/>
  <c r="Q542" i="8" s="1"/>
  <c r="N542" i="8"/>
  <c r="O542" i="8" s="1"/>
  <c r="L542" i="8"/>
  <c r="M542" i="8" s="1"/>
  <c r="J542" i="8"/>
  <c r="K542" i="8" s="1"/>
  <c r="I542" i="8"/>
  <c r="F542" i="8"/>
  <c r="G542" i="8" s="1"/>
  <c r="D542" i="8"/>
  <c r="E542" i="8" s="1"/>
  <c r="V541" i="8"/>
  <c r="W541" i="8" s="1"/>
  <c r="T541" i="8"/>
  <c r="U541" i="8" s="1"/>
  <c r="R541" i="8"/>
  <c r="S541" i="8" s="1"/>
  <c r="P541" i="8"/>
  <c r="Q541" i="8" s="1"/>
  <c r="N541" i="8"/>
  <c r="O541" i="8" s="1"/>
  <c r="L541" i="8"/>
  <c r="M541" i="8" s="1"/>
  <c r="J541" i="8"/>
  <c r="K541" i="8" s="1"/>
  <c r="H541" i="8"/>
  <c r="I541" i="8" s="1"/>
  <c r="F541" i="8"/>
  <c r="G541" i="8" s="1"/>
  <c r="D541" i="8"/>
  <c r="E541" i="8" s="1"/>
  <c r="V540" i="8"/>
  <c r="W540" i="8" s="1"/>
  <c r="T540" i="8"/>
  <c r="U540" i="8" s="1"/>
  <c r="R540" i="8"/>
  <c r="S540" i="8" s="1"/>
  <c r="P540" i="8"/>
  <c r="Q540" i="8" s="1"/>
  <c r="N540" i="8"/>
  <c r="O540" i="8" s="1"/>
  <c r="L540" i="8"/>
  <c r="M540" i="8" s="1"/>
  <c r="J540" i="8"/>
  <c r="K540" i="8" s="1"/>
  <c r="H540" i="8"/>
  <c r="I540" i="8" s="1"/>
  <c r="F540" i="8"/>
  <c r="G540" i="8" s="1"/>
  <c r="D540" i="8"/>
  <c r="E540" i="8" s="1"/>
  <c r="V539" i="8"/>
  <c r="W539" i="8" s="1"/>
  <c r="T539" i="8"/>
  <c r="U539" i="8" s="1"/>
  <c r="R539" i="8"/>
  <c r="S539" i="8" s="1"/>
  <c r="P539" i="8"/>
  <c r="Q539" i="8" s="1"/>
  <c r="N539" i="8"/>
  <c r="O539" i="8" s="1"/>
  <c r="L539" i="8"/>
  <c r="M539" i="8" s="1"/>
  <c r="J539" i="8"/>
  <c r="K539" i="8" s="1"/>
  <c r="H539" i="8"/>
  <c r="I539" i="8" s="1"/>
  <c r="F539" i="8"/>
  <c r="G539" i="8" s="1"/>
  <c r="D539" i="8"/>
  <c r="E539" i="8" s="1"/>
  <c r="V538" i="8"/>
  <c r="W538" i="8" s="1"/>
  <c r="T538" i="8"/>
  <c r="U538" i="8" s="1"/>
  <c r="R538" i="8"/>
  <c r="S538" i="8" s="1"/>
  <c r="P538" i="8"/>
  <c r="Q538" i="8" s="1"/>
  <c r="N538" i="8"/>
  <c r="O538" i="8" s="1"/>
  <c r="L538" i="8"/>
  <c r="M538" i="8" s="1"/>
  <c r="J538" i="8"/>
  <c r="K538" i="8" s="1"/>
  <c r="H538" i="8"/>
  <c r="I538" i="8" s="1"/>
  <c r="F538" i="8"/>
  <c r="G538" i="8" s="1"/>
  <c r="D538" i="8"/>
  <c r="E538" i="8" s="1"/>
  <c r="V537" i="8"/>
  <c r="W537" i="8" s="1"/>
  <c r="T537" i="8"/>
  <c r="U537" i="8" s="1"/>
  <c r="R537" i="8"/>
  <c r="S537" i="8" s="1"/>
  <c r="P537" i="8"/>
  <c r="Q537" i="8" s="1"/>
  <c r="N537" i="8"/>
  <c r="O537" i="8" s="1"/>
  <c r="L537" i="8"/>
  <c r="M537" i="8" s="1"/>
  <c r="J537" i="8"/>
  <c r="K537" i="8" s="1"/>
  <c r="H537" i="8"/>
  <c r="I537" i="8" s="1"/>
  <c r="F537" i="8"/>
  <c r="G537" i="8" s="1"/>
  <c r="E537" i="8"/>
  <c r="D537" i="8"/>
  <c r="V536" i="8"/>
  <c r="W536" i="8" s="1"/>
  <c r="T536" i="8"/>
  <c r="U536" i="8" s="1"/>
  <c r="R536" i="8"/>
  <c r="S536" i="8" s="1"/>
  <c r="P536" i="8"/>
  <c r="Q536" i="8" s="1"/>
  <c r="N536" i="8"/>
  <c r="O536" i="8" s="1"/>
  <c r="L536" i="8"/>
  <c r="M536" i="8" s="1"/>
  <c r="J536" i="8"/>
  <c r="K536" i="8" s="1"/>
  <c r="H536" i="8"/>
  <c r="I536" i="8" s="1"/>
  <c r="F536" i="8"/>
  <c r="G536" i="8" s="1"/>
  <c r="D536" i="8"/>
  <c r="E536" i="8" s="1"/>
  <c r="V535" i="8"/>
  <c r="W535" i="8" s="1"/>
  <c r="T535" i="8"/>
  <c r="U535" i="8" s="1"/>
  <c r="R535" i="8"/>
  <c r="S535" i="8" s="1"/>
  <c r="P535" i="8"/>
  <c r="Q535" i="8" s="1"/>
  <c r="N535" i="8"/>
  <c r="O535" i="8" s="1"/>
  <c r="L535" i="8"/>
  <c r="M535" i="8" s="1"/>
  <c r="J535" i="8"/>
  <c r="K535" i="8" s="1"/>
  <c r="H535" i="8"/>
  <c r="I535" i="8" s="1"/>
  <c r="F535" i="8"/>
  <c r="G535" i="8" s="1"/>
  <c r="D535" i="8"/>
  <c r="E535" i="8" s="1"/>
  <c r="V534" i="8"/>
  <c r="W534" i="8" s="1"/>
  <c r="T534" i="8"/>
  <c r="U534" i="8" s="1"/>
  <c r="R534" i="8"/>
  <c r="S534" i="8" s="1"/>
  <c r="P534" i="8"/>
  <c r="Q534" i="8" s="1"/>
  <c r="N534" i="8"/>
  <c r="O534" i="8" s="1"/>
  <c r="L534" i="8"/>
  <c r="M534" i="8" s="1"/>
  <c r="J534" i="8"/>
  <c r="K534" i="8" s="1"/>
  <c r="I534" i="8"/>
  <c r="H534" i="8"/>
  <c r="F534" i="8"/>
  <c r="G534" i="8" s="1"/>
  <c r="D534" i="8"/>
  <c r="E534" i="8" s="1"/>
  <c r="W533" i="8"/>
  <c r="U533" i="8"/>
  <c r="S533" i="8"/>
  <c r="Q533" i="8"/>
  <c r="O533" i="8"/>
  <c r="M533" i="8"/>
  <c r="K533" i="8"/>
  <c r="I533" i="8"/>
  <c r="G533" i="8"/>
  <c r="E533" i="8"/>
  <c r="V524" i="8"/>
  <c r="W524" i="8" s="1"/>
  <c r="T524" i="8"/>
  <c r="U524" i="8" s="1"/>
  <c r="S524" i="8"/>
  <c r="R524" i="8"/>
  <c r="P524" i="8"/>
  <c r="Q524" i="8" s="1"/>
  <c r="N524" i="8"/>
  <c r="O524" i="8" s="1"/>
  <c r="L524" i="8"/>
  <c r="M524" i="8" s="1"/>
  <c r="J524" i="8"/>
  <c r="K524" i="8" s="1"/>
  <c r="H524" i="8"/>
  <c r="I524" i="8" s="1"/>
  <c r="F524" i="8"/>
  <c r="G524" i="8" s="1"/>
  <c r="D524" i="8"/>
  <c r="E524" i="8" s="1"/>
  <c r="V523" i="8"/>
  <c r="W523" i="8" s="1"/>
  <c r="T523" i="8"/>
  <c r="U523" i="8" s="1"/>
  <c r="R523" i="8"/>
  <c r="S523" i="8" s="1"/>
  <c r="P523" i="8"/>
  <c r="Q523" i="8" s="1"/>
  <c r="N523" i="8"/>
  <c r="O523" i="8" s="1"/>
  <c r="L523" i="8"/>
  <c r="M523" i="8" s="1"/>
  <c r="J523" i="8"/>
  <c r="K523" i="8" s="1"/>
  <c r="H523" i="8"/>
  <c r="I523" i="8" s="1"/>
  <c r="F523" i="8"/>
  <c r="G523" i="8" s="1"/>
  <c r="D523" i="8"/>
  <c r="E523" i="8" s="1"/>
  <c r="V522" i="8"/>
  <c r="W522" i="8" s="1"/>
  <c r="T522" i="8"/>
  <c r="U522" i="8" s="1"/>
  <c r="R522" i="8"/>
  <c r="S522" i="8" s="1"/>
  <c r="P522" i="8"/>
  <c r="Q522" i="8" s="1"/>
  <c r="N522" i="8"/>
  <c r="O522" i="8" s="1"/>
  <c r="L522" i="8"/>
  <c r="M522" i="8" s="1"/>
  <c r="J522" i="8"/>
  <c r="K522" i="8" s="1"/>
  <c r="H522" i="8"/>
  <c r="I522" i="8" s="1"/>
  <c r="F522" i="8"/>
  <c r="G522" i="8" s="1"/>
  <c r="D522" i="8"/>
  <c r="E522" i="8" s="1"/>
  <c r="V521" i="8"/>
  <c r="W521" i="8" s="1"/>
  <c r="T521" i="8"/>
  <c r="U521" i="8" s="1"/>
  <c r="R521" i="8"/>
  <c r="S521" i="8" s="1"/>
  <c r="P521" i="8"/>
  <c r="Q521" i="8" s="1"/>
  <c r="N521" i="8"/>
  <c r="O521" i="8" s="1"/>
  <c r="L521" i="8"/>
  <c r="M521" i="8" s="1"/>
  <c r="J521" i="8"/>
  <c r="K521" i="8" s="1"/>
  <c r="H521" i="8"/>
  <c r="I521" i="8" s="1"/>
  <c r="F521" i="8"/>
  <c r="G521" i="8" s="1"/>
  <c r="D521" i="8"/>
  <c r="E521" i="8" s="1"/>
  <c r="V520" i="8"/>
  <c r="W520" i="8" s="1"/>
  <c r="T520" i="8"/>
  <c r="U520" i="8" s="1"/>
  <c r="R520" i="8"/>
  <c r="S520" i="8" s="1"/>
  <c r="P520" i="8"/>
  <c r="Q520" i="8" s="1"/>
  <c r="N520" i="8"/>
  <c r="O520" i="8" s="1"/>
  <c r="L520" i="8"/>
  <c r="M520" i="8" s="1"/>
  <c r="J520" i="8"/>
  <c r="K520" i="8" s="1"/>
  <c r="H520" i="8"/>
  <c r="I520" i="8" s="1"/>
  <c r="F520" i="8"/>
  <c r="G520" i="8" s="1"/>
  <c r="D520" i="8"/>
  <c r="E520" i="8" s="1"/>
  <c r="V519" i="8"/>
  <c r="W519" i="8" s="1"/>
  <c r="T519" i="8"/>
  <c r="U519" i="8" s="1"/>
  <c r="R519" i="8"/>
  <c r="S519" i="8" s="1"/>
  <c r="P519" i="8"/>
  <c r="Q519" i="8" s="1"/>
  <c r="N519" i="8"/>
  <c r="O519" i="8" s="1"/>
  <c r="L519" i="8"/>
  <c r="M519" i="8" s="1"/>
  <c r="J519" i="8"/>
  <c r="K519" i="8" s="1"/>
  <c r="H519" i="8"/>
  <c r="I519" i="8" s="1"/>
  <c r="F519" i="8"/>
  <c r="G519" i="8" s="1"/>
  <c r="D519" i="8"/>
  <c r="E519" i="8" s="1"/>
  <c r="V518" i="8"/>
  <c r="W518" i="8" s="1"/>
  <c r="T518" i="8"/>
  <c r="U518" i="8" s="1"/>
  <c r="R518" i="8"/>
  <c r="S518" i="8" s="1"/>
  <c r="P518" i="8"/>
  <c r="Q518" i="8" s="1"/>
  <c r="N518" i="8"/>
  <c r="O518" i="8" s="1"/>
  <c r="L518" i="8"/>
  <c r="M518" i="8" s="1"/>
  <c r="J518" i="8"/>
  <c r="K518" i="8" s="1"/>
  <c r="H518" i="8"/>
  <c r="I518" i="8" s="1"/>
  <c r="F518" i="8"/>
  <c r="G518" i="8" s="1"/>
  <c r="D518" i="8"/>
  <c r="E518" i="8" s="1"/>
  <c r="W517" i="8"/>
  <c r="V517" i="8"/>
  <c r="T517" i="8"/>
  <c r="U517" i="8" s="1"/>
  <c r="R517" i="8"/>
  <c r="S517" i="8" s="1"/>
  <c r="P517" i="8"/>
  <c r="Q517" i="8" s="1"/>
  <c r="N517" i="8"/>
  <c r="O517" i="8" s="1"/>
  <c r="L517" i="8"/>
  <c r="M517" i="8" s="1"/>
  <c r="J517" i="8"/>
  <c r="K517" i="8" s="1"/>
  <c r="H517" i="8"/>
  <c r="I517" i="8" s="1"/>
  <c r="F517" i="8"/>
  <c r="G517" i="8" s="1"/>
  <c r="D517" i="8"/>
  <c r="E517" i="8" s="1"/>
  <c r="V516" i="8"/>
  <c r="W516" i="8" s="1"/>
  <c r="T516" i="8"/>
  <c r="U516" i="8" s="1"/>
  <c r="R516" i="8"/>
  <c r="S516" i="8" s="1"/>
  <c r="P516" i="8"/>
  <c r="Q516" i="8" s="1"/>
  <c r="O516" i="8"/>
  <c r="N516" i="8"/>
  <c r="L516" i="8"/>
  <c r="M516" i="8" s="1"/>
  <c r="J516" i="8"/>
  <c r="K516" i="8" s="1"/>
  <c r="H516" i="8"/>
  <c r="I516" i="8" s="1"/>
  <c r="F516" i="8"/>
  <c r="G516" i="8" s="1"/>
  <c r="D516" i="8"/>
  <c r="E516" i="8" s="1"/>
  <c r="V515" i="8"/>
  <c r="W515" i="8" s="1"/>
  <c r="T515" i="8"/>
  <c r="U515" i="8" s="1"/>
  <c r="R515" i="8"/>
  <c r="S515" i="8" s="1"/>
  <c r="P515" i="8"/>
  <c r="Q515" i="8" s="1"/>
  <c r="N515" i="8"/>
  <c r="O515" i="8" s="1"/>
  <c r="L515" i="8"/>
  <c r="M515" i="8" s="1"/>
  <c r="J515" i="8"/>
  <c r="K515" i="8" s="1"/>
  <c r="H515" i="8"/>
  <c r="I515" i="8" s="1"/>
  <c r="F515" i="8"/>
  <c r="G515" i="8" s="1"/>
  <c r="D515" i="8"/>
  <c r="E515" i="8" s="1"/>
  <c r="V514" i="8"/>
  <c r="W514" i="8" s="1"/>
  <c r="T514" i="8"/>
  <c r="U514" i="8" s="1"/>
  <c r="R514" i="8"/>
  <c r="S514" i="8" s="1"/>
  <c r="P514" i="8"/>
  <c r="Q514" i="8" s="1"/>
  <c r="N514" i="8"/>
  <c r="O514" i="8" s="1"/>
  <c r="L514" i="8"/>
  <c r="M514" i="8" s="1"/>
  <c r="J514" i="8"/>
  <c r="K514" i="8" s="1"/>
  <c r="H514" i="8"/>
  <c r="I514" i="8" s="1"/>
  <c r="F514" i="8"/>
  <c r="G514" i="8" s="1"/>
  <c r="D514" i="8"/>
  <c r="E514" i="8" s="1"/>
  <c r="V513" i="8"/>
  <c r="W513" i="8" s="1"/>
  <c r="T513" i="8"/>
  <c r="U513" i="8" s="1"/>
  <c r="R513" i="8"/>
  <c r="S513" i="8" s="1"/>
  <c r="P513" i="8"/>
  <c r="Q513" i="8" s="1"/>
  <c r="N513" i="8"/>
  <c r="O513" i="8" s="1"/>
  <c r="L513" i="8"/>
  <c r="M513" i="8" s="1"/>
  <c r="J513" i="8"/>
  <c r="K513" i="8" s="1"/>
  <c r="H513" i="8"/>
  <c r="I513" i="8" s="1"/>
  <c r="F513" i="8"/>
  <c r="G513" i="8" s="1"/>
  <c r="D513" i="8"/>
  <c r="E513" i="8" s="1"/>
  <c r="V512" i="8"/>
  <c r="W512" i="8" s="1"/>
  <c r="T512" i="8"/>
  <c r="U512" i="8" s="1"/>
  <c r="R512" i="8"/>
  <c r="S512" i="8" s="1"/>
  <c r="P512" i="8"/>
  <c r="Q512" i="8" s="1"/>
  <c r="N512" i="8"/>
  <c r="O512" i="8" s="1"/>
  <c r="L512" i="8"/>
  <c r="M512" i="8" s="1"/>
  <c r="J512" i="8"/>
  <c r="K512" i="8" s="1"/>
  <c r="H512" i="8"/>
  <c r="I512" i="8" s="1"/>
  <c r="F512" i="8"/>
  <c r="G512" i="8" s="1"/>
  <c r="D512" i="8"/>
  <c r="E512" i="8" s="1"/>
  <c r="V511" i="8"/>
  <c r="W511" i="8" s="1"/>
  <c r="T511" i="8"/>
  <c r="U511" i="8" s="1"/>
  <c r="R511" i="8"/>
  <c r="S511" i="8" s="1"/>
  <c r="P511" i="8"/>
  <c r="Q511" i="8" s="1"/>
  <c r="O511" i="8"/>
  <c r="N511" i="8"/>
  <c r="L511" i="8"/>
  <c r="M511" i="8" s="1"/>
  <c r="J511" i="8"/>
  <c r="K511" i="8" s="1"/>
  <c r="H511" i="8"/>
  <c r="I511" i="8" s="1"/>
  <c r="F511" i="8"/>
  <c r="G511" i="8" s="1"/>
  <c r="D511" i="8"/>
  <c r="E511" i="8" s="1"/>
  <c r="V510" i="8"/>
  <c r="W510" i="8" s="1"/>
  <c r="T510" i="8"/>
  <c r="U510" i="8" s="1"/>
  <c r="R510" i="8"/>
  <c r="S510" i="8" s="1"/>
  <c r="P510" i="8"/>
  <c r="Q510" i="8" s="1"/>
  <c r="N510" i="8"/>
  <c r="O510" i="8" s="1"/>
  <c r="L510" i="8"/>
  <c r="M510" i="8" s="1"/>
  <c r="J510" i="8"/>
  <c r="K510" i="8" s="1"/>
  <c r="H510" i="8"/>
  <c r="I510" i="8" s="1"/>
  <c r="F510" i="8"/>
  <c r="G510" i="8" s="1"/>
  <c r="D510" i="8"/>
  <c r="E510" i="8" s="1"/>
  <c r="V509" i="8"/>
  <c r="W509" i="8" s="1"/>
  <c r="T509" i="8"/>
  <c r="U509" i="8" s="1"/>
  <c r="R509" i="8"/>
  <c r="S509" i="8" s="1"/>
  <c r="P509" i="8"/>
  <c r="Q509" i="8" s="1"/>
  <c r="N509" i="8"/>
  <c r="O509" i="8" s="1"/>
  <c r="L509" i="8"/>
  <c r="M509" i="8" s="1"/>
  <c r="J509" i="8"/>
  <c r="K509" i="8" s="1"/>
  <c r="H509" i="8"/>
  <c r="I509" i="8" s="1"/>
  <c r="F509" i="8"/>
  <c r="G509" i="8" s="1"/>
  <c r="D509" i="8"/>
  <c r="E509" i="8" s="1"/>
  <c r="V508" i="8"/>
  <c r="W508" i="8" s="1"/>
  <c r="T508" i="8"/>
  <c r="U508" i="8" s="1"/>
  <c r="R508" i="8"/>
  <c r="S508" i="8" s="1"/>
  <c r="P508" i="8"/>
  <c r="Q508" i="8" s="1"/>
  <c r="N508" i="8"/>
  <c r="O508" i="8" s="1"/>
  <c r="L508" i="8"/>
  <c r="M508" i="8" s="1"/>
  <c r="J508" i="8"/>
  <c r="K508" i="8" s="1"/>
  <c r="H508" i="8"/>
  <c r="I508" i="8" s="1"/>
  <c r="F508" i="8"/>
  <c r="G508" i="8" s="1"/>
  <c r="D508" i="8"/>
  <c r="E508" i="8" s="1"/>
  <c r="V507" i="8"/>
  <c r="W507" i="8" s="1"/>
  <c r="T507" i="8"/>
  <c r="U507" i="8" s="1"/>
  <c r="R507" i="8"/>
  <c r="S507" i="8" s="1"/>
  <c r="P507" i="8"/>
  <c r="Q507" i="8" s="1"/>
  <c r="N507" i="8"/>
  <c r="O507" i="8" s="1"/>
  <c r="L507" i="8"/>
  <c r="M507" i="8" s="1"/>
  <c r="J507" i="8"/>
  <c r="K507" i="8" s="1"/>
  <c r="H507" i="8"/>
  <c r="I507" i="8" s="1"/>
  <c r="F507" i="8"/>
  <c r="G507" i="8" s="1"/>
  <c r="D507" i="8"/>
  <c r="E507" i="8" s="1"/>
  <c r="V506" i="8"/>
  <c r="W506" i="8" s="1"/>
  <c r="T506" i="8"/>
  <c r="U506" i="8" s="1"/>
  <c r="R506" i="8"/>
  <c r="S506" i="8" s="1"/>
  <c r="P506" i="8"/>
  <c r="Q506" i="8" s="1"/>
  <c r="N506" i="8"/>
  <c r="O506" i="8" s="1"/>
  <c r="L506" i="8"/>
  <c r="M506" i="8" s="1"/>
  <c r="J506" i="8"/>
  <c r="K506" i="8" s="1"/>
  <c r="H506" i="8"/>
  <c r="I506" i="8" s="1"/>
  <c r="F506" i="8"/>
  <c r="G506" i="8" s="1"/>
  <c r="D506" i="8"/>
  <c r="E506" i="8" s="1"/>
  <c r="V505" i="8"/>
  <c r="W505" i="8" s="1"/>
  <c r="T505" i="8"/>
  <c r="U505" i="8" s="1"/>
  <c r="R505" i="8"/>
  <c r="S505" i="8" s="1"/>
  <c r="P505" i="8"/>
  <c r="Q505" i="8" s="1"/>
  <c r="N505" i="8"/>
  <c r="O505" i="8" s="1"/>
  <c r="L505" i="8"/>
  <c r="M505" i="8" s="1"/>
  <c r="J505" i="8"/>
  <c r="K505" i="8" s="1"/>
  <c r="H505" i="8"/>
  <c r="I505" i="8" s="1"/>
  <c r="G505" i="8"/>
  <c r="F505" i="8"/>
  <c r="D505" i="8"/>
  <c r="E505" i="8" s="1"/>
  <c r="V504" i="8"/>
  <c r="W504" i="8" s="1"/>
  <c r="T504" i="8"/>
  <c r="U504" i="8" s="1"/>
  <c r="R504" i="8"/>
  <c r="S504" i="8" s="1"/>
  <c r="P504" i="8"/>
  <c r="Q504" i="8" s="1"/>
  <c r="N504" i="8"/>
  <c r="O504" i="8" s="1"/>
  <c r="L504" i="8"/>
  <c r="M504" i="8" s="1"/>
  <c r="J504" i="8"/>
  <c r="K504" i="8" s="1"/>
  <c r="H504" i="8"/>
  <c r="I504" i="8" s="1"/>
  <c r="F504" i="8"/>
  <c r="G504" i="8" s="1"/>
  <c r="D504" i="8"/>
  <c r="E504" i="8" s="1"/>
  <c r="V503" i="8"/>
  <c r="W503" i="8" s="1"/>
  <c r="T503" i="8"/>
  <c r="U503" i="8" s="1"/>
  <c r="R503" i="8"/>
  <c r="S503" i="8" s="1"/>
  <c r="P503" i="8"/>
  <c r="Q503" i="8" s="1"/>
  <c r="N503" i="8"/>
  <c r="O503" i="8" s="1"/>
  <c r="L503" i="8"/>
  <c r="M503" i="8" s="1"/>
  <c r="K503" i="8"/>
  <c r="J503" i="8"/>
  <c r="H503" i="8"/>
  <c r="I503" i="8" s="1"/>
  <c r="F503" i="8"/>
  <c r="G503" i="8" s="1"/>
  <c r="D503" i="8"/>
  <c r="E503" i="8" s="1"/>
  <c r="V502" i="8"/>
  <c r="W502" i="8" s="1"/>
  <c r="T502" i="8"/>
  <c r="U502" i="8" s="1"/>
  <c r="R502" i="8"/>
  <c r="S502" i="8" s="1"/>
  <c r="P502" i="8"/>
  <c r="Q502" i="8" s="1"/>
  <c r="O502" i="8"/>
  <c r="N502" i="8"/>
  <c r="L502" i="8"/>
  <c r="M502" i="8" s="1"/>
  <c r="J502" i="8"/>
  <c r="K502" i="8" s="1"/>
  <c r="H502" i="8"/>
  <c r="I502" i="8" s="1"/>
  <c r="F502" i="8"/>
  <c r="G502" i="8" s="1"/>
  <c r="D502" i="8"/>
  <c r="E502" i="8" s="1"/>
  <c r="V501" i="8"/>
  <c r="W501" i="8" s="1"/>
  <c r="T501" i="8"/>
  <c r="U501" i="8" s="1"/>
  <c r="R501" i="8"/>
  <c r="S501" i="8" s="1"/>
  <c r="P501" i="8"/>
  <c r="Q501" i="8" s="1"/>
  <c r="N501" i="8"/>
  <c r="O501" i="8" s="1"/>
  <c r="L501" i="8"/>
  <c r="M501" i="8" s="1"/>
  <c r="J501" i="8"/>
  <c r="K501" i="8" s="1"/>
  <c r="H501" i="8"/>
  <c r="I501" i="8" s="1"/>
  <c r="F501" i="8"/>
  <c r="G501" i="8" s="1"/>
  <c r="D501" i="8"/>
  <c r="E501" i="8" s="1"/>
  <c r="V500" i="8"/>
  <c r="W500" i="8" s="1"/>
  <c r="T500" i="8"/>
  <c r="U500" i="8" s="1"/>
  <c r="R500" i="8"/>
  <c r="S500" i="8" s="1"/>
  <c r="P500" i="8"/>
  <c r="Q500" i="8" s="1"/>
  <c r="N500" i="8"/>
  <c r="O500" i="8" s="1"/>
  <c r="L500" i="8"/>
  <c r="M500" i="8" s="1"/>
  <c r="J500" i="8"/>
  <c r="K500" i="8" s="1"/>
  <c r="H500" i="8"/>
  <c r="I500" i="8" s="1"/>
  <c r="F500" i="8"/>
  <c r="G500" i="8" s="1"/>
  <c r="D500" i="8"/>
  <c r="E500" i="8" s="1"/>
  <c r="V499" i="8"/>
  <c r="W499" i="8" s="1"/>
  <c r="T499" i="8"/>
  <c r="U499" i="8" s="1"/>
  <c r="R499" i="8"/>
  <c r="S499" i="8" s="1"/>
  <c r="P499" i="8"/>
  <c r="Q499" i="8" s="1"/>
  <c r="N499" i="8"/>
  <c r="O499" i="8" s="1"/>
  <c r="L499" i="8"/>
  <c r="M499" i="8" s="1"/>
  <c r="J499" i="8"/>
  <c r="K499" i="8" s="1"/>
  <c r="H499" i="8"/>
  <c r="I499" i="8" s="1"/>
  <c r="F499" i="8"/>
  <c r="G499" i="8" s="1"/>
  <c r="D499" i="8"/>
  <c r="E499" i="8" s="1"/>
  <c r="V498" i="8"/>
  <c r="W498" i="8" s="1"/>
  <c r="T498" i="8"/>
  <c r="U498" i="8" s="1"/>
  <c r="R498" i="8"/>
  <c r="S498" i="8" s="1"/>
  <c r="P498" i="8"/>
  <c r="Q498" i="8" s="1"/>
  <c r="N498" i="8"/>
  <c r="O498" i="8" s="1"/>
  <c r="L498" i="8"/>
  <c r="M498" i="8" s="1"/>
  <c r="J498" i="8"/>
  <c r="K498" i="8" s="1"/>
  <c r="H498" i="8"/>
  <c r="I498" i="8" s="1"/>
  <c r="F498" i="8"/>
  <c r="G498" i="8" s="1"/>
  <c r="D498" i="8"/>
  <c r="E498" i="8" s="1"/>
  <c r="V497" i="8"/>
  <c r="W497" i="8" s="1"/>
  <c r="T497" i="8"/>
  <c r="U497" i="8" s="1"/>
  <c r="R497" i="8"/>
  <c r="S497" i="8" s="1"/>
  <c r="P497" i="8"/>
  <c r="Q497" i="8" s="1"/>
  <c r="N497" i="8"/>
  <c r="O497" i="8" s="1"/>
  <c r="L497" i="8"/>
  <c r="M497" i="8" s="1"/>
  <c r="J497" i="8"/>
  <c r="K497" i="8" s="1"/>
  <c r="H497" i="8"/>
  <c r="I497" i="8" s="1"/>
  <c r="F497" i="8"/>
  <c r="G497" i="8" s="1"/>
  <c r="D497" i="8"/>
  <c r="E497" i="8" s="1"/>
  <c r="V496" i="8"/>
  <c r="W496" i="8" s="1"/>
  <c r="T496" i="8"/>
  <c r="U496" i="8" s="1"/>
  <c r="R496" i="8"/>
  <c r="S496" i="8" s="1"/>
  <c r="P496" i="8"/>
  <c r="Q496" i="8" s="1"/>
  <c r="N496" i="8"/>
  <c r="O496" i="8" s="1"/>
  <c r="L496" i="8"/>
  <c r="M496" i="8" s="1"/>
  <c r="J496" i="8"/>
  <c r="K496" i="8" s="1"/>
  <c r="H496" i="8"/>
  <c r="I496" i="8" s="1"/>
  <c r="F496" i="8"/>
  <c r="G496" i="8" s="1"/>
  <c r="D496" i="8"/>
  <c r="E496" i="8" s="1"/>
  <c r="V495" i="8"/>
  <c r="W495" i="8" s="1"/>
  <c r="T495" i="8"/>
  <c r="U495" i="8" s="1"/>
  <c r="R495" i="8"/>
  <c r="S495" i="8" s="1"/>
  <c r="P495" i="8"/>
  <c r="Q495" i="8" s="1"/>
  <c r="N495" i="8"/>
  <c r="O495" i="8" s="1"/>
  <c r="L495" i="8"/>
  <c r="M495" i="8" s="1"/>
  <c r="J495" i="8"/>
  <c r="K495" i="8" s="1"/>
  <c r="H495" i="8"/>
  <c r="I495" i="8" s="1"/>
  <c r="F495" i="8"/>
  <c r="G495" i="8" s="1"/>
  <c r="D495" i="8"/>
  <c r="E495" i="8" s="1"/>
  <c r="V494" i="8"/>
  <c r="W494" i="8" s="1"/>
  <c r="T494" i="8"/>
  <c r="U494" i="8" s="1"/>
  <c r="R494" i="8"/>
  <c r="S494" i="8" s="1"/>
  <c r="P494" i="8"/>
  <c r="Q494" i="8" s="1"/>
  <c r="N494" i="8"/>
  <c r="O494" i="8" s="1"/>
  <c r="L494" i="8"/>
  <c r="M494" i="8" s="1"/>
  <c r="J494" i="8"/>
  <c r="K494" i="8" s="1"/>
  <c r="H494" i="8"/>
  <c r="I494" i="8" s="1"/>
  <c r="G494" i="8"/>
  <c r="F494" i="8"/>
  <c r="D494" i="8"/>
  <c r="E494" i="8" s="1"/>
  <c r="V493" i="8"/>
  <c r="W493" i="8" s="1"/>
  <c r="T493" i="8"/>
  <c r="U493" i="8" s="1"/>
  <c r="R493" i="8"/>
  <c r="S493" i="8" s="1"/>
  <c r="P493" i="8"/>
  <c r="Q493" i="8" s="1"/>
  <c r="N493" i="8"/>
  <c r="O493" i="8" s="1"/>
  <c r="L493" i="8"/>
  <c r="M493" i="8" s="1"/>
  <c r="J493" i="8"/>
  <c r="K493" i="8" s="1"/>
  <c r="H493" i="8"/>
  <c r="I493" i="8" s="1"/>
  <c r="G493" i="8"/>
  <c r="F493" i="8"/>
  <c r="D493" i="8"/>
  <c r="E493" i="8" s="1"/>
  <c r="V492" i="8"/>
  <c r="W492" i="8" s="1"/>
  <c r="T492" i="8"/>
  <c r="U492" i="8" s="1"/>
  <c r="R492" i="8"/>
  <c r="S492" i="8" s="1"/>
  <c r="P492" i="8"/>
  <c r="Q492" i="8" s="1"/>
  <c r="N492" i="8"/>
  <c r="O492" i="8" s="1"/>
  <c r="L492" i="8"/>
  <c r="M492" i="8" s="1"/>
  <c r="J492" i="8"/>
  <c r="K492" i="8" s="1"/>
  <c r="H492" i="8"/>
  <c r="I492" i="8" s="1"/>
  <c r="F492" i="8"/>
  <c r="G492" i="8" s="1"/>
  <c r="D492" i="8"/>
  <c r="E492" i="8" s="1"/>
  <c r="V491" i="8"/>
  <c r="W491" i="8" s="1"/>
  <c r="T491" i="8"/>
  <c r="U491" i="8" s="1"/>
  <c r="R491" i="8"/>
  <c r="S491" i="8" s="1"/>
  <c r="P491" i="8"/>
  <c r="Q491" i="8" s="1"/>
  <c r="N491" i="8"/>
  <c r="O491" i="8" s="1"/>
  <c r="L491" i="8"/>
  <c r="M491" i="8" s="1"/>
  <c r="J491" i="8"/>
  <c r="K491" i="8" s="1"/>
  <c r="H491" i="8"/>
  <c r="I491" i="8" s="1"/>
  <c r="F491" i="8"/>
  <c r="G491" i="8" s="1"/>
  <c r="D491" i="8"/>
  <c r="E491" i="8" s="1"/>
  <c r="V490" i="8"/>
  <c r="W490" i="8" s="1"/>
  <c r="T490" i="8"/>
  <c r="U490" i="8" s="1"/>
  <c r="R490" i="8"/>
  <c r="S490" i="8" s="1"/>
  <c r="P490" i="8"/>
  <c r="Q490" i="8" s="1"/>
  <c r="N490" i="8"/>
  <c r="O490" i="8" s="1"/>
  <c r="L490" i="8"/>
  <c r="M490" i="8" s="1"/>
  <c r="J490" i="8"/>
  <c r="K490" i="8" s="1"/>
  <c r="H490" i="8"/>
  <c r="I490" i="8" s="1"/>
  <c r="F490" i="8"/>
  <c r="G490" i="8" s="1"/>
  <c r="D490" i="8"/>
  <c r="E490" i="8" s="1"/>
  <c r="V489" i="8"/>
  <c r="W489" i="8" s="1"/>
  <c r="T489" i="8"/>
  <c r="U489" i="8" s="1"/>
  <c r="R489" i="8"/>
  <c r="S489" i="8" s="1"/>
  <c r="P489" i="8"/>
  <c r="Q489" i="8" s="1"/>
  <c r="N489" i="8"/>
  <c r="O489" i="8" s="1"/>
  <c r="L489" i="8"/>
  <c r="M489" i="8" s="1"/>
  <c r="J489" i="8"/>
  <c r="K489" i="8" s="1"/>
  <c r="H489" i="8"/>
  <c r="I489" i="8" s="1"/>
  <c r="F489" i="8"/>
  <c r="G489" i="8" s="1"/>
  <c r="D489" i="8"/>
  <c r="E489" i="8" s="1"/>
  <c r="W488" i="8"/>
  <c r="V488" i="8"/>
  <c r="T488" i="8"/>
  <c r="U488" i="8" s="1"/>
  <c r="R488" i="8"/>
  <c r="S488" i="8" s="1"/>
  <c r="P488" i="8"/>
  <c r="Q488" i="8" s="1"/>
  <c r="N488" i="8"/>
  <c r="O488" i="8" s="1"/>
  <c r="L488" i="8"/>
  <c r="M488" i="8" s="1"/>
  <c r="J488" i="8"/>
  <c r="K488" i="8" s="1"/>
  <c r="H488" i="8"/>
  <c r="I488" i="8" s="1"/>
  <c r="F488" i="8"/>
  <c r="G488" i="8" s="1"/>
  <c r="D488" i="8"/>
  <c r="E488" i="8" s="1"/>
  <c r="V487" i="8"/>
  <c r="W487" i="8" s="1"/>
  <c r="T487" i="8"/>
  <c r="U487" i="8" s="1"/>
  <c r="R487" i="8"/>
  <c r="S487" i="8" s="1"/>
  <c r="P487" i="8"/>
  <c r="Q487" i="8" s="1"/>
  <c r="N487" i="8"/>
  <c r="O487" i="8" s="1"/>
  <c r="L487" i="8"/>
  <c r="M487" i="8" s="1"/>
  <c r="J487" i="8"/>
  <c r="K487" i="8" s="1"/>
  <c r="H487" i="8"/>
  <c r="I487" i="8" s="1"/>
  <c r="F487" i="8"/>
  <c r="G487" i="8" s="1"/>
  <c r="D487" i="8"/>
  <c r="E487" i="8" s="1"/>
  <c r="V486" i="8"/>
  <c r="W486" i="8" s="1"/>
  <c r="T486" i="8"/>
  <c r="U486" i="8" s="1"/>
  <c r="R486" i="8"/>
  <c r="S486" i="8" s="1"/>
  <c r="P486" i="8"/>
  <c r="Q486" i="8" s="1"/>
  <c r="N486" i="8"/>
  <c r="O486" i="8" s="1"/>
  <c r="L486" i="8"/>
  <c r="M486" i="8" s="1"/>
  <c r="J486" i="8"/>
  <c r="K486" i="8" s="1"/>
  <c r="I486" i="8"/>
  <c r="H486" i="8"/>
  <c r="F486" i="8"/>
  <c r="G486" i="8" s="1"/>
  <c r="D486" i="8"/>
  <c r="E486" i="8" s="1"/>
  <c r="V485" i="8"/>
  <c r="W485" i="8" s="1"/>
  <c r="T485" i="8"/>
  <c r="U485" i="8" s="1"/>
  <c r="R485" i="8"/>
  <c r="S485" i="8" s="1"/>
  <c r="P485" i="8"/>
  <c r="Q485" i="8" s="1"/>
  <c r="O485" i="8"/>
  <c r="N485" i="8"/>
  <c r="L485" i="8"/>
  <c r="M485" i="8" s="1"/>
  <c r="J485" i="8"/>
  <c r="K485" i="8" s="1"/>
  <c r="H485" i="8"/>
  <c r="I485" i="8" s="1"/>
  <c r="F485" i="8"/>
  <c r="G485" i="8" s="1"/>
  <c r="D485" i="8"/>
  <c r="E485" i="8" s="1"/>
  <c r="V484" i="8"/>
  <c r="W484" i="8" s="1"/>
  <c r="T484" i="8"/>
  <c r="U484" i="8" s="1"/>
  <c r="R484" i="8"/>
  <c r="S484" i="8" s="1"/>
  <c r="P484" i="8"/>
  <c r="Q484" i="8" s="1"/>
  <c r="N484" i="8"/>
  <c r="O484" i="8" s="1"/>
  <c r="L484" i="8"/>
  <c r="M484" i="8" s="1"/>
  <c r="K484" i="8"/>
  <c r="J484" i="8"/>
  <c r="H484" i="8"/>
  <c r="I484" i="8" s="1"/>
  <c r="F484" i="8"/>
  <c r="G484" i="8" s="1"/>
  <c r="D484" i="8"/>
  <c r="E484" i="8" s="1"/>
  <c r="V483" i="8"/>
  <c r="W483" i="8" s="1"/>
  <c r="T483" i="8"/>
  <c r="U483" i="8" s="1"/>
  <c r="R483" i="8"/>
  <c r="S483" i="8" s="1"/>
  <c r="Q483" i="8"/>
  <c r="P483" i="8"/>
  <c r="N483" i="8"/>
  <c r="O483" i="8" s="1"/>
  <c r="L483" i="8"/>
  <c r="M483" i="8" s="1"/>
  <c r="J483" i="8"/>
  <c r="K483" i="8" s="1"/>
  <c r="H483" i="8"/>
  <c r="I483" i="8" s="1"/>
  <c r="F483" i="8"/>
  <c r="G483" i="8" s="1"/>
  <c r="D483" i="8"/>
  <c r="E483" i="8" s="1"/>
  <c r="V482" i="8"/>
  <c r="W482" i="8" s="1"/>
  <c r="T482" i="8"/>
  <c r="U482" i="8" s="1"/>
  <c r="R482" i="8"/>
  <c r="S482" i="8" s="1"/>
  <c r="P482" i="8"/>
  <c r="Q482" i="8" s="1"/>
  <c r="N482" i="8"/>
  <c r="O482" i="8" s="1"/>
  <c r="L482" i="8"/>
  <c r="M482" i="8" s="1"/>
  <c r="J482" i="8"/>
  <c r="K482" i="8" s="1"/>
  <c r="H482" i="8"/>
  <c r="I482" i="8" s="1"/>
  <c r="F482" i="8"/>
  <c r="G482" i="8" s="1"/>
  <c r="D482" i="8"/>
  <c r="E482" i="8" s="1"/>
  <c r="V481" i="8"/>
  <c r="W481" i="8" s="1"/>
  <c r="T481" i="8"/>
  <c r="U481" i="8" s="1"/>
  <c r="R481" i="8"/>
  <c r="S481" i="8" s="1"/>
  <c r="P481" i="8"/>
  <c r="Q481" i="8" s="1"/>
  <c r="N481" i="8"/>
  <c r="O481" i="8" s="1"/>
  <c r="L481" i="8"/>
  <c r="M481" i="8" s="1"/>
  <c r="J481" i="8"/>
  <c r="K481" i="8" s="1"/>
  <c r="H481" i="8"/>
  <c r="I481" i="8" s="1"/>
  <c r="F481" i="8"/>
  <c r="G481" i="8" s="1"/>
  <c r="D481" i="8"/>
  <c r="E481" i="8" s="1"/>
  <c r="V480" i="8"/>
  <c r="W480" i="8" s="1"/>
  <c r="T480" i="8"/>
  <c r="U480" i="8" s="1"/>
  <c r="R480" i="8"/>
  <c r="S480" i="8" s="1"/>
  <c r="P480" i="8"/>
  <c r="Q480" i="8" s="1"/>
  <c r="N480" i="8"/>
  <c r="O480" i="8" s="1"/>
  <c r="L480" i="8"/>
  <c r="M480" i="8" s="1"/>
  <c r="J480" i="8"/>
  <c r="K480" i="8" s="1"/>
  <c r="H480" i="8"/>
  <c r="I480" i="8" s="1"/>
  <c r="F480" i="8"/>
  <c r="G480" i="8" s="1"/>
  <c r="D480" i="8"/>
  <c r="E480" i="8" s="1"/>
  <c r="W479" i="8"/>
  <c r="V479" i="8"/>
  <c r="T479" i="8"/>
  <c r="U479" i="8" s="1"/>
  <c r="R479" i="8"/>
  <c r="S479" i="8" s="1"/>
  <c r="P479" i="8"/>
  <c r="Q479" i="8" s="1"/>
  <c r="N479" i="8"/>
  <c r="O479" i="8" s="1"/>
  <c r="L479" i="8"/>
  <c r="M479" i="8" s="1"/>
  <c r="J479" i="8"/>
  <c r="K479" i="8" s="1"/>
  <c r="I479" i="8"/>
  <c r="H479" i="8"/>
  <c r="F479" i="8"/>
  <c r="G479" i="8" s="1"/>
  <c r="D479" i="8"/>
  <c r="E479" i="8" s="1"/>
  <c r="V478" i="8"/>
  <c r="W478" i="8" s="1"/>
  <c r="T478" i="8"/>
  <c r="U478" i="8" s="1"/>
  <c r="R478" i="8"/>
  <c r="S478" i="8" s="1"/>
  <c r="P478" i="8"/>
  <c r="Q478" i="8" s="1"/>
  <c r="N478" i="8"/>
  <c r="O478" i="8" s="1"/>
  <c r="L478" i="8"/>
  <c r="M478" i="8" s="1"/>
  <c r="J478" i="8"/>
  <c r="K478" i="8" s="1"/>
  <c r="H478" i="8"/>
  <c r="I478" i="8" s="1"/>
  <c r="F478" i="8"/>
  <c r="G478" i="8" s="1"/>
  <c r="D478" i="8"/>
  <c r="E478" i="8" s="1"/>
  <c r="V477" i="8"/>
  <c r="W477" i="8" s="1"/>
  <c r="T477" i="8"/>
  <c r="U477" i="8" s="1"/>
  <c r="R477" i="8"/>
  <c r="S477" i="8" s="1"/>
  <c r="P477" i="8"/>
  <c r="Q477" i="8" s="1"/>
  <c r="N477" i="8"/>
  <c r="O477" i="8" s="1"/>
  <c r="L477" i="8"/>
  <c r="M477" i="8" s="1"/>
  <c r="J477" i="8"/>
  <c r="K477" i="8" s="1"/>
  <c r="H477" i="8"/>
  <c r="I477" i="8" s="1"/>
  <c r="F477" i="8"/>
  <c r="G477" i="8" s="1"/>
  <c r="D477" i="8"/>
  <c r="E477" i="8" s="1"/>
  <c r="V476" i="8"/>
  <c r="W476" i="8" s="1"/>
  <c r="T476" i="8"/>
  <c r="U476" i="8" s="1"/>
  <c r="R476" i="8"/>
  <c r="S476" i="8" s="1"/>
  <c r="P476" i="8"/>
  <c r="Q476" i="8" s="1"/>
  <c r="N476" i="8"/>
  <c r="O476" i="8" s="1"/>
  <c r="L476" i="8"/>
  <c r="M476" i="8" s="1"/>
  <c r="J476" i="8"/>
  <c r="K476" i="8" s="1"/>
  <c r="H476" i="8"/>
  <c r="I476" i="8" s="1"/>
  <c r="F476" i="8"/>
  <c r="G476" i="8" s="1"/>
  <c r="D476" i="8"/>
  <c r="E476" i="8" s="1"/>
  <c r="V475" i="8"/>
  <c r="W475" i="8" s="1"/>
  <c r="T475" i="8"/>
  <c r="U475" i="8" s="1"/>
  <c r="R475" i="8"/>
  <c r="S475" i="8" s="1"/>
  <c r="P475" i="8"/>
  <c r="Q475" i="8" s="1"/>
  <c r="N475" i="8"/>
  <c r="O475" i="8" s="1"/>
  <c r="L475" i="8"/>
  <c r="M475" i="8" s="1"/>
  <c r="J475" i="8"/>
  <c r="K475" i="8" s="1"/>
  <c r="H475" i="8"/>
  <c r="I475" i="8" s="1"/>
  <c r="F475" i="8"/>
  <c r="G475" i="8" s="1"/>
  <c r="D475" i="8"/>
  <c r="E475" i="8" s="1"/>
  <c r="V474" i="8"/>
  <c r="W474" i="8" s="1"/>
  <c r="T474" i="8"/>
  <c r="U474" i="8" s="1"/>
  <c r="R474" i="8"/>
  <c r="S474" i="8" s="1"/>
  <c r="P474" i="8"/>
  <c r="Q474" i="8" s="1"/>
  <c r="O474" i="8"/>
  <c r="N474" i="8"/>
  <c r="L474" i="8"/>
  <c r="M474" i="8" s="1"/>
  <c r="J474" i="8"/>
  <c r="K474" i="8" s="1"/>
  <c r="H474" i="8"/>
  <c r="I474" i="8" s="1"/>
  <c r="F474" i="8"/>
  <c r="G474" i="8" s="1"/>
  <c r="D474" i="8"/>
  <c r="E474" i="8" s="1"/>
  <c r="V473" i="8"/>
  <c r="W473" i="8" s="1"/>
  <c r="T473" i="8"/>
  <c r="U473" i="8" s="1"/>
  <c r="R473" i="8"/>
  <c r="S473" i="8" s="1"/>
  <c r="P473" i="8"/>
  <c r="Q473" i="8" s="1"/>
  <c r="N473" i="8"/>
  <c r="O473" i="8" s="1"/>
  <c r="L473" i="8"/>
  <c r="M473" i="8" s="1"/>
  <c r="J473" i="8"/>
  <c r="K473" i="8" s="1"/>
  <c r="H473" i="8"/>
  <c r="I473" i="8" s="1"/>
  <c r="F473" i="8"/>
  <c r="G473" i="8" s="1"/>
  <c r="E473" i="8"/>
  <c r="D473" i="8"/>
  <c r="V472" i="8"/>
  <c r="W472" i="8" s="1"/>
  <c r="T472" i="8"/>
  <c r="U472" i="8" s="1"/>
  <c r="R472" i="8"/>
  <c r="S472" i="8" s="1"/>
  <c r="P472" i="8"/>
  <c r="Q472" i="8" s="1"/>
  <c r="N472" i="8"/>
  <c r="O472" i="8" s="1"/>
  <c r="L472" i="8"/>
  <c r="M472" i="8" s="1"/>
  <c r="J472" i="8"/>
  <c r="K472" i="8" s="1"/>
  <c r="H472" i="8"/>
  <c r="I472" i="8" s="1"/>
  <c r="F472" i="8"/>
  <c r="G472" i="8" s="1"/>
  <c r="D472" i="8"/>
  <c r="E472" i="8" s="1"/>
  <c r="V471" i="8"/>
  <c r="W471" i="8" s="1"/>
  <c r="T471" i="8"/>
  <c r="U471" i="8" s="1"/>
  <c r="R471" i="8"/>
  <c r="S471" i="8" s="1"/>
  <c r="P471" i="8"/>
  <c r="Q471" i="8" s="1"/>
  <c r="N471" i="8"/>
  <c r="O471" i="8" s="1"/>
  <c r="L471" i="8"/>
  <c r="M471" i="8" s="1"/>
  <c r="J471" i="8"/>
  <c r="K471" i="8" s="1"/>
  <c r="H471" i="8"/>
  <c r="I471" i="8" s="1"/>
  <c r="F471" i="8"/>
  <c r="G471" i="8" s="1"/>
  <c r="D471" i="8"/>
  <c r="E471" i="8" s="1"/>
  <c r="V470" i="8"/>
  <c r="W470" i="8" s="1"/>
  <c r="T470" i="8"/>
  <c r="U470" i="8" s="1"/>
  <c r="R470" i="8"/>
  <c r="S470" i="8" s="1"/>
  <c r="P470" i="8"/>
  <c r="Q470" i="8" s="1"/>
  <c r="N470" i="8"/>
  <c r="O470" i="8" s="1"/>
  <c r="L470" i="8"/>
  <c r="M470" i="8" s="1"/>
  <c r="J470" i="8"/>
  <c r="K470" i="8" s="1"/>
  <c r="H470" i="8"/>
  <c r="I470" i="8" s="1"/>
  <c r="F470" i="8"/>
  <c r="G470" i="8" s="1"/>
  <c r="D470" i="8"/>
  <c r="E470" i="8" s="1"/>
  <c r="V469" i="8"/>
  <c r="W469" i="8" s="1"/>
  <c r="T469" i="8"/>
  <c r="U469" i="8" s="1"/>
  <c r="S469" i="8"/>
  <c r="R469" i="8"/>
  <c r="P469" i="8"/>
  <c r="Q469" i="8" s="1"/>
  <c r="N469" i="8"/>
  <c r="O469" i="8" s="1"/>
  <c r="L469" i="8"/>
  <c r="M469" i="8" s="1"/>
  <c r="J469" i="8"/>
  <c r="K469" i="8" s="1"/>
  <c r="H469" i="8"/>
  <c r="I469" i="8" s="1"/>
  <c r="F469" i="8"/>
  <c r="G469" i="8" s="1"/>
  <c r="D469" i="8"/>
  <c r="E469" i="8" s="1"/>
  <c r="V468" i="8"/>
  <c r="W468" i="8" s="1"/>
  <c r="T468" i="8"/>
  <c r="U468" i="8" s="1"/>
  <c r="R468" i="8"/>
  <c r="S468" i="8" s="1"/>
  <c r="P468" i="8"/>
  <c r="Q468" i="8" s="1"/>
  <c r="N468" i="8"/>
  <c r="O468" i="8" s="1"/>
  <c r="L468" i="8"/>
  <c r="M468" i="8" s="1"/>
  <c r="J468" i="8"/>
  <c r="K468" i="8" s="1"/>
  <c r="H468" i="8"/>
  <c r="I468" i="8" s="1"/>
  <c r="F468" i="8"/>
  <c r="G468" i="8" s="1"/>
  <c r="D468" i="8"/>
  <c r="E468" i="8" s="1"/>
  <c r="V467" i="8"/>
  <c r="W467" i="8" s="1"/>
  <c r="T467" i="8"/>
  <c r="U467" i="8" s="1"/>
  <c r="R467" i="8"/>
  <c r="S467" i="8" s="1"/>
  <c r="P467" i="8"/>
  <c r="Q467" i="8" s="1"/>
  <c r="N467" i="8"/>
  <c r="O467" i="8" s="1"/>
  <c r="L467" i="8"/>
  <c r="M467" i="8" s="1"/>
  <c r="J467" i="8"/>
  <c r="K467" i="8" s="1"/>
  <c r="H467" i="8"/>
  <c r="I467" i="8" s="1"/>
  <c r="F467" i="8"/>
  <c r="G467" i="8" s="1"/>
  <c r="D467" i="8"/>
  <c r="E467" i="8" s="1"/>
  <c r="V466" i="8"/>
  <c r="W466" i="8" s="1"/>
  <c r="T466" i="8"/>
  <c r="U466" i="8" s="1"/>
  <c r="R466" i="8"/>
  <c r="S466" i="8" s="1"/>
  <c r="P466" i="8"/>
  <c r="Q466" i="8" s="1"/>
  <c r="N466" i="8"/>
  <c r="O466" i="8" s="1"/>
  <c r="L466" i="8"/>
  <c r="M466" i="8" s="1"/>
  <c r="J466" i="8"/>
  <c r="K466" i="8" s="1"/>
  <c r="H466" i="8"/>
  <c r="I466" i="8" s="1"/>
  <c r="F466" i="8"/>
  <c r="G466" i="8" s="1"/>
  <c r="D466" i="8"/>
  <c r="E466" i="8" s="1"/>
  <c r="V465" i="8"/>
  <c r="W465" i="8" s="1"/>
  <c r="T465" i="8"/>
  <c r="U465" i="8" s="1"/>
  <c r="R465" i="8"/>
  <c r="S465" i="8" s="1"/>
  <c r="P465" i="8"/>
  <c r="Q465" i="8" s="1"/>
  <c r="N465" i="8"/>
  <c r="O465" i="8" s="1"/>
  <c r="L465" i="8"/>
  <c r="M465" i="8" s="1"/>
  <c r="J465" i="8"/>
  <c r="K465" i="8" s="1"/>
  <c r="H465" i="8"/>
  <c r="I465" i="8" s="1"/>
  <c r="F465" i="8"/>
  <c r="G465" i="8" s="1"/>
  <c r="D465" i="8"/>
  <c r="E465" i="8" s="1"/>
  <c r="V464" i="8"/>
  <c r="W464" i="8" s="1"/>
  <c r="T464" i="8"/>
  <c r="U464" i="8" s="1"/>
  <c r="R464" i="8"/>
  <c r="S464" i="8" s="1"/>
  <c r="P464" i="8"/>
  <c r="Q464" i="8" s="1"/>
  <c r="N464" i="8"/>
  <c r="O464" i="8" s="1"/>
  <c r="L464" i="8"/>
  <c r="M464" i="8" s="1"/>
  <c r="J464" i="8"/>
  <c r="K464" i="8" s="1"/>
  <c r="H464" i="8"/>
  <c r="I464" i="8" s="1"/>
  <c r="F464" i="8"/>
  <c r="G464" i="8" s="1"/>
  <c r="D464" i="8"/>
  <c r="E464" i="8" s="1"/>
  <c r="V463" i="8"/>
  <c r="W463" i="8" s="1"/>
  <c r="T463" i="8"/>
  <c r="U463" i="8" s="1"/>
  <c r="R463" i="8"/>
  <c r="S463" i="8" s="1"/>
  <c r="P463" i="8"/>
  <c r="Q463" i="8" s="1"/>
  <c r="N463" i="8"/>
  <c r="O463" i="8" s="1"/>
  <c r="L463" i="8"/>
  <c r="M463" i="8" s="1"/>
  <c r="J463" i="8"/>
  <c r="K463" i="8" s="1"/>
  <c r="H463" i="8"/>
  <c r="I463" i="8" s="1"/>
  <c r="F463" i="8"/>
  <c r="G463" i="8" s="1"/>
  <c r="D463" i="8"/>
  <c r="E463" i="8" s="1"/>
  <c r="V462" i="8"/>
  <c r="W462" i="8" s="1"/>
  <c r="T462" i="8"/>
  <c r="U462" i="8" s="1"/>
  <c r="R462" i="8"/>
  <c r="S462" i="8" s="1"/>
  <c r="P462" i="8"/>
  <c r="Q462" i="8" s="1"/>
  <c r="N462" i="8"/>
  <c r="O462" i="8" s="1"/>
  <c r="L462" i="8"/>
  <c r="M462" i="8" s="1"/>
  <c r="J462" i="8"/>
  <c r="K462" i="8" s="1"/>
  <c r="H462" i="8"/>
  <c r="I462" i="8" s="1"/>
  <c r="F462" i="8"/>
  <c r="G462" i="8" s="1"/>
  <c r="D462" i="8"/>
  <c r="E462" i="8" s="1"/>
  <c r="V461" i="8"/>
  <c r="W461" i="8" s="1"/>
  <c r="T461" i="8"/>
  <c r="U461" i="8" s="1"/>
  <c r="R461" i="8"/>
  <c r="S461" i="8" s="1"/>
  <c r="P461" i="8"/>
  <c r="Q461" i="8" s="1"/>
  <c r="N461" i="8"/>
  <c r="O461" i="8" s="1"/>
  <c r="L461" i="8"/>
  <c r="M461" i="8" s="1"/>
  <c r="J461" i="8"/>
  <c r="K461" i="8" s="1"/>
  <c r="H461" i="8"/>
  <c r="I461" i="8" s="1"/>
  <c r="F461" i="8"/>
  <c r="G461" i="8" s="1"/>
  <c r="D461" i="8"/>
  <c r="E461" i="8" s="1"/>
  <c r="V460" i="8"/>
  <c r="W460" i="8" s="1"/>
  <c r="T460" i="8"/>
  <c r="U460" i="8" s="1"/>
  <c r="R460" i="8"/>
  <c r="S460" i="8" s="1"/>
  <c r="P460" i="8"/>
  <c r="Q460" i="8" s="1"/>
  <c r="N460" i="8"/>
  <c r="O460" i="8" s="1"/>
  <c r="L460" i="8"/>
  <c r="M460" i="8" s="1"/>
  <c r="J460" i="8"/>
  <c r="K460" i="8" s="1"/>
  <c r="H460" i="8"/>
  <c r="I460" i="8" s="1"/>
  <c r="F460" i="8"/>
  <c r="G460" i="8" s="1"/>
  <c r="D460" i="8"/>
  <c r="E460" i="8" s="1"/>
  <c r="V459" i="8"/>
  <c r="W459" i="8" s="1"/>
  <c r="T459" i="8"/>
  <c r="U459" i="8" s="1"/>
  <c r="R459" i="8"/>
  <c r="S459" i="8" s="1"/>
  <c r="P459" i="8"/>
  <c r="Q459" i="8" s="1"/>
  <c r="N459" i="8"/>
  <c r="O459" i="8" s="1"/>
  <c r="L459" i="8"/>
  <c r="M459" i="8" s="1"/>
  <c r="J459" i="8"/>
  <c r="K459" i="8" s="1"/>
  <c r="H459" i="8"/>
  <c r="I459" i="8" s="1"/>
  <c r="F459" i="8"/>
  <c r="G459" i="8" s="1"/>
  <c r="D459" i="8"/>
  <c r="E459" i="8" s="1"/>
  <c r="V458" i="8"/>
  <c r="W458" i="8" s="1"/>
  <c r="T458" i="8"/>
  <c r="U458" i="8" s="1"/>
  <c r="R458" i="8"/>
  <c r="S458" i="8" s="1"/>
  <c r="P458" i="8"/>
  <c r="Q458" i="8" s="1"/>
  <c r="N458" i="8"/>
  <c r="O458" i="8" s="1"/>
  <c r="M458" i="8"/>
  <c r="L458" i="8"/>
  <c r="J458" i="8"/>
  <c r="K458" i="8" s="1"/>
  <c r="H458" i="8"/>
  <c r="I458" i="8" s="1"/>
  <c r="F458" i="8"/>
  <c r="G458" i="8" s="1"/>
  <c r="D458" i="8"/>
  <c r="E458" i="8" s="1"/>
  <c r="V457" i="8"/>
  <c r="W457" i="8" s="1"/>
  <c r="T457" i="8"/>
  <c r="U457" i="8" s="1"/>
  <c r="R457" i="8"/>
  <c r="S457" i="8" s="1"/>
  <c r="P457" i="8"/>
  <c r="Q457" i="8" s="1"/>
  <c r="N457" i="8"/>
  <c r="O457" i="8" s="1"/>
  <c r="L457" i="8"/>
  <c r="M457" i="8" s="1"/>
  <c r="J457" i="8"/>
  <c r="K457" i="8" s="1"/>
  <c r="H457" i="8"/>
  <c r="I457" i="8" s="1"/>
  <c r="F457" i="8"/>
  <c r="G457" i="8" s="1"/>
  <c r="D457" i="8"/>
  <c r="E457" i="8" s="1"/>
  <c r="V456" i="8"/>
  <c r="W456" i="8" s="1"/>
  <c r="T456" i="8"/>
  <c r="U456" i="8" s="1"/>
  <c r="R456" i="8"/>
  <c r="S456" i="8" s="1"/>
  <c r="P456" i="8"/>
  <c r="Q456" i="8" s="1"/>
  <c r="N456" i="8"/>
  <c r="O456" i="8" s="1"/>
  <c r="L456" i="8"/>
  <c r="M456" i="8" s="1"/>
  <c r="J456" i="8"/>
  <c r="K456" i="8" s="1"/>
  <c r="H456" i="8"/>
  <c r="I456" i="8" s="1"/>
  <c r="F456" i="8"/>
  <c r="G456" i="8" s="1"/>
  <c r="D456" i="8"/>
  <c r="E456" i="8" s="1"/>
  <c r="V455" i="8"/>
  <c r="W455" i="8" s="1"/>
  <c r="T455" i="8"/>
  <c r="U455" i="8" s="1"/>
  <c r="R455" i="8"/>
  <c r="S455" i="8" s="1"/>
  <c r="P455" i="8"/>
  <c r="Q455" i="8" s="1"/>
  <c r="N455" i="8"/>
  <c r="O455" i="8" s="1"/>
  <c r="L455" i="8"/>
  <c r="M455" i="8" s="1"/>
  <c r="J455" i="8"/>
  <c r="K455" i="8" s="1"/>
  <c r="H455" i="8"/>
  <c r="I455" i="8" s="1"/>
  <c r="F455" i="8"/>
  <c r="G455" i="8" s="1"/>
  <c r="D455" i="8"/>
  <c r="E455" i="8" s="1"/>
  <c r="V454" i="8"/>
  <c r="W454" i="8" s="1"/>
  <c r="T454" i="8"/>
  <c r="U454" i="8" s="1"/>
  <c r="R454" i="8"/>
  <c r="S454" i="8" s="1"/>
  <c r="P454" i="8"/>
  <c r="Q454" i="8" s="1"/>
  <c r="N454" i="8"/>
  <c r="O454" i="8" s="1"/>
  <c r="L454" i="8"/>
  <c r="M454" i="8" s="1"/>
  <c r="J454" i="8"/>
  <c r="K454" i="8" s="1"/>
  <c r="H454" i="8"/>
  <c r="I454" i="8" s="1"/>
  <c r="F454" i="8"/>
  <c r="G454" i="8" s="1"/>
  <c r="D454" i="8"/>
  <c r="E454" i="8" s="1"/>
  <c r="V453" i="8"/>
  <c r="W453" i="8" s="1"/>
  <c r="T453" i="8"/>
  <c r="U453" i="8" s="1"/>
  <c r="R453" i="8"/>
  <c r="S453" i="8" s="1"/>
  <c r="P453" i="8"/>
  <c r="Q453" i="8" s="1"/>
  <c r="N453" i="8"/>
  <c r="O453" i="8" s="1"/>
  <c r="L453" i="8"/>
  <c r="M453" i="8" s="1"/>
  <c r="J453" i="8"/>
  <c r="K453" i="8" s="1"/>
  <c r="H453" i="8"/>
  <c r="I453" i="8" s="1"/>
  <c r="F453" i="8"/>
  <c r="G453" i="8" s="1"/>
  <c r="D453" i="8"/>
  <c r="E453" i="8" s="1"/>
  <c r="V452" i="8"/>
  <c r="W452" i="8" s="1"/>
  <c r="T452" i="8"/>
  <c r="U452" i="8" s="1"/>
  <c r="R452" i="8"/>
  <c r="S452" i="8" s="1"/>
  <c r="P452" i="8"/>
  <c r="Q452" i="8" s="1"/>
  <c r="N452" i="8"/>
  <c r="O452" i="8" s="1"/>
  <c r="M452" i="8"/>
  <c r="L452" i="8"/>
  <c r="J452" i="8"/>
  <c r="K452" i="8" s="1"/>
  <c r="H452" i="8"/>
  <c r="I452" i="8" s="1"/>
  <c r="F452" i="8"/>
  <c r="G452" i="8" s="1"/>
  <c r="D452" i="8"/>
  <c r="E452" i="8" s="1"/>
  <c r="V451" i="8"/>
  <c r="W451" i="8" s="1"/>
  <c r="T451" i="8"/>
  <c r="U451" i="8" s="1"/>
  <c r="S451" i="8"/>
  <c r="R451" i="8"/>
  <c r="P451" i="8"/>
  <c r="Q451" i="8" s="1"/>
  <c r="N451" i="8"/>
  <c r="O451" i="8" s="1"/>
  <c r="L451" i="8"/>
  <c r="M451" i="8" s="1"/>
  <c r="J451" i="8"/>
  <c r="K451" i="8" s="1"/>
  <c r="H451" i="8"/>
  <c r="I451" i="8" s="1"/>
  <c r="F451" i="8"/>
  <c r="G451" i="8" s="1"/>
  <c r="D451" i="8"/>
  <c r="E451" i="8" s="1"/>
  <c r="V450" i="8"/>
  <c r="W450" i="8" s="1"/>
  <c r="T450" i="8"/>
  <c r="U450" i="8" s="1"/>
  <c r="R450" i="8"/>
  <c r="S450" i="8" s="1"/>
  <c r="P450" i="8"/>
  <c r="Q450" i="8" s="1"/>
  <c r="N450" i="8"/>
  <c r="O450" i="8" s="1"/>
  <c r="L450" i="8"/>
  <c r="M450" i="8" s="1"/>
  <c r="J450" i="8"/>
  <c r="K450" i="8" s="1"/>
  <c r="H450" i="8"/>
  <c r="I450" i="8" s="1"/>
  <c r="F450" i="8"/>
  <c r="G450" i="8" s="1"/>
  <c r="D450" i="8"/>
  <c r="E450" i="8" s="1"/>
  <c r="V449" i="8"/>
  <c r="W449" i="8" s="1"/>
  <c r="T449" i="8"/>
  <c r="U449" i="8" s="1"/>
  <c r="R449" i="8"/>
  <c r="S449" i="8" s="1"/>
  <c r="P449" i="8"/>
  <c r="Q449" i="8" s="1"/>
  <c r="N449" i="8"/>
  <c r="O449" i="8" s="1"/>
  <c r="L449" i="8"/>
  <c r="M449" i="8" s="1"/>
  <c r="J449" i="8"/>
  <c r="K449" i="8" s="1"/>
  <c r="H449" i="8"/>
  <c r="I449" i="8" s="1"/>
  <c r="F449" i="8"/>
  <c r="G449" i="8" s="1"/>
  <c r="D449" i="8"/>
  <c r="E449" i="8" s="1"/>
  <c r="V448" i="8"/>
  <c r="W448" i="8" s="1"/>
  <c r="T448" i="8"/>
  <c r="U448" i="8" s="1"/>
  <c r="R448" i="8"/>
  <c r="S448" i="8" s="1"/>
  <c r="P448" i="8"/>
  <c r="Q448" i="8" s="1"/>
  <c r="N448" i="8"/>
  <c r="O448" i="8" s="1"/>
  <c r="L448" i="8"/>
  <c r="M448" i="8" s="1"/>
  <c r="J448" i="8"/>
  <c r="K448" i="8" s="1"/>
  <c r="H448" i="8"/>
  <c r="I448" i="8" s="1"/>
  <c r="F448" i="8"/>
  <c r="G448" i="8" s="1"/>
  <c r="D448" i="8"/>
  <c r="E448" i="8" s="1"/>
  <c r="V447" i="8"/>
  <c r="W447" i="8" s="1"/>
  <c r="T447" i="8"/>
  <c r="U447" i="8" s="1"/>
  <c r="R447" i="8"/>
  <c r="S447" i="8" s="1"/>
  <c r="P447" i="8"/>
  <c r="Q447" i="8" s="1"/>
  <c r="N447" i="8"/>
  <c r="O447" i="8" s="1"/>
  <c r="L447" i="8"/>
  <c r="M447" i="8" s="1"/>
  <c r="J447" i="8"/>
  <c r="K447" i="8" s="1"/>
  <c r="H447" i="8"/>
  <c r="I447" i="8" s="1"/>
  <c r="F447" i="8"/>
  <c r="G447" i="8" s="1"/>
  <c r="D447" i="8"/>
  <c r="E447" i="8" s="1"/>
  <c r="V446" i="8"/>
  <c r="W446" i="8" s="1"/>
  <c r="T446" i="8"/>
  <c r="U446" i="8" s="1"/>
  <c r="R446" i="8"/>
  <c r="S446" i="8" s="1"/>
  <c r="P446" i="8"/>
  <c r="Q446" i="8" s="1"/>
  <c r="N446" i="8"/>
  <c r="O446" i="8" s="1"/>
  <c r="L446" i="8"/>
  <c r="M446" i="8" s="1"/>
  <c r="J446" i="8"/>
  <c r="K446" i="8" s="1"/>
  <c r="H446" i="8"/>
  <c r="I446" i="8" s="1"/>
  <c r="F446" i="8"/>
  <c r="G446" i="8" s="1"/>
  <c r="D446" i="8"/>
  <c r="E446" i="8" s="1"/>
  <c r="V445" i="8"/>
  <c r="W445" i="8" s="1"/>
  <c r="T445" i="8"/>
  <c r="U445" i="8" s="1"/>
  <c r="R445" i="8"/>
  <c r="S445" i="8" s="1"/>
  <c r="P445" i="8"/>
  <c r="Q445" i="8" s="1"/>
  <c r="N445" i="8"/>
  <c r="O445" i="8" s="1"/>
  <c r="L445" i="8"/>
  <c r="M445" i="8" s="1"/>
  <c r="J445" i="8"/>
  <c r="K445" i="8" s="1"/>
  <c r="H445" i="8"/>
  <c r="I445" i="8" s="1"/>
  <c r="G445" i="8"/>
  <c r="F445" i="8"/>
  <c r="D445" i="8"/>
  <c r="E445" i="8" s="1"/>
  <c r="V444" i="8"/>
  <c r="W444" i="8" s="1"/>
  <c r="T444" i="8"/>
  <c r="U444" i="8" s="1"/>
  <c r="R444" i="8"/>
  <c r="S444" i="8" s="1"/>
  <c r="P444" i="8"/>
  <c r="Q444" i="8" s="1"/>
  <c r="N444" i="8"/>
  <c r="O444" i="8" s="1"/>
  <c r="L444" i="8"/>
  <c r="M444" i="8" s="1"/>
  <c r="J444" i="8"/>
  <c r="K444" i="8" s="1"/>
  <c r="H444" i="8"/>
  <c r="I444" i="8" s="1"/>
  <c r="F444" i="8"/>
  <c r="G444" i="8" s="1"/>
  <c r="D444" i="8"/>
  <c r="E444" i="8" s="1"/>
  <c r="V443" i="8"/>
  <c r="W443" i="8" s="1"/>
  <c r="T443" i="8"/>
  <c r="U443" i="8" s="1"/>
  <c r="S443" i="8"/>
  <c r="R443" i="8"/>
  <c r="P443" i="8"/>
  <c r="Q443" i="8" s="1"/>
  <c r="N443" i="8"/>
  <c r="O443" i="8" s="1"/>
  <c r="L443" i="8"/>
  <c r="M443" i="8" s="1"/>
  <c r="J443" i="8"/>
  <c r="K443" i="8" s="1"/>
  <c r="H443" i="8"/>
  <c r="I443" i="8" s="1"/>
  <c r="F443" i="8"/>
  <c r="G443" i="8" s="1"/>
  <c r="D443" i="8"/>
  <c r="E443" i="8" s="1"/>
  <c r="V442" i="8"/>
  <c r="W442" i="8" s="1"/>
  <c r="T442" i="8"/>
  <c r="U442" i="8" s="1"/>
  <c r="R442" i="8"/>
  <c r="S442" i="8" s="1"/>
  <c r="P442" i="8"/>
  <c r="Q442" i="8" s="1"/>
  <c r="N442" i="8"/>
  <c r="O442" i="8" s="1"/>
  <c r="L442" i="8"/>
  <c r="M442" i="8" s="1"/>
  <c r="J442" i="8"/>
  <c r="K442" i="8" s="1"/>
  <c r="H442" i="8"/>
  <c r="I442" i="8" s="1"/>
  <c r="F442" i="8"/>
  <c r="G442" i="8" s="1"/>
  <c r="D442" i="8"/>
  <c r="E442" i="8" s="1"/>
  <c r="V441" i="8"/>
  <c r="W441" i="8" s="1"/>
  <c r="T441" i="8"/>
  <c r="U441" i="8" s="1"/>
  <c r="R441" i="8"/>
  <c r="S441" i="8" s="1"/>
  <c r="P441" i="8"/>
  <c r="Q441" i="8" s="1"/>
  <c r="N441" i="8"/>
  <c r="O441" i="8" s="1"/>
  <c r="L441" i="8"/>
  <c r="M441" i="8" s="1"/>
  <c r="J441" i="8"/>
  <c r="K441" i="8" s="1"/>
  <c r="H441" i="8"/>
  <c r="I441" i="8" s="1"/>
  <c r="F441" i="8"/>
  <c r="G441" i="8" s="1"/>
  <c r="D441" i="8"/>
  <c r="E441" i="8" s="1"/>
  <c r="V440" i="8"/>
  <c r="W440" i="8" s="1"/>
  <c r="T440" i="8"/>
  <c r="U440" i="8" s="1"/>
  <c r="R440" i="8"/>
  <c r="S440" i="8" s="1"/>
  <c r="P440" i="8"/>
  <c r="Q440" i="8" s="1"/>
  <c r="N440" i="8"/>
  <c r="O440" i="8" s="1"/>
  <c r="L440" i="8"/>
  <c r="M440" i="8" s="1"/>
  <c r="J440" i="8"/>
  <c r="K440" i="8" s="1"/>
  <c r="I440" i="8"/>
  <c r="F440" i="8"/>
  <c r="G440" i="8" s="1"/>
  <c r="D440" i="8"/>
  <c r="E440" i="8" s="1"/>
  <c r="V439" i="8"/>
  <c r="W439" i="8" s="1"/>
  <c r="T439" i="8"/>
  <c r="U439" i="8" s="1"/>
  <c r="R439" i="8"/>
  <c r="S439" i="8" s="1"/>
  <c r="P439" i="8"/>
  <c r="Q439" i="8" s="1"/>
  <c r="N439" i="8"/>
  <c r="O439" i="8" s="1"/>
  <c r="L439" i="8"/>
  <c r="M439" i="8" s="1"/>
  <c r="J439" i="8"/>
  <c r="K439" i="8" s="1"/>
  <c r="H439" i="8"/>
  <c r="I439" i="8" s="1"/>
  <c r="F439" i="8"/>
  <c r="G439" i="8" s="1"/>
  <c r="D439" i="8"/>
  <c r="E439" i="8" s="1"/>
  <c r="V438" i="8"/>
  <c r="W438" i="8" s="1"/>
  <c r="T438" i="8"/>
  <c r="U438" i="8" s="1"/>
  <c r="R438" i="8"/>
  <c r="S438" i="8" s="1"/>
  <c r="P438" i="8"/>
  <c r="Q438" i="8" s="1"/>
  <c r="N438" i="8"/>
  <c r="O438" i="8" s="1"/>
  <c r="L438" i="8"/>
  <c r="M438" i="8" s="1"/>
  <c r="J438" i="8"/>
  <c r="K438" i="8" s="1"/>
  <c r="H438" i="8"/>
  <c r="I438" i="8" s="1"/>
  <c r="F438" i="8"/>
  <c r="G438" i="8" s="1"/>
  <c r="D438" i="8"/>
  <c r="E438" i="8" s="1"/>
  <c r="V437" i="8"/>
  <c r="W437" i="8" s="1"/>
  <c r="T437" i="8"/>
  <c r="U437" i="8" s="1"/>
  <c r="R437" i="8"/>
  <c r="S437" i="8" s="1"/>
  <c r="P437" i="8"/>
  <c r="Q437" i="8" s="1"/>
  <c r="N437" i="8"/>
  <c r="O437" i="8" s="1"/>
  <c r="L437" i="8"/>
  <c r="M437" i="8" s="1"/>
  <c r="J437" i="8"/>
  <c r="K437" i="8" s="1"/>
  <c r="H437" i="8"/>
  <c r="I437" i="8" s="1"/>
  <c r="F437" i="8"/>
  <c r="G437" i="8" s="1"/>
  <c r="D437" i="8"/>
  <c r="E437" i="8" s="1"/>
  <c r="V436" i="8"/>
  <c r="W436" i="8" s="1"/>
  <c r="T436" i="8"/>
  <c r="U436" i="8" s="1"/>
  <c r="R436" i="8"/>
  <c r="S436" i="8" s="1"/>
  <c r="P436" i="8"/>
  <c r="Q436" i="8" s="1"/>
  <c r="N436" i="8"/>
  <c r="O436" i="8" s="1"/>
  <c r="L436" i="8"/>
  <c r="M436" i="8" s="1"/>
  <c r="K436" i="8"/>
  <c r="J436" i="8"/>
  <c r="H436" i="8"/>
  <c r="I436" i="8" s="1"/>
  <c r="F436" i="8"/>
  <c r="G436" i="8" s="1"/>
  <c r="D436" i="8"/>
  <c r="E436" i="8" s="1"/>
  <c r="W435" i="8"/>
  <c r="V435" i="8"/>
  <c r="T435" i="8"/>
  <c r="U435" i="8" s="1"/>
  <c r="R435" i="8"/>
  <c r="S435" i="8" s="1"/>
  <c r="P435" i="8"/>
  <c r="Q435" i="8" s="1"/>
  <c r="N435" i="8"/>
  <c r="O435" i="8" s="1"/>
  <c r="L435" i="8"/>
  <c r="M435" i="8" s="1"/>
  <c r="J435" i="8"/>
  <c r="K435" i="8" s="1"/>
  <c r="H435" i="8"/>
  <c r="I435" i="8" s="1"/>
  <c r="F435" i="8"/>
  <c r="G435" i="8" s="1"/>
  <c r="D435" i="8"/>
  <c r="E435" i="8" s="1"/>
  <c r="V434" i="8"/>
  <c r="W434" i="8" s="1"/>
  <c r="T434" i="8"/>
  <c r="U434" i="8" s="1"/>
  <c r="R434" i="8"/>
  <c r="S434" i="8" s="1"/>
  <c r="P434" i="8"/>
  <c r="Q434" i="8" s="1"/>
  <c r="N434" i="8"/>
  <c r="O434" i="8" s="1"/>
  <c r="L434" i="8"/>
  <c r="M434" i="8" s="1"/>
  <c r="J434" i="8"/>
  <c r="K434" i="8" s="1"/>
  <c r="H434" i="8"/>
  <c r="I434" i="8" s="1"/>
  <c r="F434" i="8"/>
  <c r="G434" i="8" s="1"/>
  <c r="D434" i="8"/>
  <c r="E434" i="8" s="1"/>
  <c r="V433" i="8"/>
  <c r="W433" i="8" s="1"/>
  <c r="T433" i="8"/>
  <c r="U433" i="8" s="1"/>
  <c r="R433" i="8"/>
  <c r="S433" i="8" s="1"/>
  <c r="P433" i="8"/>
  <c r="Q433" i="8" s="1"/>
  <c r="N433" i="8"/>
  <c r="O433" i="8" s="1"/>
  <c r="L433" i="8"/>
  <c r="M433" i="8" s="1"/>
  <c r="J433" i="8"/>
  <c r="K433" i="8" s="1"/>
  <c r="H433" i="8"/>
  <c r="I433" i="8" s="1"/>
  <c r="F433" i="8"/>
  <c r="G433" i="8" s="1"/>
  <c r="D433" i="8"/>
  <c r="E433" i="8" s="1"/>
  <c r="V432" i="8"/>
  <c r="W432" i="8" s="1"/>
  <c r="T432" i="8"/>
  <c r="U432" i="8" s="1"/>
  <c r="R432" i="8"/>
  <c r="S432" i="8" s="1"/>
  <c r="P432" i="8"/>
  <c r="Q432" i="8" s="1"/>
  <c r="N432" i="8"/>
  <c r="O432" i="8" s="1"/>
  <c r="L432" i="8"/>
  <c r="M432" i="8" s="1"/>
  <c r="J432" i="8"/>
  <c r="K432" i="8" s="1"/>
  <c r="H432" i="8"/>
  <c r="I432" i="8" s="1"/>
  <c r="F432" i="8"/>
  <c r="G432" i="8" s="1"/>
  <c r="D432" i="8"/>
  <c r="E432" i="8" s="1"/>
  <c r="W431" i="8"/>
  <c r="U431" i="8"/>
  <c r="S431" i="8"/>
  <c r="Q431" i="8"/>
  <c r="O431" i="8"/>
  <c r="M431" i="8"/>
  <c r="K431" i="8"/>
  <c r="I431" i="8"/>
  <c r="G431" i="8"/>
  <c r="E431" i="8"/>
  <c r="V418" i="8"/>
  <c r="W418" i="8" s="1"/>
  <c r="T418" i="8"/>
  <c r="U418" i="8" s="1"/>
  <c r="R418" i="8"/>
  <c r="S418" i="8" s="1"/>
  <c r="P418" i="8"/>
  <c r="Q418" i="8" s="1"/>
  <c r="N418" i="8"/>
  <c r="O418" i="8" s="1"/>
  <c r="L418" i="8"/>
  <c r="M418" i="8" s="1"/>
  <c r="J418" i="8"/>
  <c r="K418" i="8" s="1"/>
  <c r="H418" i="8"/>
  <c r="I418" i="8" s="1"/>
  <c r="F418" i="8"/>
  <c r="G418" i="8" s="1"/>
  <c r="D418" i="8"/>
  <c r="E418" i="8" s="1"/>
  <c r="V417" i="8"/>
  <c r="W417" i="8" s="1"/>
  <c r="T417" i="8"/>
  <c r="U417" i="8" s="1"/>
  <c r="R417" i="8"/>
  <c r="S417" i="8" s="1"/>
  <c r="P417" i="8"/>
  <c r="Q417" i="8" s="1"/>
  <c r="N417" i="8"/>
  <c r="O417" i="8" s="1"/>
  <c r="L417" i="8"/>
  <c r="M417" i="8" s="1"/>
  <c r="J417" i="8"/>
  <c r="K417" i="8" s="1"/>
  <c r="H417" i="8"/>
  <c r="I417" i="8" s="1"/>
  <c r="F417" i="8"/>
  <c r="G417" i="8" s="1"/>
  <c r="D417" i="8"/>
  <c r="E417" i="8" s="1"/>
  <c r="V416" i="8"/>
  <c r="W416" i="8" s="1"/>
  <c r="T416" i="8"/>
  <c r="U416" i="8" s="1"/>
  <c r="R416" i="8"/>
  <c r="S416" i="8" s="1"/>
  <c r="P416" i="8"/>
  <c r="Q416" i="8" s="1"/>
  <c r="N416" i="8"/>
  <c r="O416" i="8" s="1"/>
  <c r="L416" i="8"/>
  <c r="M416" i="8" s="1"/>
  <c r="J416" i="8"/>
  <c r="K416" i="8" s="1"/>
  <c r="H416" i="8"/>
  <c r="I416" i="8" s="1"/>
  <c r="F416" i="8"/>
  <c r="G416" i="8" s="1"/>
  <c r="D416" i="8"/>
  <c r="E416" i="8" s="1"/>
  <c r="V415" i="8"/>
  <c r="W415" i="8" s="1"/>
  <c r="T415" i="8"/>
  <c r="U415" i="8" s="1"/>
  <c r="R415" i="8"/>
  <c r="S415" i="8" s="1"/>
  <c r="P415" i="8"/>
  <c r="Q415" i="8" s="1"/>
  <c r="N415" i="8"/>
  <c r="O415" i="8" s="1"/>
  <c r="L415" i="8"/>
  <c r="M415" i="8" s="1"/>
  <c r="J415" i="8"/>
  <c r="K415" i="8" s="1"/>
  <c r="H415" i="8"/>
  <c r="I415" i="8" s="1"/>
  <c r="F415" i="8"/>
  <c r="G415" i="8" s="1"/>
  <c r="D415" i="8"/>
  <c r="E415" i="8" s="1"/>
  <c r="V414" i="8"/>
  <c r="W414" i="8" s="1"/>
  <c r="T414" i="8"/>
  <c r="U414" i="8" s="1"/>
  <c r="R414" i="8"/>
  <c r="S414" i="8" s="1"/>
  <c r="P414" i="8"/>
  <c r="Q414" i="8" s="1"/>
  <c r="N414" i="8"/>
  <c r="O414" i="8" s="1"/>
  <c r="L414" i="8"/>
  <c r="M414" i="8" s="1"/>
  <c r="J414" i="8"/>
  <c r="K414" i="8" s="1"/>
  <c r="H414" i="8"/>
  <c r="I414" i="8" s="1"/>
  <c r="F414" i="8"/>
  <c r="G414" i="8" s="1"/>
  <c r="D414" i="8"/>
  <c r="E414" i="8" s="1"/>
  <c r="V413" i="8"/>
  <c r="W413" i="8" s="1"/>
  <c r="T413" i="8"/>
  <c r="U413" i="8" s="1"/>
  <c r="R413" i="8"/>
  <c r="S413" i="8" s="1"/>
  <c r="P413" i="8"/>
  <c r="Q413" i="8" s="1"/>
  <c r="N413" i="8"/>
  <c r="O413" i="8" s="1"/>
  <c r="L413" i="8"/>
  <c r="M413" i="8" s="1"/>
  <c r="J413" i="8"/>
  <c r="K413" i="8" s="1"/>
  <c r="H413" i="8"/>
  <c r="I413" i="8" s="1"/>
  <c r="F413" i="8"/>
  <c r="G413" i="8" s="1"/>
  <c r="D413" i="8"/>
  <c r="E413" i="8" s="1"/>
  <c r="V412" i="8"/>
  <c r="W412" i="8" s="1"/>
  <c r="T412" i="8"/>
  <c r="U412" i="8" s="1"/>
  <c r="R412" i="8"/>
  <c r="S412" i="8" s="1"/>
  <c r="P412" i="8"/>
  <c r="Q412" i="8" s="1"/>
  <c r="N412" i="8"/>
  <c r="O412" i="8" s="1"/>
  <c r="L412" i="8"/>
  <c r="M412" i="8" s="1"/>
  <c r="J412" i="8"/>
  <c r="K412" i="8" s="1"/>
  <c r="H412" i="8"/>
  <c r="I412" i="8" s="1"/>
  <c r="F412" i="8"/>
  <c r="G412" i="8" s="1"/>
  <c r="D412" i="8"/>
  <c r="E412" i="8" s="1"/>
  <c r="V411" i="8"/>
  <c r="W411" i="8" s="1"/>
  <c r="U411" i="8"/>
  <c r="T411" i="8"/>
  <c r="R411" i="8"/>
  <c r="S411" i="8" s="1"/>
  <c r="P411" i="8"/>
  <c r="Q411" i="8" s="1"/>
  <c r="N411" i="8"/>
  <c r="O411" i="8" s="1"/>
  <c r="L411" i="8"/>
  <c r="M411" i="8" s="1"/>
  <c r="J411" i="8"/>
  <c r="K411" i="8" s="1"/>
  <c r="H411" i="8"/>
  <c r="I411" i="8" s="1"/>
  <c r="F411" i="8"/>
  <c r="G411" i="8" s="1"/>
  <c r="D411" i="8"/>
  <c r="E411" i="8" s="1"/>
  <c r="V410" i="8"/>
  <c r="W410" i="8" s="1"/>
  <c r="T410" i="8"/>
  <c r="U410" i="8" s="1"/>
  <c r="R410" i="8"/>
  <c r="S410" i="8" s="1"/>
  <c r="P410" i="8"/>
  <c r="Q410" i="8" s="1"/>
  <c r="N410" i="8"/>
  <c r="O410" i="8" s="1"/>
  <c r="L410" i="8"/>
  <c r="M410" i="8" s="1"/>
  <c r="J410" i="8"/>
  <c r="K410" i="8" s="1"/>
  <c r="H410" i="8"/>
  <c r="I410" i="8" s="1"/>
  <c r="F410" i="8"/>
  <c r="G410" i="8" s="1"/>
  <c r="D410" i="8"/>
  <c r="E410" i="8" s="1"/>
  <c r="V409" i="8"/>
  <c r="W409" i="8" s="1"/>
  <c r="T409" i="8"/>
  <c r="U409" i="8" s="1"/>
  <c r="R409" i="8"/>
  <c r="S409" i="8" s="1"/>
  <c r="P409" i="8"/>
  <c r="Q409" i="8" s="1"/>
  <c r="N409" i="8"/>
  <c r="O409" i="8" s="1"/>
  <c r="L409" i="8"/>
  <c r="M409" i="8" s="1"/>
  <c r="J409" i="8"/>
  <c r="K409" i="8" s="1"/>
  <c r="H409" i="8"/>
  <c r="I409" i="8" s="1"/>
  <c r="F409" i="8"/>
  <c r="G409" i="8" s="1"/>
  <c r="D409" i="8"/>
  <c r="E409" i="8" s="1"/>
  <c r="V408" i="8"/>
  <c r="W408" i="8" s="1"/>
  <c r="T408" i="8"/>
  <c r="U408" i="8" s="1"/>
  <c r="R408" i="8"/>
  <c r="S408" i="8" s="1"/>
  <c r="P408" i="8"/>
  <c r="Q408" i="8" s="1"/>
  <c r="N408" i="8"/>
  <c r="O408" i="8" s="1"/>
  <c r="L408" i="8"/>
  <c r="M408" i="8" s="1"/>
  <c r="J408" i="8"/>
  <c r="K408" i="8" s="1"/>
  <c r="H408" i="8"/>
  <c r="I408" i="8" s="1"/>
  <c r="F408" i="8"/>
  <c r="G408" i="8" s="1"/>
  <c r="D408" i="8"/>
  <c r="E408" i="8" s="1"/>
  <c r="V407" i="8"/>
  <c r="W407" i="8" s="1"/>
  <c r="T407" i="8"/>
  <c r="U407" i="8" s="1"/>
  <c r="R407" i="8"/>
  <c r="S407" i="8" s="1"/>
  <c r="P407" i="8"/>
  <c r="Q407" i="8" s="1"/>
  <c r="N407" i="8"/>
  <c r="O407" i="8" s="1"/>
  <c r="L407" i="8"/>
  <c r="M407" i="8" s="1"/>
  <c r="J407" i="8"/>
  <c r="K407" i="8" s="1"/>
  <c r="H407" i="8"/>
  <c r="I407" i="8" s="1"/>
  <c r="F407" i="8"/>
  <c r="G407" i="8" s="1"/>
  <c r="E407" i="8"/>
  <c r="D407" i="8"/>
  <c r="V406" i="8"/>
  <c r="W406" i="8" s="1"/>
  <c r="T406" i="8"/>
  <c r="U406" i="8" s="1"/>
  <c r="R406" i="8"/>
  <c r="S406" i="8" s="1"/>
  <c r="P406" i="8"/>
  <c r="Q406" i="8" s="1"/>
  <c r="N406" i="8"/>
  <c r="O406" i="8" s="1"/>
  <c r="L406" i="8"/>
  <c r="M406" i="8" s="1"/>
  <c r="J406" i="8"/>
  <c r="K406" i="8" s="1"/>
  <c r="H406" i="8"/>
  <c r="I406" i="8" s="1"/>
  <c r="F406" i="8"/>
  <c r="G406" i="8" s="1"/>
  <c r="D406" i="8"/>
  <c r="E406" i="8" s="1"/>
  <c r="V405" i="8"/>
  <c r="W405" i="8" s="1"/>
  <c r="T405" i="8"/>
  <c r="U405" i="8" s="1"/>
  <c r="R405" i="8"/>
  <c r="S405" i="8" s="1"/>
  <c r="P405" i="8"/>
  <c r="Q405" i="8" s="1"/>
  <c r="N405" i="8"/>
  <c r="O405" i="8" s="1"/>
  <c r="L405" i="8"/>
  <c r="M405" i="8" s="1"/>
  <c r="J405" i="8"/>
  <c r="K405" i="8" s="1"/>
  <c r="H405" i="8"/>
  <c r="I405" i="8" s="1"/>
  <c r="F405" i="8"/>
  <c r="G405" i="8" s="1"/>
  <c r="D405" i="8"/>
  <c r="E405" i="8" s="1"/>
  <c r="V404" i="8"/>
  <c r="W404" i="8" s="1"/>
  <c r="T404" i="8"/>
  <c r="U404" i="8" s="1"/>
  <c r="R404" i="8"/>
  <c r="S404" i="8" s="1"/>
  <c r="P404" i="8"/>
  <c r="Q404" i="8" s="1"/>
  <c r="N404" i="8"/>
  <c r="O404" i="8" s="1"/>
  <c r="L404" i="8"/>
  <c r="M404" i="8" s="1"/>
  <c r="J404" i="8"/>
  <c r="K404" i="8" s="1"/>
  <c r="H404" i="8"/>
  <c r="I404" i="8" s="1"/>
  <c r="F404" i="8"/>
  <c r="G404" i="8" s="1"/>
  <c r="D404" i="8"/>
  <c r="E404" i="8" s="1"/>
  <c r="W403" i="8"/>
  <c r="V403" i="8"/>
  <c r="T403" i="8"/>
  <c r="U403" i="8" s="1"/>
  <c r="R403" i="8"/>
  <c r="S403" i="8" s="1"/>
  <c r="P403" i="8"/>
  <c r="Q403" i="8" s="1"/>
  <c r="N403" i="8"/>
  <c r="O403" i="8" s="1"/>
  <c r="L403" i="8"/>
  <c r="M403" i="8" s="1"/>
  <c r="J403" i="8"/>
  <c r="K403" i="8" s="1"/>
  <c r="H403" i="8"/>
  <c r="I403" i="8" s="1"/>
  <c r="F403" i="8"/>
  <c r="G403" i="8" s="1"/>
  <c r="D403" i="8"/>
  <c r="E403" i="8" s="1"/>
  <c r="W402" i="8"/>
  <c r="V402" i="8"/>
  <c r="T402" i="8"/>
  <c r="U402" i="8" s="1"/>
  <c r="R402" i="8"/>
  <c r="S402" i="8" s="1"/>
  <c r="P402" i="8"/>
  <c r="Q402" i="8" s="1"/>
  <c r="N402" i="8"/>
  <c r="O402" i="8" s="1"/>
  <c r="L402" i="8"/>
  <c r="M402" i="8" s="1"/>
  <c r="J402" i="8"/>
  <c r="K402" i="8" s="1"/>
  <c r="H402" i="8"/>
  <c r="I402" i="8" s="1"/>
  <c r="F402" i="8"/>
  <c r="G402" i="8" s="1"/>
  <c r="D402" i="8"/>
  <c r="E402" i="8" s="1"/>
  <c r="V401" i="8"/>
  <c r="W401" i="8" s="1"/>
  <c r="T401" i="8"/>
  <c r="U401" i="8" s="1"/>
  <c r="R401" i="8"/>
  <c r="S401" i="8" s="1"/>
  <c r="P401" i="8"/>
  <c r="Q401" i="8" s="1"/>
  <c r="N401" i="8"/>
  <c r="O401" i="8" s="1"/>
  <c r="L401" i="8"/>
  <c r="M401" i="8" s="1"/>
  <c r="J401" i="8"/>
  <c r="K401" i="8" s="1"/>
  <c r="H401" i="8"/>
  <c r="I401" i="8" s="1"/>
  <c r="F401" i="8"/>
  <c r="G401" i="8" s="1"/>
  <c r="D401" i="8"/>
  <c r="E401" i="8" s="1"/>
  <c r="V400" i="8"/>
  <c r="W400" i="8" s="1"/>
  <c r="T400" i="8"/>
  <c r="U400" i="8" s="1"/>
  <c r="R400" i="8"/>
  <c r="S400" i="8" s="1"/>
  <c r="P400" i="8"/>
  <c r="Q400" i="8" s="1"/>
  <c r="N400" i="8"/>
  <c r="O400" i="8" s="1"/>
  <c r="L400" i="8"/>
  <c r="M400" i="8" s="1"/>
  <c r="J400" i="8"/>
  <c r="K400" i="8" s="1"/>
  <c r="H400" i="8"/>
  <c r="I400" i="8" s="1"/>
  <c r="F400" i="8"/>
  <c r="G400" i="8" s="1"/>
  <c r="D400" i="8"/>
  <c r="E400" i="8" s="1"/>
  <c r="V399" i="8"/>
  <c r="W399" i="8" s="1"/>
  <c r="T399" i="8"/>
  <c r="U399" i="8" s="1"/>
  <c r="R399" i="8"/>
  <c r="S399" i="8" s="1"/>
  <c r="P399" i="8"/>
  <c r="Q399" i="8" s="1"/>
  <c r="N399" i="8"/>
  <c r="O399" i="8" s="1"/>
  <c r="L399" i="8"/>
  <c r="M399" i="8" s="1"/>
  <c r="J399" i="8"/>
  <c r="K399" i="8" s="1"/>
  <c r="H399" i="8"/>
  <c r="I399" i="8" s="1"/>
  <c r="F399" i="8"/>
  <c r="G399" i="8" s="1"/>
  <c r="D399" i="8"/>
  <c r="E399" i="8" s="1"/>
  <c r="V398" i="8"/>
  <c r="W398" i="8" s="1"/>
  <c r="T398" i="8"/>
  <c r="U398" i="8" s="1"/>
  <c r="R398" i="8"/>
  <c r="S398" i="8" s="1"/>
  <c r="P398" i="8"/>
  <c r="Q398" i="8" s="1"/>
  <c r="N398" i="8"/>
  <c r="O398" i="8" s="1"/>
  <c r="L398" i="8"/>
  <c r="M398" i="8" s="1"/>
  <c r="J398" i="8"/>
  <c r="K398" i="8" s="1"/>
  <c r="H398" i="8"/>
  <c r="I398" i="8" s="1"/>
  <c r="F398" i="8"/>
  <c r="G398" i="8" s="1"/>
  <c r="D398" i="8"/>
  <c r="E398" i="8" s="1"/>
  <c r="V397" i="8"/>
  <c r="W397" i="8" s="1"/>
  <c r="T397" i="8"/>
  <c r="U397" i="8" s="1"/>
  <c r="R397" i="8"/>
  <c r="S397" i="8" s="1"/>
  <c r="P397" i="8"/>
  <c r="Q397" i="8" s="1"/>
  <c r="N397" i="8"/>
  <c r="O397" i="8" s="1"/>
  <c r="L397" i="8"/>
  <c r="M397" i="8" s="1"/>
  <c r="J397" i="8"/>
  <c r="K397" i="8" s="1"/>
  <c r="H397" i="8"/>
  <c r="I397" i="8" s="1"/>
  <c r="F397" i="8"/>
  <c r="G397" i="8" s="1"/>
  <c r="D397" i="8"/>
  <c r="E397" i="8" s="1"/>
  <c r="W396" i="8"/>
  <c r="V396" i="8"/>
  <c r="T396" i="8"/>
  <c r="U396" i="8" s="1"/>
  <c r="R396" i="8"/>
  <c r="S396" i="8" s="1"/>
  <c r="P396" i="8"/>
  <c r="Q396" i="8" s="1"/>
  <c r="N396" i="8"/>
  <c r="O396" i="8" s="1"/>
  <c r="L396" i="8"/>
  <c r="M396" i="8" s="1"/>
  <c r="J396" i="8"/>
  <c r="K396" i="8" s="1"/>
  <c r="H396" i="8"/>
  <c r="I396" i="8" s="1"/>
  <c r="F396" i="8"/>
  <c r="G396" i="8" s="1"/>
  <c r="D396" i="8"/>
  <c r="E396" i="8" s="1"/>
  <c r="V395" i="8"/>
  <c r="W395" i="8" s="1"/>
  <c r="T395" i="8"/>
  <c r="U395" i="8" s="1"/>
  <c r="R395" i="8"/>
  <c r="S395" i="8" s="1"/>
  <c r="P395" i="8"/>
  <c r="Q395" i="8" s="1"/>
  <c r="N395" i="8"/>
  <c r="O395" i="8" s="1"/>
  <c r="L395" i="8"/>
  <c r="M395" i="8" s="1"/>
  <c r="J395" i="8"/>
  <c r="K395" i="8" s="1"/>
  <c r="H395" i="8"/>
  <c r="I395" i="8" s="1"/>
  <c r="F395" i="8"/>
  <c r="G395" i="8" s="1"/>
  <c r="D395" i="8"/>
  <c r="E395" i="8" s="1"/>
  <c r="V394" i="8"/>
  <c r="W394" i="8" s="1"/>
  <c r="T394" i="8"/>
  <c r="U394" i="8" s="1"/>
  <c r="R394" i="8"/>
  <c r="S394" i="8" s="1"/>
  <c r="P394" i="8"/>
  <c r="Q394" i="8" s="1"/>
  <c r="N394" i="8"/>
  <c r="O394" i="8" s="1"/>
  <c r="L394" i="8"/>
  <c r="M394" i="8" s="1"/>
  <c r="J394" i="8"/>
  <c r="K394" i="8" s="1"/>
  <c r="H394" i="8"/>
  <c r="I394" i="8" s="1"/>
  <c r="F394" i="8"/>
  <c r="G394" i="8" s="1"/>
  <c r="D394" i="8"/>
  <c r="E394" i="8" s="1"/>
  <c r="V393" i="8"/>
  <c r="W393" i="8" s="1"/>
  <c r="T393" i="8"/>
  <c r="U393" i="8" s="1"/>
  <c r="R393" i="8"/>
  <c r="S393" i="8" s="1"/>
  <c r="P393" i="8"/>
  <c r="Q393" i="8" s="1"/>
  <c r="N393" i="8"/>
  <c r="O393" i="8" s="1"/>
  <c r="L393" i="8"/>
  <c r="M393" i="8" s="1"/>
  <c r="J393" i="8"/>
  <c r="K393" i="8" s="1"/>
  <c r="H393" i="8"/>
  <c r="I393" i="8" s="1"/>
  <c r="F393" i="8"/>
  <c r="G393" i="8" s="1"/>
  <c r="D393" i="8"/>
  <c r="E393" i="8" s="1"/>
  <c r="V392" i="8"/>
  <c r="W392" i="8" s="1"/>
  <c r="T392" i="8"/>
  <c r="U392" i="8" s="1"/>
  <c r="R392" i="8"/>
  <c r="S392" i="8" s="1"/>
  <c r="P392" i="8"/>
  <c r="Q392" i="8" s="1"/>
  <c r="N392" i="8"/>
  <c r="O392" i="8" s="1"/>
  <c r="L392" i="8"/>
  <c r="M392" i="8" s="1"/>
  <c r="J392" i="8"/>
  <c r="K392" i="8" s="1"/>
  <c r="H392" i="8"/>
  <c r="I392" i="8" s="1"/>
  <c r="F392" i="8"/>
  <c r="G392" i="8" s="1"/>
  <c r="D392" i="8"/>
  <c r="E392" i="8" s="1"/>
  <c r="V391" i="8"/>
  <c r="W391" i="8" s="1"/>
  <c r="T391" i="8"/>
  <c r="U391" i="8" s="1"/>
  <c r="R391" i="8"/>
  <c r="S391" i="8" s="1"/>
  <c r="P391" i="8"/>
  <c r="Q391" i="8" s="1"/>
  <c r="N391" i="8"/>
  <c r="O391" i="8" s="1"/>
  <c r="L391" i="8"/>
  <c r="M391" i="8" s="1"/>
  <c r="J391" i="8"/>
  <c r="K391" i="8" s="1"/>
  <c r="H391" i="8"/>
  <c r="I391" i="8" s="1"/>
  <c r="F391" i="8"/>
  <c r="G391" i="8" s="1"/>
  <c r="D391" i="8"/>
  <c r="E391" i="8" s="1"/>
  <c r="V390" i="8"/>
  <c r="W390" i="8" s="1"/>
  <c r="T390" i="8"/>
  <c r="U390" i="8" s="1"/>
  <c r="R390" i="8"/>
  <c r="S390" i="8" s="1"/>
  <c r="P390" i="8"/>
  <c r="Q390" i="8" s="1"/>
  <c r="N390" i="8"/>
  <c r="O390" i="8" s="1"/>
  <c r="L390" i="8"/>
  <c r="M390" i="8" s="1"/>
  <c r="J390" i="8"/>
  <c r="K390" i="8" s="1"/>
  <c r="H390" i="8"/>
  <c r="I390" i="8" s="1"/>
  <c r="F390" i="8"/>
  <c r="G390" i="8" s="1"/>
  <c r="D390" i="8"/>
  <c r="E390" i="8" s="1"/>
  <c r="V389" i="8"/>
  <c r="W389" i="8" s="1"/>
  <c r="T389" i="8"/>
  <c r="U389" i="8" s="1"/>
  <c r="R389" i="8"/>
  <c r="S389" i="8" s="1"/>
  <c r="P389" i="8"/>
  <c r="Q389" i="8" s="1"/>
  <c r="N389" i="8"/>
  <c r="O389" i="8" s="1"/>
  <c r="L389" i="8"/>
  <c r="M389" i="8" s="1"/>
  <c r="J389" i="8"/>
  <c r="K389" i="8" s="1"/>
  <c r="H389" i="8"/>
  <c r="I389" i="8" s="1"/>
  <c r="F389" i="8"/>
  <c r="G389" i="8" s="1"/>
  <c r="D389" i="8"/>
  <c r="E389" i="8" s="1"/>
  <c r="V388" i="8"/>
  <c r="W388" i="8" s="1"/>
  <c r="T388" i="8"/>
  <c r="U388" i="8" s="1"/>
  <c r="R388" i="8"/>
  <c r="S388" i="8" s="1"/>
  <c r="P388" i="8"/>
  <c r="Q388" i="8" s="1"/>
  <c r="N388" i="8"/>
  <c r="O388" i="8" s="1"/>
  <c r="L388" i="8"/>
  <c r="M388" i="8" s="1"/>
  <c r="J388" i="8"/>
  <c r="K388" i="8" s="1"/>
  <c r="H388" i="8"/>
  <c r="I388" i="8" s="1"/>
  <c r="F388" i="8"/>
  <c r="G388" i="8" s="1"/>
  <c r="D388" i="8"/>
  <c r="E388" i="8" s="1"/>
  <c r="V387" i="8"/>
  <c r="W387" i="8" s="1"/>
  <c r="T387" i="8"/>
  <c r="U387" i="8" s="1"/>
  <c r="R387" i="8"/>
  <c r="S387" i="8" s="1"/>
  <c r="P387" i="8"/>
  <c r="Q387" i="8" s="1"/>
  <c r="N387" i="8"/>
  <c r="O387" i="8" s="1"/>
  <c r="L387" i="8"/>
  <c r="M387" i="8" s="1"/>
  <c r="J387" i="8"/>
  <c r="K387" i="8" s="1"/>
  <c r="H387" i="8"/>
  <c r="I387" i="8" s="1"/>
  <c r="F387" i="8"/>
  <c r="G387" i="8" s="1"/>
  <c r="D387" i="8"/>
  <c r="E387" i="8" s="1"/>
  <c r="V386" i="8"/>
  <c r="W386" i="8" s="1"/>
  <c r="T386" i="8"/>
  <c r="U386" i="8" s="1"/>
  <c r="R386" i="8"/>
  <c r="S386" i="8" s="1"/>
  <c r="P386" i="8"/>
  <c r="Q386" i="8" s="1"/>
  <c r="N386" i="8"/>
  <c r="O386" i="8" s="1"/>
  <c r="L386" i="8"/>
  <c r="M386" i="8" s="1"/>
  <c r="J386" i="8"/>
  <c r="K386" i="8" s="1"/>
  <c r="H386" i="8"/>
  <c r="I386" i="8" s="1"/>
  <c r="F386" i="8"/>
  <c r="G386" i="8" s="1"/>
  <c r="D386" i="8"/>
  <c r="E386" i="8" s="1"/>
  <c r="V385" i="8"/>
  <c r="W385" i="8" s="1"/>
  <c r="T385" i="8"/>
  <c r="U385" i="8" s="1"/>
  <c r="R385" i="8"/>
  <c r="S385" i="8" s="1"/>
  <c r="P385" i="8"/>
  <c r="Q385" i="8" s="1"/>
  <c r="N385" i="8"/>
  <c r="O385" i="8" s="1"/>
  <c r="L385" i="8"/>
  <c r="M385" i="8" s="1"/>
  <c r="J385" i="8"/>
  <c r="K385" i="8" s="1"/>
  <c r="H385" i="8"/>
  <c r="I385" i="8" s="1"/>
  <c r="F385" i="8"/>
  <c r="G385" i="8" s="1"/>
  <c r="D385" i="8"/>
  <c r="E385" i="8" s="1"/>
  <c r="V384" i="8"/>
  <c r="W384" i="8" s="1"/>
  <c r="T384" i="8"/>
  <c r="U384" i="8" s="1"/>
  <c r="R384" i="8"/>
  <c r="S384" i="8" s="1"/>
  <c r="P384" i="8"/>
  <c r="Q384" i="8" s="1"/>
  <c r="N384" i="8"/>
  <c r="O384" i="8" s="1"/>
  <c r="L384" i="8"/>
  <c r="M384" i="8" s="1"/>
  <c r="J384" i="8"/>
  <c r="K384" i="8" s="1"/>
  <c r="H384" i="8"/>
  <c r="I384" i="8" s="1"/>
  <c r="F384" i="8"/>
  <c r="G384" i="8" s="1"/>
  <c r="D384" i="8"/>
  <c r="E384" i="8" s="1"/>
  <c r="V383" i="8"/>
  <c r="W383" i="8" s="1"/>
  <c r="T383" i="8"/>
  <c r="U383" i="8" s="1"/>
  <c r="R383" i="8"/>
  <c r="S383" i="8" s="1"/>
  <c r="P383" i="8"/>
  <c r="Q383" i="8" s="1"/>
  <c r="N383" i="8"/>
  <c r="O383" i="8" s="1"/>
  <c r="L383" i="8"/>
  <c r="M383" i="8" s="1"/>
  <c r="J383" i="8"/>
  <c r="K383" i="8" s="1"/>
  <c r="H383" i="8"/>
  <c r="I383" i="8" s="1"/>
  <c r="F383" i="8"/>
  <c r="G383" i="8" s="1"/>
  <c r="D383" i="8"/>
  <c r="E383" i="8" s="1"/>
  <c r="V382" i="8"/>
  <c r="W382" i="8" s="1"/>
  <c r="T382" i="8"/>
  <c r="U382" i="8" s="1"/>
  <c r="R382" i="8"/>
  <c r="S382" i="8" s="1"/>
  <c r="P382" i="8"/>
  <c r="Q382" i="8" s="1"/>
  <c r="N382" i="8"/>
  <c r="O382" i="8" s="1"/>
  <c r="L382" i="8"/>
  <c r="M382" i="8" s="1"/>
  <c r="J382" i="8"/>
  <c r="K382" i="8" s="1"/>
  <c r="H382" i="8"/>
  <c r="I382" i="8" s="1"/>
  <c r="F382" i="8"/>
  <c r="G382" i="8" s="1"/>
  <c r="D382" i="8"/>
  <c r="E382" i="8" s="1"/>
  <c r="W381" i="8"/>
  <c r="V381" i="8"/>
  <c r="T381" i="8"/>
  <c r="U381" i="8" s="1"/>
  <c r="R381" i="8"/>
  <c r="S381" i="8" s="1"/>
  <c r="P381" i="8"/>
  <c r="Q381" i="8" s="1"/>
  <c r="N381" i="8"/>
  <c r="O381" i="8" s="1"/>
  <c r="L381" i="8"/>
  <c r="M381" i="8" s="1"/>
  <c r="J381" i="8"/>
  <c r="K381" i="8" s="1"/>
  <c r="H381" i="8"/>
  <c r="I381" i="8" s="1"/>
  <c r="F381" i="8"/>
  <c r="G381" i="8" s="1"/>
  <c r="D381" i="8"/>
  <c r="E381" i="8" s="1"/>
  <c r="V380" i="8"/>
  <c r="W380" i="8" s="1"/>
  <c r="T380" i="8"/>
  <c r="U380" i="8" s="1"/>
  <c r="R380" i="8"/>
  <c r="S380" i="8" s="1"/>
  <c r="P380" i="8"/>
  <c r="Q380" i="8" s="1"/>
  <c r="N380" i="8"/>
  <c r="O380" i="8" s="1"/>
  <c r="L380" i="8"/>
  <c r="M380" i="8" s="1"/>
  <c r="J380" i="8"/>
  <c r="K380" i="8" s="1"/>
  <c r="H380" i="8"/>
  <c r="I380" i="8" s="1"/>
  <c r="F380" i="8"/>
  <c r="G380" i="8" s="1"/>
  <c r="E380" i="8"/>
  <c r="D380" i="8"/>
  <c r="V379" i="8"/>
  <c r="W379" i="8" s="1"/>
  <c r="T379" i="8"/>
  <c r="U379" i="8" s="1"/>
  <c r="R379" i="8"/>
  <c r="S379" i="8" s="1"/>
  <c r="P379" i="8"/>
  <c r="Q379" i="8" s="1"/>
  <c r="N379" i="8"/>
  <c r="O379" i="8" s="1"/>
  <c r="L379" i="8"/>
  <c r="M379" i="8" s="1"/>
  <c r="J379" i="8"/>
  <c r="K379" i="8" s="1"/>
  <c r="H379" i="8"/>
  <c r="I379" i="8" s="1"/>
  <c r="F379" i="8"/>
  <c r="G379" i="8" s="1"/>
  <c r="D379" i="8"/>
  <c r="E379" i="8" s="1"/>
  <c r="W378" i="8"/>
  <c r="V378" i="8"/>
  <c r="T378" i="8"/>
  <c r="U378" i="8" s="1"/>
  <c r="R378" i="8"/>
  <c r="S378" i="8" s="1"/>
  <c r="P378" i="8"/>
  <c r="Q378" i="8" s="1"/>
  <c r="N378" i="8"/>
  <c r="O378" i="8" s="1"/>
  <c r="L378" i="8"/>
  <c r="M378" i="8" s="1"/>
  <c r="J378" i="8"/>
  <c r="K378" i="8" s="1"/>
  <c r="H378" i="8"/>
  <c r="I378" i="8" s="1"/>
  <c r="F378" i="8"/>
  <c r="G378" i="8" s="1"/>
  <c r="D378" i="8"/>
  <c r="E378" i="8" s="1"/>
  <c r="V377" i="8"/>
  <c r="W377" i="8" s="1"/>
  <c r="T377" i="8"/>
  <c r="U377" i="8" s="1"/>
  <c r="R377" i="8"/>
  <c r="S377" i="8" s="1"/>
  <c r="P377" i="8"/>
  <c r="Q377" i="8" s="1"/>
  <c r="N377" i="8"/>
  <c r="O377" i="8" s="1"/>
  <c r="L377" i="8"/>
  <c r="M377" i="8" s="1"/>
  <c r="J377" i="8"/>
  <c r="K377" i="8" s="1"/>
  <c r="H377" i="8"/>
  <c r="I377" i="8" s="1"/>
  <c r="F377" i="8"/>
  <c r="G377" i="8" s="1"/>
  <c r="D377" i="8"/>
  <c r="E377" i="8" s="1"/>
  <c r="V376" i="8"/>
  <c r="W376" i="8" s="1"/>
  <c r="T376" i="8"/>
  <c r="U376" i="8" s="1"/>
  <c r="R376" i="8"/>
  <c r="S376" i="8" s="1"/>
  <c r="P376" i="8"/>
  <c r="Q376" i="8" s="1"/>
  <c r="N376" i="8"/>
  <c r="O376" i="8" s="1"/>
  <c r="L376" i="8"/>
  <c r="M376" i="8" s="1"/>
  <c r="J376" i="8"/>
  <c r="K376" i="8" s="1"/>
  <c r="I376" i="8"/>
  <c r="H376" i="8"/>
  <c r="F376" i="8"/>
  <c r="G376" i="8" s="1"/>
  <c r="D376" i="8"/>
  <c r="E376" i="8" s="1"/>
  <c r="V375" i="8"/>
  <c r="W375" i="8" s="1"/>
  <c r="T375" i="8"/>
  <c r="U375" i="8" s="1"/>
  <c r="R375" i="8"/>
  <c r="S375" i="8" s="1"/>
  <c r="P375" i="8"/>
  <c r="Q375" i="8" s="1"/>
  <c r="N375" i="8"/>
  <c r="O375" i="8" s="1"/>
  <c r="L375" i="8"/>
  <c r="M375" i="8" s="1"/>
  <c r="J375" i="8"/>
  <c r="K375" i="8" s="1"/>
  <c r="H375" i="8"/>
  <c r="I375" i="8" s="1"/>
  <c r="F375" i="8"/>
  <c r="G375" i="8" s="1"/>
  <c r="D375" i="8"/>
  <c r="E375" i="8" s="1"/>
  <c r="V374" i="8"/>
  <c r="W374" i="8" s="1"/>
  <c r="U374" i="8"/>
  <c r="T374" i="8"/>
  <c r="R374" i="8"/>
  <c r="S374" i="8" s="1"/>
  <c r="P374" i="8"/>
  <c r="Q374" i="8" s="1"/>
  <c r="N374" i="8"/>
  <c r="O374" i="8" s="1"/>
  <c r="L374" i="8"/>
  <c r="M374" i="8" s="1"/>
  <c r="J374" i="8"/>
  <c r="K374" i="8" s="1"/>
  <c r="H374" i="8"/>
  <c r="I374" i="8" s="1"/>
  <c r="F374" i="8"/>
  <c r="G374" i="8" s="1"/>
  <c r="D374" i="8"/>
  <c r="E374" i="8" s="1"/>
  <c r="V373" i="8"/>
  <c r="W373" i="8" s="1"/>
  <c r="T373" i="8"/>
  <c r="U373" i="8" s="1"/>
  <c r="R373" i="8"/>
  <c r="S373" i="8" s="1"/>
  <c r="P373" i="8"/>
  <c r="Q373" i="8" s="1"/>
  <c r="N373" i="8"/>
  <c r="O373" i="8" s="1"/>
  <c r="L373" i="8"/>
  <c r="M373" i="8" s="1"/>
  <c r="J373" i="8"/>
  <c r="K373" i="8" s="1"/>
  <c r="H373" i="8"/>
  <c r="I373" i="8" s="1"/>
  <c r="F373" i="8"/>
  <c r="G373" i="8" s="1"/>
  <c r="D373" i="8"/>
  <c r="E373" i="8" s="1"/>
  <c r="W372" i="8"/>
  <c r="V372" i="8"/>
  <c r="T372" i="8"/>
  <c r="U372" i="8" s="1"/>
  <c r="R372" i="8"/>
  <c r="S372" i="8" s="1"/>
  <c r="P372" i="8"/>
  <c r="Q372" i="8" s="1"/>
  <c r="N372" i="8"/>
  <c r="O372" i="8" s="1"/>
  <c r="L372" i="8"/>
  <c r="M372" i="8" s="1"/>
  <c r="J372" i="8"/>
  <c r="K372" i="8" s="1"/>
  <c r="H372" i="8"/>
  <c r="I372" i="8" s="1"/>
  <c r="F372" i="8"/>
  <c r="G372" i="8" s="1"/>
  <c r="D372" i="8"/>
  <c r="E372" i="8" s="1"/>
  <c r="V371" i="8"/>
  <c r="W371" i="8" s="1"/>
  <c r="T371" i="8"/>
  <c r="U371" i="8" s="1"/>
  <c r="R371" i="8"/>
  <c r="S371" i="8" s="1"/>
  <c r="P371" i="8"/>
  <c r="Q371" i="8" s="1"/>
  <c r="N371" i="8"/>
  <c r="O371" i="8" s="1"/>
  <c r="L371" i="8"/>
  <c r="M371" i="8" s="1"/>
  <c r="J371" i="8"/>
  <c r="K371" i="8" s="1"/>
  <c r="H371" i="8"/>
  <c r="I371" i="8" s="1"/>
  <c r="F371" i="8"/>
  <c r="G371" i="8" s="1"/>
  <c r="D371" i="8"/>
  <c r="E371" i="8" s="1"/>
  <c r="V370" i="8"/>
  <c r="W370" i="8" s="1"/>
  <c r="T370" i="8"/>
  <c r="U370" i="8" s="1"/>
  <c r="R370" i="8"/>
  <c r="S370" i="8" s="1"/>
  <c r="P370" i="8"/>
  <c r="Q370" i="8" s="1"/>
  <c r="N370" i="8"/>
  <c r="O370" i="8" s="1"/>
  <c r="L370" i="8"/>
  <c r="M370" i="8" s="1"/>
  <c r="J370" i="8"/>
  <c r="K370" i="8" s="1"/>
  <c r="H370" i="8"/>
  <c r="I370" i="8" s="1"/>
  <c r="F370" i="8"/>
  <c r="G370" i="8" s="1"/>
  <c r="D370" i="8"/>
  <c r="E370" i="8" s="1"/>
  <c r="V369" i="8"/>
  <c r="W369" i="8" s="1"/>
  <c r="T369" i="8"/>
  <c r="U369" i="8" s="1"/>
  <c r="R369" i="8"/>
  <c r="S369" i="8" s="1"/>
  <c r="P369" i="8"/>
  <c r="Q369" i="8" s="1"/>
  <c r="N369" i="8"/>
  <c r="O369" i="8" s="1"/>
  <c r="L369" i="8"/>
  <c r="M369" i="8" s="1"/>
  <c r="J369" i="8"/>
  <c r="K369" i="8" s="1"/>
  <c r="H369" i="8"/>
  <c r="I369" i="8" s="1"/>
  <c r="F369" i="8"/>
  <c r="G369" i="8" s="1"/>
  <c r="D369" i="8"/>
  <c r="E369" i="8" s="1"/>
  <c r="V368" i="8"/>
  <c r="W368" i="8" s="1"/>
  <c r="T368" i="8"/>
  <c r="U368" i="8" s="1"/>
  <c r="R368" i="8"/>
  <c r="S368" i="8" s="1"/>
  <c r="P368" i="8"/>
  <c r="Q368" i="8" s="1"/>
  <c r="N368" i="8"/>
  <c r="O368" i="8" s="1"/>
  <c r="L368" i="8"/>
  <c r="M368" i="8" s="1"/>
  <c r="J368" i="8"/>
  <c r="K368" i="8" s="1"/>
  <c r="H368" i="8"/>
  <c r="I368" i="8" s="1"/>
  <c r="F368" i="8"/>
  <c r="G368" i="8" s="1"/>
  <c r="D368" i="8"/>
  <c r="E368" i="8" s="1"/>
  <c r="V367" i="8"/>
  <c r="W367" i="8" s="1"/>
  <c r="T367" i="8"/>
  <c r="U367" i="8" s="1"/>
  <c r="R367" i="8"/>
  <c r="S367" i="8" s="1"/>
  <c r="P367" i="8"/>
  <c r="Q367" i="8" s="1"/>
  <c r="N367" i="8"/>
  <c r="O367" i="8" s="1"/>
  <c r="L367" i="8"/>
  <c r="M367" i="8" s="1"/>
  <c r="J367" i="8"/>
  <c r="K367" i="8" s="1"/>
  <c r="H367" i="8"/>
  <c r="I367" i="8" s="1"/>
  <c r="F367" i="8"/>
  <c r="G367" i="8" s="1"/>
  <c r="D367" i="8"/>
  <c r="E367" i="8" s="1"/>
  <c r="V366" i="8"/>
  <c r="W366" i="8" s="1"/>
  <c r="T366" i="8"/>
  <c r="U366" i="8" s="1"/>
  <c r="R366" i="8"/>
  <c r="S366" i="8" s="1"/>
  <c r="P366" i="8"/>
  <c r="Q366" i="8" s="1"/>
  <c r="N366" i="8"/>
  <c r="O366" i="8" s="1"/>
  <c r="L366" i="8"/>
  <c r="M366" i="8" s="1"/>
  <c r="J366" i="8"/>
  <c r="K366" i="8" s="1"/>
  <c r="H366" i="8"/>
  <c r="I366" i="8" s="1"/>
  <c r="F366" i="8"/>
  <c r="G366" i="8" s="1"/>
  <c r="D366" i="8"/>
  <c r="E366" i="8" s="1"/>
  <c r="V365" i="8"/>
  <c r="W365" i="8" s="1"/>
  <c r="T365" i="8"/>
  <c r="U365" i="8" s="1"/>
  <c r="R365" i="8"/>
  <c r="S365" i="8" s="1"/>
  <c r="P365" i="8"/>
  <c r="Q365" i="8" s="1"/>
  <c r="N365" i="8"/>
  <c r="O365" i="8" s="1"/>
  <c r="L365" i="8"/>
  <c r="M365" i="8" s="1"/>
  <c r="J365" i="8"/>
  <c r="K365" i="8" s="1"/>
  <c r="H365" i="8"/>
  <c r="I365" i="8" s="1"/>
  <c r="F365" i="8"/>
  <c r="G365" i="8" s="1"/>
  <c r="D365" i="8"/>
  <c r="E365" i="8" s="1"/>
  <c r="V364" i="8"/>
  <c r="W364" i="8" s="1"/>
  <c r="T364" i="8"/>
  <c r="U364" i="8" s="1"/>
  <c r="R364" i="8"/>
  <c r="S364" i="8" s="1"/>
  <c r="P364" i="8"/>
  <c r="Q364" i="8" s="1"/>
  <c r="N364" i="8"/>
  <c r="O364" i="8" s="1"/>
  <c r="L364" i="8"/>
  <c r="M364" i="8" s="1"/>
  <c r="J364" i="8"/>
  <c r="K364" i="8" s="1"/>
  <c r="H364" i="8"/>
  <c r="I364" i="8" s="1"/>
  <c r="F364" i="8"/>
  <c r="G364" i="8" s="1"/>
  <c r="D364" i="8"/>
  <c r="E364" i="8" s="1"/>
  <c r="V363" i="8"/>
  <c r="W363" i="8" s="1"/>
  <c r="T363" i="8"/>
  <c r="U363" i="8" s="1"/>
  <c r="R363" i="8"/>
  <c r="S363" i="8" s="1"/>
  <c r="Q363" i="8"/>
  <c r="P363" i="8"/>
  <c r="N363" i="8"/>
  <c r="O363" i="8" s="1"/>
  <c r="L363" i="8"/>
  <c r="M363" i="8" s="1"/>
  <c r="J363" i="8"/>
  <c r="K363" i="8" s="1"/>
  <c r="H363" i="8"/>
  <c r="I363" i="8" s="1"/>
  <c r="F363" i="8"/>
  <c r="G363" i="8" s="1"/>
  <c r="D363" i="8"/>
  <c r="E363" i="8" s="1"/>
  <c r="V362" i="8"/>
  <c r="W362" i="8" s="1"/>
  <c r="T362" i="8"/>
  <c r="U362" i="8" s="1"/>
  <c r="R362" i="8"/>
  <c r="S362" i="8" s="1"/>
  <c r="P362" i="8"/>
  <c r="Q362" i="8" s="1"/>
  <c r="N362" i="8"/>
  <c r="O362" i="8" s="1"/>
  <c r="L362" i="8"/>
  <c r="M362" i="8" s="1"/>
  <c r="J362" i="8"/>
  <c r="K362" i="8" s="1"/>
  <c r="H362" i="8"/>
  <c r="I362" i="8" s="1"/>
  <c r="F362" i="8"/>
  <c r="G362" i="8" s="1"/>
  <c r="D362" i="8"/>
  <c r="E362" i="8" s="1"/>
  <c r="V361" i="8"/>
  <c r="W361" i="8" s="1"/>
  <c r="T361" i="8"/>
  <c r="U361" i="8" s="1"/>
  <c r="R361" i="8"/>
  <c r="S361" i="8" s="1"/>
  <c r="P361" i="8"/>
  <c r="Q361" i="8" s="1"/>
  <c r="N361" i="8"/>
  <c r="O361" i="8" s="1"/>
  <c r="L361" i="8"/>
  <c r="M361" i="8" s="1"/>
  <c r="J361" i="8"/>
  <c r="K361" i="8" s="1"/>
  <c r="H361" i="8"/>
  <c r="I361" i="8" s="1"/>
  <c r="F361" i="8"/>
  <c r="G361" i="8" s="1"/>
  <c r="D361" i="8"/>
  <c r="E361" i="8" s="1"/>
  <c r="V360" i="8"/>
  <c r="W360" i="8" s="1"/>
  <c r="T360" i="8"/>
  <c r="U360" i="8" s="1"/>
  <c r="R360" i="8"/>
  <c r="S360" i="8" s="1"/>
  <c r="P360" i="8"/>
  <c r="Q360" i="8" s="1"/>
  <c r="N360" i="8"/>
  <c r="O360" i="8" s="1"/>
  <c r="L360" i="8"/>
  <c r="M360" i="8" s="1"/>
  <c r="J360" i="8"/>
  <c r="K360" i="8" s="1"/>
  <c r="H360" i="8"/>
  <c r="I360" i="8" s="1"/>
  <c r="F360" i="8"/>
  <c r="G360" i="8" s="1"/>
  <c r="D360" i="8"/>
  <c r="E360" i="8" s="1"/>
  <c r="V359" i="8"/>
  <c r="W359" i="8" s="1"/>
  <c r="T359" i="8"/>
  <c r="U359" i="8" s="1"/>
  <c r="R359" i="8"/>
  <c r="S359" i="8" s="1"/>
  <c r="P359" i="8"/>
  <c r="Q359" i="8" s="1"/>
  <c r="N359" i="8"/>
  <c r="O359" i="8" s="1"/>
  <c r="L359" i="8"/>
  <c r="M359" i="8" s="1"/>
  <c r="J359" i="8"/>
  <c r="K359" i="8" s="1"/>
  <c r="H359" i="8"/>
  <c r="I359" i="8" s="1"/>
  <c r="F359" i="8"/>
  <c r="G359" i="8" s="1"/>
  <c r="D359" i="8"/>
  <c r="E359" i="8" s="1"/>
  <c r="V358" i="8"/>
  <c r="W358" i="8" s="1"/>
  <c r="T358" i="8"/>
  <c r="U358" i="8" s="1"/>
  <c r="R358" i="8"/>
  <c r="S358" i="8" s="1"/>
  <c r="P358" i="8"/>
  <c r="Q358" i="8" s="1"/>
  <c r="N358" i="8"/>
  <c r="O358" i="8" s="1"/>
  <c r="L358" i="8"/>
  <c r="M358" i="8" s="1"/>
  <c r="J358" i="8"/>
  <c r="K358" i="8" s="1"/>
  <c r="H358" i="8"/>
  <c r="I358" i="8" s="1"/>
  <c r="F358" i="8"/>
  <c r="G358" i="8" s="1"/>
  <c r="D358" i="8"/>
  <c r="E358" i="8" s="1"/>
  <c r="V357" i="8"/>
  <c r="W357" i="8" s="1"/>
  <c r="T357" i="8"/>
  <c r="U357" i="8" s="1"/>
  <c r="R357" i="8"/>
  <c r="S357" i="8" s="1"/>
  <c r="P357" i="8"/>
  <c r="Q357" i="8" s="1"/>
  <c r="N357" i="8"/>
  <c r="O357" i="8" s="1"/>
  <c r="L357" i="8"/>
  <c r="M357" i="8" s="1"/>
  <c r="J357" i="8"/>
  <c r="K357" i="8" s="1"/>
  <c r="H357" i="8"/>
  <c r="I357" i="8" s="1"/>
  <c r="F357" i="8"/>
  <c r="G357" i="8" s="1"/>
  <c r="D357" i="8"/>
  <c r="E357" i="8" s="1"/>
  <c r="V356" i="8"/>
  <c r="W356" i="8" s="1"/>
  <c r="T356" i="8"/>
  <c r="U356" i="8" s="1"/>
  <c r="R356" i="8"/>
  <c r="S356" i="8" s="1"/>
  <c r="P356" i="8"/>
  <c r="Q356" i="8" s="1"/>
  <c r="N356" i="8"/>
  <c r="O356" i="8" s="1"/>
  <c r="L356" i="8"/>
  <c r="M356" i="8" s="1"/>
  <c r="J356" i="8"/>
  <c r="K356" i="8" s="1"/>
  <c r="H356" i="8"/>
  <c r="I356" i="8" s="1"/>
  <c r="F356" i="8"/>
  <c r="G356" i="8" s="1"/>
  <c r="D356" i="8"/>
  <c r="E356" i="8" s="1"/>
  <c r="V355" i="8"/>
  <c r="W355" i="8" s="1"/>
  <c r="T355" i="8"/>
  <c r="U355" i="8" s="1"/>
  <c r="R355" i="8"/>
  <c r="S355" i="8" s="1"/>
  <c r="P355" i="8"/>
  <c r="Q355" i="8" s="1"/>
  <c r="N355" i="8"/>
  <c r="O355" i="8" s="1"/>
  <c r="L355" i="8"/>
  <c r="M355" i="8" s="1"/>
  <c r="J355" i="8"/>
  <c r="K355" i="8" s="1"/>
  <c r="H355" i="8"/>
  <c r="I355" i="8" s="1"/>
  <c r="F355" i="8"/>
  <c r="G355" i="8" s="1"/>
  <c r="D355" i="8"/>
  <c r="E355" i="8" s="1"/>
  <c r="V354" i="8"/>
  <c r="W354" i="8" s="1"/>
  <c r="T354" i="8"/>
  <c r="U354" i="8" s="1"/>
  <c r="R354" i="8"/>
  <c r="S354" i="8" s="1"/>
  <c r="P354" i="8"/>
  <c r="Q354" i="8" s="1"/>
  <c r="N354" i="8"/>
  <c r="O354" i="8" s="1"/>
  <c r="L354" i="8"/>
  <c r="M354" i="8" s="1"/>
  <c r="J354" i="8"/>
  <c r="K354" i="8" s="1"/>
  <c r="H354" i="8"/>
  <c r="I354" i="8" s="1"/>
  <c r="F354" i="8"/>
  <c r="G354" i="8" s="1"/>
  <c r="D354" i="8"/>
  <c r="E354" i="8" s="1"/>
  <c r="V353" i="8"/>
  <c r="W353" i="8" s="1"/>
  <c r="T353" i="8"/>
  <c r="U353" i="8" s="1"/>
  <c r="R353" i="8"/>
  <c r="S353" i="8" s="1"/>
  <c r="P353" i="8"/>
  <c r="Q353" i="8" s="1"/>
  <c r="N353" i="8"/>
  <c r="O353" i="8" s="1"/>
  <c r="L353" i="8"/>
  <c r="M353" i="8" s="1"/>
  <c r="J353" i="8"/>
  <c r="K353" i="8" s="1"/>
  <c r="H353" i="8"/>
  <c r="I353" i="8" s="1"/>
  <c r="F353" i="8"/>
  <c r="G353" i="8" s="1"/>
  <c r="D353" i="8"/>
  <c r="E353" i="8" s="1"/>
  <c r="V352" i="8"/>
  <c r="W352" i="8" s="1"/>
  <c r="T352" i="8"/>
  <c r="U352" i="8" s="1"/>
  <c r="R352" i="8"/>
  <c r="S352" i="8" s="1"/>
  <c r="P352" i="8"/>
  <c r="Q352" i="8" s="1"/>
  <c r="N352" i="8"/>
  <c r="O352" i="8" s="1"/>
  <c r="L352" i="8"/>
  <c r="M352" i="8" s="1"/>
  <c r="J352" i="8"/>
  <c r="K352" i="8" s="1"/>
  <c r="H352" i="8"/>
  <c r="I352" i="8" s="1"/>
  <c r="F352" i="8"/>
  <c r="G352" i="8" s="1"/>
  <c r="D352" i="8"/>
  <c r="E352" i="8" s="1"/>
  <c r="V351" i="8"/>
  <c r="W351" i="8" s="1"/>
  <c r="T351" i="8"/>
  <c r="U351" i="8" s="1"/>
  <c r="R351" i="8"/>
  <c r="S351" i="8" s="1"/>
  <c r="Q351" i="8"/>
  <c r="P351" i="8"/>
  <c r="N351" i="8"/>
  <c r="O351" i="8" s="1"/>
  <c r="L351" i="8"/>
  <c r="M351" i="8" s="1"/>
  <c r="K351" i="8"/>
  <c r="J351" i="8"/>
  <c r="H351" i="8"/>
  <c r="I351" i="8" s="1"/>
  <c r="F351" i="8"/>
  <c r="G351" i="8" s="1"/>
  <c r="D351" i="8"/>
  <c r="E351" i="8" s="1"/>
  <c r="V350" i="8"/>
  <c r="W350" i="8" s="1"/>
  <c r="T350" i="8"/>
  <c r="U350" i="8" s="1"/>
  <c r="R350" i="8"/>
  <c r="S350" i="8" s="1"/>
  <c r="P350" i="8"/>
  <c r="Q350" i="8" s="1"/>
  <c r="N350" i="8"/>
  <c r="O350" i="8" s="1"/>
  <c r="L350" i="8"/>
  <c r="M350" i="8" s="1"/>
  <c r="J350" i="8"/>
  <c r="K350" i="8" s="1"/>
  <c r="H350" i="8"/>
  <c r="I350" i="8" s="1"/>
  <c r="F350" i="8"/>
  <c r="G350" i="8" s="1"/>
  <c r="D350" i="8"/>
  <c r="E350" i="8" s="1"/>
  <c r="V349" i="8"/>
  <c r="W349" i="8" s="1"/>
  <c r="T349" i="8"/>
  <c r="U349" i="8" s="1"/>
  <c r="R349" i="8"/>
  <c r="S349" i="8" s="1"/>
  <c r="P349" i="8"/>
  <c r="Q349" i="8" s="1"/>
  <c r="N349" i="8"/>
  <c r="O349" i="8" s="1"/>
  <c r="L349" i="8"/>
  <c r="M349" i="8" s="1"/>
  <c r="J349" i="8"/>
  <c r="K349" i="8" s="1"/>
  <c r="H349" i="8"/>
  <c r="I349" i="8" s="1"/>
  <c r="F349" i="8"/>
  <c r="G349" i="8" s="1"/>
  <c r="D349" i="8"/>
  <c r="E349" i="8" s="1"/>
  <c r="V348" i="8"/>
  <c r="W348" i="8" s="1"/>
  <c r="T348" i="8"/>
  <c r="U348" i="8" s="1"/>
  <c r="R348" i="8"/>
  <c r="S348" i="8" s="1"/>
  <c r="P348" i="8"/>
  <c r="Q348" i="8" s="1"/>
  <c r="N348" i="8"/>
  <c r="O348" i="8" s="1"/>
  <c r="L348" i="8"/>
  <c r="M348" i="8" s="1"/>
  <c r="J348" i="8"/>
  <c r="K348" i="8" s="1"/>
  <c r="H348" i="8"/>
  <c r="I348" i="8" s="1"/>
  <c r="F348" i="8"/>
  <c r="G348" i="8" s="1"/>
  <c r="D348" i="8"/>
  <c r="E348" i="8" s="1"/>
  <c r="V347" i="8"/>
  <c r="W347" i="8" s="1"/>
  <c r="T347" i="8"/>
  <c r="U347" i="8" s="1"/>
  <c r="R347" i="8"/>
  <c r="S347" i="8" s="1"/>
  <c r="P347" i="8"/>
  <c r="Q347" i="8" s="1"/>
  <c r="N347" i="8"/>
  <c r="O347" i="8" s="1"/>
  <c r="L347" i="8"/>
  <c r="M347" i="8" s="1"/>
  <c r="J347" i="8"/>
  <c r="K347" i="8" s="1"/>
  <c r="H347" i="8"/>
  <c r="I347" i="8" s="1"/>
  <c r="F347" i="8"/>
  <c r="G347" i="8" s="1"/>
  <c r="D347" i="8"/>
  <c r="E347" i="8" s="1"/>
  <c r="V346" i="8"/>
  <c r="W346" i="8" s="1"/>
  <c r="T346" i="8"/>
  <c r="U346" i="8" s="1"/>
  <c r="R346" i="8"/>
  <c r="S346" i="8" s="1"/>
  <c r="P346" i="8"/>
  <c r="Q346" i="8" s="1"/>
  <c r="N346" i="8"/>
  <c r="O346" i="8" s="1"/>
  <c r="L346" i="8"/>
  <c r="M346" i="8" s="1"/>
  <c r="J346" i="8"/>
  <c r="K346" i="8" s="1"/>
  <c r="H346" i="8"/>
  <c r="I346" i="8" s="1"/>
  <c r="F346" i="8"/>
  <c r="G346" i="8" s="1"/>
  <c r="D346" i="8"/>
  <c r="E346" i="8" s="1"/>
  <c r="V345" i="8"/>
  <c r="W345" i="8" s="1"/>
  <c r="T345" i="8"/>
  <c r="U345" i="8" s="1"/>
  <c r="R345" i="8"/>
  <c r="S345" i="8" s="1"/>
  <c r="P345" i="8"/>
  <c r="Q345" i="8" s="1"/>
  <c r="O345" i="8"/>
  <c r="N345" i="8"/>
  <c r="L345" i="8"/>
  <c r="M345" i="8" s="1"/>
  <c r="J345" i="8"/>
  <c r="K345" i="8" s="1"/>
  <c r="H345" i="8"/>
  <c r="I345" i="8" s="1"/>
  <c r="F345" i="8"/>
  <c r="G345" i="8" s="1"/>
  <c r="D345" i="8"/>
  <c r="E345" i="8" s="1"/>
  <c r="V344" i="8"/>
  <c r="W344" i="8" s="1"/>
  <c r="T344" i="8"/>
  <c r="U344" i="8" s="1"/>
  <c r="R344" i="8"/>
  <c r="S344" i="8" s="1"/>
  <c r="P344" i="8"/>
  <c r="Q344" i="8" s="1"/>
  <c r="N344" i="8"/>
  <c r="O344" i="8" s="1"/>
  <c r="L344" i="8"/>
  <c r="M344" i="8" s="1"/>
  <c r="J344" i="8"/>
  <c r="K344" i="8" s="1"/>
  <c r="H344" i="8"/>
  <c r="I344" i="8" s="1"/>
  <c r="F344" i="8"/>
  <c r="G344" i="8" s="1"/>
  <c r="D344" i="8"/>
  <c r="E344" i="8" s="1"/>
  <c r="V343" i="8"/>
  <c r="W343" i="8" s="1"/>
  <c r="T343" i="8"/>
  <c r="U343" i="8" s="1"/>
  <c r="R343" i="8"/>
  <c r="S343" i="8" s="1"/>
  <c r="P343" i="8"/>
  <c r="Q343" i="8" s="1"/>
  <c r="N343" i="8"/>
  <c r="O343" i="8" s="1"/>
  <c r="L343" i="8"/>
  <c r="M343" i="8" s="1"/>
  <c r="J343" i="8"/>
  <c r="K343" i="8" s="1"/>
  <c r="H343" i="8"/>
  <c r="I343" i="8" s="1"/>
  <c r="F343" i="8"/>
  <c r="G343" i="8" s="1"/>
  <c r="D343" i="8"/>
  <c r="E343" i="8" s="1"/>
  <c r="V342" i="8"/>
  <c r="W342" i="8" s="1"/>
  <c r="T342" i="8"/>
  <c r="U342" i="8" s="1"/>
  <c r="R342" i="8"/>
  <c r="S342" i="8" s="1"/>
  <c r="P342" i="8"/>
  <c r="Q342" i="8" s="1"/>
  <c r="N342" i="8"/>
  <c r="O342" i="8" s="1"/>
  <c r="L342" i="8"/>
  <c r="M342" i="8" s="1"/>
  <c r="J342" i="8"/>
  <c r="K342" i="8" s="1"/>
  <c r="H342" i="8"/>
  <c r="I342" i="8" s="1"/>
  <c r="F342" i="8"/>
  <c r="G342" i="8" s="1"/>
  <c r="D342" i="8"/>
  <c r="E342" i="8" s="1"/>
  <c r="V341" i="8"/>
  <c r="W341" i="8" s="1"/>
  <c r="T341" i="8"/>
  <c r="U341" i="8" s="1"/>
  <c r="R341" i="8"/>
  <c r="S341" i="8" s="1"/>
  <c r="P341" i="8"/>
  <c r="Q341" i="8" s="1"/>
  <c r="N341" i="8"/>
  <c r="O341" i="8" s="1"/>
  <c r="L341" i="8"/>
  <c r="M341" i="8" s="1"/>
  <c r="J341" i="8"/>
  <c r="K341" i="8" s="1"/>
  <c r="H341" i="8"/>
  <c r="I341" i="8" s="1"/>
  <c r="F341" i="8"/>
  <c r="G341" i="8" s="1"/>
  <c r="D341" i="8"/>
  <c r="E341" i="8" s="1"/>
  <c r="V340" i="8"/>
  <c r="W340" i="8" s="1"/>
  <c r="T340" i="8"/>
  <c r="U340" i="8" s="1"/>
  <c r="R340" i="8"/>
  <c r="S340" i="8" s="1"/>
  <c r="P340" i="8"/>
  <c r="Q340" i="8" s="1"/>
  <c r="N340" i="8"/>
  <c r="O340" i="8" s="1"/>
  <c r="L340" i="8"/>
  <c r="M340" i="8" s="1"/>
  <c r="J340" i="8"/>
  <c r="K340" i="8" s="1"/>
  <c r="H340" i="8"/>
  <c r="I340" i="8" s="1"/>
  <c r="F340" i="8"/>
  <c r="G340" i="8" s="1"/>
  <c r="D340" i="8"/>
  <c r="E340" i="8" s="1"/>
  <c r="V339" i="8"/>
  <c r="W339" i="8" s="1"/>
  <c r="T339" i="8"/>
  <c r="U339" i="8" s="1"/>
  <c r="R339" i="8"/>
  <c r="S339" i="8" s="1"/>
  <c r="P339" i="8"/>
  <c r="Q339" i="8" s="1"/>
  <c r="N339" i="8"/>
  <c r="O339" i="8" s="1"/>
  <c r="L339" i="8"/>
  <c r="M339" i="8" s="1"/>
  <c r="J339" i="8"/>
  <c r="K339" i="8" s="1"/>
  <c r="H339" i="8"/>
  <c r="I339" i="8" s="1"/>
  <c r="F339" i="8"/>
  <c r="G339" i="8" s="1"/>
  <c r="D339" i="8"/>
  <c r="E339" i="8" s="1"/>
  <c r="V338" i="8"/>
  <c r="W338" i="8" s="1"/>
  <c r="T338" i="8"/>
  <c r="U338" i="8" s="1"/>
  <c r="R338" i="8"/>
  <c r="S338" i="8" s="1"/>
  <c r="P338" i="8"/>
  <c r="Q338" i="8" s="1"/>
  <c r="N338" i="8"/>
  <c r="O338" i="8" s="1"/>
  <c r="L338" i="8"/>
  <c r="M338" i="8" s="1"/>
  <c r="J338" i="8"/>
  <c r="K338" i="8" s="1"/>
  <c r="H338" i="8"/>
  <c r="I338" i="8" s="1"/>
  <c r="F338" i="8"/>
  <c r="G338" i="8" s="1"/>
  <c r="D338" i="8"/>
  <c r="E338" i="8" s="1"/>
  <c r="V337" i="8"/>
  <c r="W337" i="8" s="1"/>
  <c r="T337" i="8"/>
  <c r="U337" i="8" s="1"/>
  <c r="R337" i="8"/>
  <c r="S337" i="8" s="1"/>
  <c r="P337" i="8"/>
  <c r="Q337" i="8" s="1"/>
  <c r="N337" i="8"/>
  <c r="O337" i="8" s="1"/>
  <c r="L337" i="8"/>
  <c r="M337" i="8" s="1"/>
  <c r="J337" i="8"/>
  <c r="K337" i="8" s="1"/>
  <c r="H337" i="8"/>
  <c r="I337" i="8" s="1"/>
  <c r="F337" i="8"/>
  <c r="G337" i="8" s="1"/>
  <c r="D337" i="8"/>
  <c r="E337" i="8" s="1"/>
  <c r="V336" i="8"/>
  <c r="W336" i="8" s="1"/>
  <c r="T336" i="8"/>
  <c r="U336" i="8" s="1"/>
  <c r="R336" i="8"/>
  <c r="S336" i="8" s="1"/>
  <c r="P336" i="8"/>
  <c r="Q336" i="8" s="1"/>
  <c r="N336" i="8"/>
  <c r="O336" i="8" s="1"/>
  <c r="L336" i="8"/>
  <c r="M336" i="8" s="1"/>
  <c r="J336" i="8"/>
  <c r="K336" i="8" s="1"/>
  <c r="H336" i="8"/>
  <c r="I336" i="8" s="1"/>
  <c r="F336" i="8"/>
  <c r="G336" i="8" s="1"/>
  <c r="D336" i="8"/>
  <c r="E336" i="8" s="1"/>
  <c r="V335" i="8"/>
  <c r="W335" i="8" s="1"/>
  <c r="T335" i="8"/>
  <c r="U335" i="8" s="1"/>
  <c r="R335" i="8"/>
  <c r="S335" i="8" s="1"/>
  <c r="P335" i="8"/>
  <c r="Q335" i="8" s="1"/>
  <c r="N335" i="8"/>
  <c r="O335" i="8" s="1"/>
  <c r="L335" i="8"/>
  <c r="M335" i="8" s="1"/>
  <c r="J335" i="8"/>
  <c r="K335" i="8" s="1"/>
  <c r="H335" i="8"/>
  <c r="I335" i="8" s="1"/>
  <c r="F335" i="8"/>
  <c r="G335" i="8" s="1"/>
  <c r="D335" i="8"/>
  <c r="E335" i="8" s="1"/>
  <c r="V334" i="8"/>
  <c r="W334" i="8" s="1"/>
  <c r="T334" i="8"/>
  <c r="U334" i="8" s="1"/>
  <c r="R334" i="8"/>
  <c r="S334" i="8" s="1"/>
  <c r="P334" i="8"/>
  <c r="Q334" i="8" s="1"/>
  <c r="N334" i="8"/>
  <c r="O334" i="8" s="1"/>
  <c r="L334" i="8"/>
  <c r="M334" i="8" s="1"/>
  <c r="J334" i="8"/>
  <c r="K334" i="8" s="1"/>
  <c r="I334" i="8"/>
  <c r="F334" i="8"/>
  <c r="G334" i="8" s="1"/>
  <c r="D334" i="8"/>
  <c r="E334" i="8" s="1"/>
  <c r="V333" i="8"/>
  <c r="W333" i="8" s="1"/>
  <c r="T333" i="8"/>
  <c r="U333" i="8" s="1"/>
  <c r="R333" i="8"/>
  <c r="S333" i="8" s="1"/>
  <c r="P333" i="8"/>
  <c r="Q333" i="8" s="1"/>
  <c r="N333" i="8"/>
  <c r="O333" i="8" s="1"/>
  <c r="L333" i="8"/>
  <c r="M333" i="8" s="1"/>
  <c r="J333" i="8"/>
  <c r="K333" i="8" s="1"/>
  <c r="H333" i="8"/>
  <c r="I333" i="8" s="1"/>
  <c r="F333" i="8"/>
  <c r="G333" i="8" s="1"/>
  <c r="D333" i="8"/>
  <c r="E333" i="8" s="1"/>
  <c r="V332" i="8"/>
  <c r="W332" i="8" s="1"/>
  <c r="T332" i="8"/>
  <c r="U332" i="8" s="1"/>
  <c r="R332" i="8"/>
  <c r="S332" i="8" s="1"/>
  <c r="P332" i="8"/>
  <c r="Q332" i="8" s="1"/>
  <c r="N332" i="8"/>
  <c r="O332" i="8" s="1"/>
  <c r="L332" i="8"/>
  <c r="M332" i="8" s="1"/>
  <c r="J332" i="8"/>
  <c r="K332" i="8" s="1"/>
  <c r="H332" i="8"/>
  <c r="I332" i="8" s="1"/>
  <c r="F332" i="8"/>
  <c r="G332" i="8" s="1"/>
  <c r="D332" i="8"/>
  <c r="E332" i="8" s="1"/>
  <c r="V331" i="8"/>
  <c r="W331" i="8" s="1"/>
  <c r="T331" i="8"/>
  <c r="U331" i="8" s="1"/>
  <c r="R331" i="8"/>
  <c r="S331" i="8" s="1"/>
  <c r="P331" i="8"/>
  <c r="Q331" i="8" s="1"/>
  <c r="N331" i="8"/>
  <c r="O331" i="8" s="1"/>
  <c r="L331" i="8"/>
  <c r="M331" i="8" s="1"/>
  <c r="J331" i="8"/>
  <c r="K331" i="8" s="1"/>
  <c r="I331" i="8"/>
  <c r="H331" i="8"/>
  <c r="F331" i="8"/>
  <c r="G331" i="8" s="1"/>
  <c r="D331" i="8"/>
  <c r="E331" i="8" s="1"/>
  <c r="V330" i="8"/>
  <c r="W330" i="8" s="1"/>
  <c r="T330" i="8"/>
  <c r="U330" i="8" s="1"/>
  <c r="R330" i="8"/>
  <c r="S330" i="8" s="1"/>
  <c r="Q330" i="8"/>
  <c r="P330" i="8"/>
  <c r="N330" i="8"/>
  <c r="O330" i="8" s="1"/>
  <c r="L330" i="8"/>
  <c r="M330" i="8" s="1"/>
  <c r="J330" i="8"/>
  <c r="K330" i="8" s="1"/>
  <c r="H330" i="8"/>
  <c r="I330" i="8" s="1"/>
  <c r="F330" i="8"/>
  <c r="G330" i="8" s="1"/>
  <c r="D330" i="8"/>
  <c r="E330" i="8" s="1"/>
  <c r="V329" i="8"/>
  <c r="W329" i="8" s="1"/>
  <c r="T329" i="8"/>
  <c r="U329" i="8" s="1"/>
  <c r="R329" i="8"/>
  <c r="S329" i="8" s="1"/>
  <c r="P329" i="8"/>
  <c r="Q329" i="8" s="1"/>
  <c r="N329" i="8"/>
  <c r="O329" i="8" s="1"/>
  <c r="L329" i="8"/>
  <c r="M329" i="8" s="1"/>
  <c r="J329" i="8"/>
  <c r="K329" i="8" s="1"/>
  <c r="H329" i="8"/>
  <c r="I329" i="8" s="1"/>
  <c r="F329" i="8"/>
  <c r="G329" i="8" s="1"/>
  <c r="D329" i="8"/>
  <c r="E329" i="8" s="1"/>
  <c r="V328" i="8"/>
  <c r="W328" i="8" s="1"/>
  <c r="T328" i="8"/>
  <c r="U328" i="8" s="1"/>
  <c r="R328" i="8"/>
  <c r="S328" i="8" s="1"/>
  <c r="P328" i="8"/>
  <c r="Q328" i="8" s="1"/>
  <c r="N328" i="8"/>
  <c r="O328" i="8" s="1"/>
  <c r="L328" i="8"/>
  <c r="M328" i="8" s="1"/>
  <c r="J328" i="8"/>
  <c r="K328" i="8" s="1"/>
  <c r="H328" i="8"/>
  <c r="I328" i="8" s="1"/>
  <c r="F328" i="8"/>
  <c r="G328" i="8" s="1"/>
  <c r="D328" i="8"/>
  <c r="E328" i="8" s="1"/>
  <c r="V327" i="8"/>
  <c r="W327" i="8" s="1"/>
  <c r="T327" i="8"/>
  <c r="U327" i="8" s="1"/>
  <c r="R327" i="8"/>
  <c r="S327" i="8" s="1"/>
  <c r="P327" i="8"/>
  <c r="Q327" i="8" s="1"/>
  <c r="N327" i="8"/>
  <c r="O327" i="8" s="1"/>
  <c r="L327" i="8"/>
  <c r="M327" i="8" s="1"/>
  <c r="J327" i="8"/>
  <c r="K327" i="8" s="1"/>
  <c r="H327" i="8"/>
  <c r="I327" i="8" s="1"/>
  <c r="F327" i="8"/>
  <c r="G327" i="8" s="1"/>
  <c r="D327" i="8"/>
  <c r="E327" i="8" s="1"/>
  <c r="V326" i="8"/>
  <c r="W326" i="8" s="1"/>
  <c r="T326" i="8"/>
  <c r="U326" i="8" s="1"/>
  <c r="R326" i="8"/>
  <c r="S326" i="8" s="1"/>
  <c r="P326" i="8"/>
  <c r="Q326" i="8" s="1"/>
  <c r="N326" i="8"/>
  <c r="O326" i="8" s="1"/>
  <c r="L326" i="8"/>
  <c r="M326" i="8" s="1"/>
  <c r="J326" i="8"/>
  <c r="K326" i="8" s="1"/>
  <c r="H326" i="8"/>
  <c r="I326" i="8" s="1"/>
  <c r="F326" i="8"/>
  <c r="G326" i="8" s="1"/>
  <c r="D326" i="8"/>
  <c r="E326" i="8" s="1"/>
  <c r="W325" i="8"/>
  <c r="U325" i="8"/>
  <c r="S325" i="8"/>
  <c r="Q325" i="8"/>
  <c r="O325" i="8"/>
  <c r="M325" i="8"/>
  <c r="K325" i="8"/>
  <c r="I325" i="8"/>
  <c r="G325" i="8"/>
  <c r="E325" i="8"/>
  <c r="V314" i="8"/>
  <c r="W314" i="8" s="1"/>
  <c r="T314" i="8"/>
  <c r="U314" i="8" s="1"/>
  <c r="R314" i="8"/>
  <c r="S314" i="8" s="1"/>
  <c r="P314" i="8"/>
  <c r="Q314" i="8" s="1"/>
  <c r="N314" i="8"/>
  <c r="O314" i="8" s="1"/>
  <c r="L314" i="8"/>
  <c r="M314" i="8" s="1"/>
  <c r="J314" i="8"/>
  <c r="K314" i="8" s="1"/>
  <c r="H314" i="8"/>
  <c r="I314" i="8" s="1"/>
  <c r="F314" i="8"/>
  <c r="G314" i="8" s="1"/>
  <c r="D314" i="8"/>
  <c r="E314" i="8" s="1"/>
  <c r="V313" i="8"/>
  <c r="W313" i="8" s="1"/>
  <c r="T313" i="8"/>
  <c r="U313" i="8" s="1"/>
  <c r="R313" i="8"/>
  <c r="S313" i="8" s="1"/>
  <c r="P313" i="8"/>
  <c r="Q313" i="8" s="1"/>
  <c r="N313" i="8"/>
  <c r="O313" i="8" s="1"/>
  <c r="L313" i="8"/>
  <c r="M313" i="8" s="1"/>
  <c r="J313" i="8"/>
  <c r="K313" i="8" s="1"/>
  <c r="H313" i="8"/>
  <c r="I313" i="8" s="1"/>
  <c r="F313" i="8"/>
  <c r="G313" i="8" s="1"/>
  <c r="D313" i="8"/>
  <c r="E313" i="8" s="1"/>
  <c r="V312" i="8"/>
  <c r="W312" i="8" s="1"/>
  <c r="T312" i="8"/>
  <c r="U312" i="8" s="1"/>
  <c r="R312" i="8"/>
  <c r="S312" i="8" s="1"/>
  <c r="P312" i="8"/>
  <c r="Q312" i="8" s="1"/>
  <c r="N312" i="8"/>
  <c r="O312" i="8" s="1"/>
  <c r="M312" i="8"/>
  <c r="L312" i="8"/>
  <c r="J312" i="8"/>
  <c r="K312" i="8" s="1"/>
  <c r="H312" i="8"/>
  <c r="I312" i="8" s="1"/>
  <c r="F312" i="8"/>
  <c r="G312" i="8" s="1"/>
  <c r="D312" i="8"/>
  <c r="E312" i="8" s="1"/>
  <c r="V311" i="8"/>
  <c r="W311" i="8" s="1"/>
  <c r="U311" i="8"/>
  <c r="T311" i="8"/>
  <c r="R311" i="8"/>
  <c r="S311" i="8" s="1"/>
  <c r="P311" i="8"/>
  <c r="Q311" i="8" s="1"/>
  <c r="N311" i="8"/>
  <c r="O311" i="8" s="1"/>
  <c r="L311" i="8"/>
  <c r="M311" i="8" s="1"/>
  <c r="J311" i="8"/>
  <c r="K311" i="8" s="1"/>
  <c r="H311" i="8"/>
  <c r="I311" i="8" s="1"/>
  <c r="F311" i="8"/>
  <c r="G311" i="8" s="1"/>
  <c r="D311" i="8"/>
  <c r="E311" i="8" s="1"/>
  <c r="V310" i="8"/>
  <c r="W310" i="8" s="1"/>
  <c r="T310" i="8"/>
  <c r="U310" i="8" s="1"/>
  <c r="R310" i="8"/>
  <c r="S310" i="8" s="1"/>
  <c r="P310" i="8"/>
  <c r="Q310" i="8" s="1"/>
  <c r="N310" i="8"/>
  <c r="O310" i="8" s="1"/>
  <c r="L310" i="8"/>
  <c r="M310" i="8" s="1"/>
  <c r="J310" i="8"/>
  <c r="K310" i="8" s="1"/>
  <c r="H310" i="8"/>
  <c r="I310" i="8" s="1"/>
  <c r="F310" i="8"/>
  <c r="G310" i="8" s="1"/>
  <c r="D310" i="8"/>
  <c r="E310" i="8" s="1"/>
  <c r="V309" i="8"/>
  <c r="W309" i="8" s="1"/>
  <c r="T309" i="8"/>
  <c r="U309" i="8" s="1"/>
  <c r="R309" i="8"/>
  <c r="S309" i="8" s="1"/>
  <c r="P309" i="8"/>
  <c r="Q309" i="8" s="1"/>
  <c r="N309" i="8"/>
  <c r="O309" i="8" s="1"/>
  <c r="L309" i="8"/>
  <c r="M309" i="8" s="1"/>
  <c r="J309" i="8"/>
  <c r="K309" i="8" s="1"/>
  <c r="H309" i="8"/>
  <c r="I309" i="8" s="1"/>
  <c r="G309" i="8"/>
  <c r="F309" i="8"/>
  <c r="D309" i="8"/>
  <c r="E309" i="8" s="1"/>
  <c r="V308" i="8"/>
  <c r="W308" i="8" s="1"/>
  <c r="T308" i="8"/>
  <c r="U308" i="8" s="1"/>
  <c r="R308" i="8"/>
  <c r="S308" i="8" s="1"/>
  <c r="P308" i="8"/>
  <c r="Q308" i="8" s="1"/>
  <c r="N308" i="8"/>
  <c r="O308" i="8" s="1"/>
  <c r="L308" i="8"/>
  <c r="M308" i="8" s="1"/>
  <c r="J308" i="8"/>
  <c r="K308" i="8" s="1"/>
  <c r="H308" i="8"/>
  <c r="I308" i="8" s="1"/>
  <c r="F308" i="8"/>
  <c r="G308" i="8" s="1"/>
  <c r="D308" i="8"/>
  <c r="E308" i="8" s="1"/>
  <c r="W307" i="8"/>
  <c r="V307" i="8"/>
  <c r="T307" i="8"/>
  <c r="U307" i="8" s="1"/>
  <c r="R307" i="8"/>
  <c r="S307" i="8" s="1"/>
  <c r="P307" i="8"/>
  <c r="Q307" i="8" s="1"/>
  <c r="N307" i="8"/>
  <c r="O307" i="8" s="1"/>
  <c r="L307" i="8"/>
  <c r="M307" i="8" s="1"/>
  <c r="J307" i="8"/>
  <c r="K307" i="8" s="1"/>
  <c r="H307" i="8"/>
  <c r="I307" i="8" s="1"/>
  <c r="F307" i="8"/>
  <c r="G307" i="8" s="1"/>
  <c r="D307" i="8"/>
  <c r="E307" i="8" s="1"/>
  <c r="V306" i="8"/>
  <c r="W306" i="8" s="1"/>
  <c r="T306" i="8"/>
  <c r="U306" i="8" s="1"/>
  <c r="R306" i="8"/>
  <c r="S306" i="8" s="1"/>
  <c r="P306" i="8"/>
  <c r="Q306" i="8" s="1"/>
  <c r="N306" i="8"/>
  <c r="O306" i="8" s="1"/>
  <c r="L306" i="8"/>
  <c r="M306" i="8" s="1"/>
  <c r="J306" i="8"/>
  <c r="K306" i="8" s="1"/>
  <c r="I306" i="8"/>
  <c r="H306" i="8"/>
  <c r="F306" i="8"/>
  <c r="G306" i="8" s="1"/>
  <c r="D306" i="8"/>
  <c r="E306" i="8" s="1"/>
  <c r="V305" i="8"/>
  <c r="W305" i="8" s="1"/>
  <c r="T305" i="8"/>
  <c r="U305" i="8" s="1"/>
  <c r="R305" i="8"/>
  <c r="S305" i="8" s="1"/>
  <c r="P305" i="8"/>
  <c r="Q305" i="8" s="1"/>
  <c r="N305" i="8"/>
  <c r="O305" i="8" s="1"/>
  <c r="L305" i="8"/>
  <c r="M305" i="8" s="1"/>
  <c r="J305" i="8"/>
  <c r="K305" i="8" s="1"/>
  <c r="H305" i="8"/>
  <c r="I305" i="8" s="1"/>
  <c r="F305" i="8"/>
  <c r="G305" i="8" s="1"/>
  <c r="D305" i="8"/>
  <c r="E305" i="8" s="1"/>
  <c r="V304" i="8"/>
  <c r="W304" i="8" s="1"/>
  <c r="T304" i="8"/>
  <c r="U304" i="8" s="1"/>
  <c r="R304" i="8"/>
  <c r="S304" i="8" s="1"/>
  <c r="Q304" i="8"/>
  <c r="P304" i="8"/>
  <c r="N304" i="8"/>
  <c r="O304" i="8" s="1"/>
  <c r="L304" i="8"/>
  <c r="M304" i="8" s="1"/>
  <c r="J304" i="8"/>
  <c r="K304" i="8" s="1"/>
  <c r="H304" i="8"/>
  <c r="I304" i="8" s="1"/>
  <c r="F304" i="8"/>
  <c r="G304" i="8" s="1"/>
  <c r="D304" i="8"/>
  <c r="E304" i="8" s="1"/>
  <c r="W303" i="8"/>
  <c r="V303" i="8"/>
  <c r="T303" i="8"/>
  <c r="U303" i="8" s="1"/>
  <c r="R303" i="8"/>
  <c r="S303" i="8" s="1"/>
  <c r="Q303" i="8"/>
  <c r="P303" i="8"/>
  <c r="N303" i="8"/>
  <c r="O303" i="8" s="1"/>
  <c r="L303" i="8"/>
  <c r="M303" i="8" s="1"/>
  <c r="J303" i="8"/>
  <c r="K303" i="8" s="1"/>
  <c r="H303" i="8"/>
  <c r="I303" i="8" s="1"/>
  <c r="F303" i="8"/>
  <c r="G303" i="8" s="1"/>
  <c r="E303" i="8"/>
  <c r="D303" i="8"/>
  <c r="V302" i="8"/>
  <c r="W302" i="8" s="1"/>
  <c r="T302" i="8"/>
  <c r="U302" i="8" s="1"/>
  <c r="R302" i="8"/>
  <c r="S302" i="8" s="1"/>
  <c r="P302" i="8"/>
  <c r="Q302" i="8" s="1"/>
  <c r="N302" i="8"/>
  <c r="O302" i="8" s="1"/>
  <c r="L302" i="8"/>
  <c r="M302" i="8" s="1"/>
  <c r="J302" i="8"/>
  <c r="K302" i="8" s="1"/>
  <c r="H302" i="8"/>
  <c r="I302" i="8" s="1"/>
  <c r="F302" i="8"/>
  <c r="G302" i="8" s="1"/>
  <c r="D302" i="8"/>
  <c r="E302" i="8" s="1"/>
  <c r="W301" i="8"/>
  <c r="V301" i="8"/>
  <c r="T301" i="8"/>
  <c r="U301" i="8" s="1"/>
  <c r="R301" i="8"/>
  <c r="S301" i="8" s="1"/>
  <c r="P301" i="8"/>
  <c r="Q301" i="8" s="1"/>
  <c r="N301" i="8"/>
  <c r="O301" i="8" s="1"/>
  <c r="L301" i="8"/>
  <c r="M301" i="8" s="1"/>
  <c r="J301" i="8"/>
  <c r="K301" i="8" s="1"/>
  <c r="H301" i="8"/>
  <c r="I301" i="8" s="1"/>
  <c r="F301" i="8"/>
  <c r="G301" i="8" s="1"/>
  <c r="D301" i="8"/>
  <c r="E301" i="8" s="1"/>
  <c r="V300" i="8"/>
  <c r="W300" i="8" s="1"/>
  <c r="T300" i="8"/>
  <c r="U300" i="8" s="1"/>
  <c r="R300" i="8"/>
  <c r="S300" i="8" s="1"/>
  <c r="P300" i="8"/>
  <c r="Q300" i="8" s="1"/>
  <c r="N300" i="8"/>
  <c r="O300" i="8" s="1"/>
  <c r="L300" i="8"/>
  <c r="M300" i="8" s="1"/>
  <c r="J300" i="8"/>
  <c r="K300" i="8" s="1"/>
  <c r="H300" i="8"/>
  <c r="I300" i="8" s="1"/>
  <c r="F300" i="8"/>
  <c r="G300" i="8" s="1"/>
  <c r="D300" i="8"/>
  <c r="E300" i="8" s="1"/>
  <c r="V299" i="8"/>
  <c r="W299" i="8" s="1"/>
  <c r="T299" i="8"/>
  <c r="U299" i="8" s="1"/>
  <c r="R299" i="8"/>
  <c r="S299" i="8" s="1"/>
  <c r="P299" i="8"/>
  <c r="Q299" i="8" s="1"/>
  <c r="N299" i="8"/>
  <c r="O299" i="8" s="1"/>
  <c r="L299" i="8"/>
  <c r="M299" i="8" s="1"/>
  <c r="J299" i="8"/>
  <c r="K299" i="8" s="1"/>
  <c r="H299" i="8"/>
  <c r="I299" i="8" s="1"/>
  <c r="F299" i="8"/>
  <c r="G299" i="8" s="1"/>
  <c r="D299" i="8"/>
  <c r="E299" i="8" s="1"/>
  <c r="V298" i="8"/>
  <c r="W298" i="8" s="1"/>
  <c r="T298" i="8"/>
  <c r="U298" i="8" s="1"/>
  <c r="R298" i="8"/>
  <c r="S298" i="8" s="1"/>
  <c r="P298" i="8"/>
  <c r="Q298" i="8" s="1"/>
  <c r="N298" i="8"/>
  <c r="O298" i="8" s="1"/>
  <c r="L298" i="8"/>
  <c r="M298" i="8" s="1"/>
  <c r="J298" i="8"/>
  <c r="K298" i="8" s="1"/>
  <c r="H298" i="8"/>
  <c r="I298" i="8" s="1"/>
  <c r="F298" i="8"/>
  <c r="G298" i="8" s="1"/>
  <c r="D298" i="8"/>
  <c r="E298" i="8" s="1"/>
  <c r="V297" i="8"/>
  <c r="W297" i="8" s="1"/>
  <c r="T297" i="8"/>
  <c r="U297" i="8" s="1"/>
  <c r="R297" i="8"/>
  <c r="S297" i="8" s="1"/>
  <c r="P297" i="8"/>
  <c r="Q297" i="8" s="1"/>
  <c r="N297" i="8"/>
  <c r="O297" i="8" s="1"/>
  <c r="L297" i="8"/>
  <c r="M297" i="8" s="1"/>
  <c r="J297" i="8"/>
  <c r="K297" i="8" s="1"/>
  <c r="H297" i="8"/>
  <c r="I297" i="8" s="1"/>
  <c r="F297" i="8"/>
  <c r="G297" i="8" s="1"/>
  <c r="D297" i="8"/>
  <c r="E297" i="8" s="1"/>
  <c r="V296" i="8"/>
  <c r="W296" i="8" s="1"/>
  <c r="T296" i="8"/>
  <c r="U296" i="8" s="1"/>
  <c r="R296" i="8"/>
  <c r="S296" i="8" s="1"/>
  <c r="P296" i="8"/>
  <c r="Q296" i="8" s="1"/>
  <c r="N296" i="8"/>
  <c r="O296" i="8" s="1"/>
  <c r="L296" i="8"/>
  <c r="M296" i="8" s="1"/>
  <c r="J296" i="8"/>
  <c r="K296" i="8" s="1"/>
  <c r="H296" i="8"/>
  <c r="I296" i="8" s="1"/>
  <c r="F296" i="8"/>
  <c r="G296" i="8" s="1"/>
  <c r="D296" i="8"/>
  <c r="E296" i="8" s="1"/>
  <c r="W295" i="8"/>
  <c r="V295" i="8"/>
  <c r="T295" i="8"/>
  <c r="U295" i="8" s="1"/>
  <c r="R295" i="8"/>
  <c r="S295" i="8" s="1"/>
  <c r="Q295" i="8"/>
  <c r="P295" i="8"/>
  <c r="N295" i="8"/>
  <c r="O295" i="8" s="1"/>
  <c r="L295" i="8"/>
  <c r="M295" i="8" s="1"/>
  <c r="J295" i="8"/>
  <c r="K295" i="8" s="1"/>
  <c r="H295" i="8"/>
  <c r="I295" i="8" s="1"/>
  <c r="F295" i="8"/>
  <c r="G295" i="8" s="1"/>
  <c r="D295" i="8"/>
  <c r="E295" i="8" s="1"/>
  <c r="V294" i="8"/>
  <c r="W294" i="8" s="1"/>
  <c r="T294" i="8"/>
  <c r="U294" i="8" s="1"/>
  <c r="R294" i="8"/>
  <c r="S294" i="8" s="1"/>
  <c r="Q294" i="8"/>
  <c r="P294" i="8"/>
  <c r="N294" i="8"/>
  <c r="O294" i="8" s="1"/>
  <c r="L294" i="8"/>
  <c r="M294" i="8" s="1"/>
  <c r="J294" i="8"/>
  <c r="K294" i="8" s="1"/>
  <c r="H294" i="8"/>
  <c r="I294" i="8" s="1"/>
  <c r="F294" i="8"/>
  <c r="G294" i="8" s="1"/>
  <c r="D294" i="8"/>
  <c r="E294" i="8" s="1"/>
  <c r="V293" i="8"/>
  <c r="W293" i="8" s="1"/>
  <c r="T293" i="8"/>
  <c r="U293" i="8" s="1"/>
  <c r="R293" i="8"/>
  <c r="S293" i="8" s="1"/>
  <c r="P293" i="8"/>
  <c r="Q293" i="8" s="1"/>
  <c r="N293" i="8"/>
  <c r="O293" i="8" s="1"/>
  <c r="L293" i="8"/>
  <c r="M293" i="8" s="1"/>
  <c r="J293" i="8"/>
  <c r="K293" i="8" s="1"/>
  <c r="H293" i="8"/>
  <c r="I293" i="8" s="1"/>
  <c r="G293" i="8"/>
  <c r="F293" i="8"/>
  <c r="D293" i="8"/>
  <c r="E293" i="8" s="1"/>
  <c r="V292" i="8"/>
  <c r="W292" i="8" s="1"/>
  <c r="T292" i="8"/>
  <c r="U292" i="8" s="1"/>
  <c r="R292" i="8"/>
  <c r="S292" i="8" s="1"/>
  <c r="P292" i="8"/>
  <c r="Q292" i="8" s="1"/>
  <c r="N292" i="8"/>
  <c r="O292" i="8" s="1"/>
  <c r="L292" i="8"/>
  <c r="M292" i="8" s="1"/>
  <c r="J292" i="8"/>
  <c r="K292" i="8" s="1"/>
  <c r="H292" i="8"/>
  <c r="I292" i="8" s="1"/>
  <c r="F292" i="8"/>
  <c r="G292" i="8" s="1"/>
  <c r="D292" i="8"/>
  <c r="E292" i="8" s="1"/>
  <c r="V291" i="8"/>
  <c r="W291" i="8" s="1"/>
  <c r="T291" i="8"/>
  <c r="U291" i="8" s="1"/>
  <c r="R291" i="8"/>
  <c r="S291" i="8" s="1"/>
  <c r="P291" i="8"/>
  <c r="Q291" i="8" s="1"/>
  <c r="N291" i="8"/>
  <c r="O291" i="8" s="1"/>
  <c r="L291" i="8"/>
  <c r="M291" i="8" s="1"/>
  <c r="J291" i="8"/>
  <c r="K291" i="8" s="1"/>
  <c r="H291" i="8"/>
  <c r="I291" i="8" s="1"/>
  <c r="F291" i="8"/>
  <c r="G291" i="8" s="1"/>
  <c r="D291" i="8"/>
  <c r="E291" i="8" s="1"/>
  <c r="V290" i="8"/>
  <c r="W290" i="8" s="1"/>
  <c r="T290" i="8"/>
  <c r="U290" i="8" s="1"/>
  <c r="R290" i="8"/>
  <c r="S290" i="8" s="1"/>
  <c r="P290" i="8"/>
  <c r="Q290" i="8" s="1"/>
  <c r="O290" i="8"/>
  <c r="N290" i="8"/>
  <c r="L290" i="8"/>
  <c r="M290" i="8" s="1"/>
  <c r="J290" i="8"/>
  <c r="K290" i="8" s="1"/>
  <c r="H290" i="8"/>
  <c r="I290" i="8" s="1"/>
  <c r="F290" i="8"/>
  <c r="G290" i="8" s="1"/>
  <c r="D290" i="8"/>
  <c r="E290" i="8" s="1"/>
  <c r="V289" i="8"/>
  <c r="W289" i="8" s="1"/>
  <c r="U289" i="8"/>
  <c r="T289" i="8"/>
  <c r="R289" i="8"/>
  <c r="S289" i="8" s="1"/>
  <c r="P289" i="8"/>
  <c r="Q289" i="8" s="1"/>
  <c r="O289" i="8"/>
  <c r="N289" i="8"/>
  <c r="L289" i="8"/>
  <c r="M289" i="8" s="1"/>
  <c r="J289" i="8"/>
  <c r="K289" i="8" s="1"/>
  <c r="I289" i="8"/>
  <c r="H289" i="8"/>
  <c r="F289" i="8"/>
  <c r="G289" i="8" s="1"/>
  <c r="D289" i="8"/>
  <c r="E289" i="8" s="1"/>
  <c r="V288" i="8"/>
  <c r="W288" i="8" s="1"/>
  <c r="T288" i="8"/>
  <c r="U288" i="8" s="1"/>
  <c r="R288" i="8"/>
  <c r="S288" i="8" s="1"/>
  <c r="P288" i="8"/>
  <c r="Q288" i="8" s="1"/>
  <c r="N288" i="8"/>
  <c r="O288" i="8" s="1"/>
  <c r="L288" i="8"/>
  <c r="M288" i="8" s="1"/>
  <c r="J288" i="8"/>
  <c r="K288" i="8" s="1"/>
  <c r="H288" i="8"/>
  <c r="I288" i="8" s="1"/>
  <c r="F288" i="8"/>
  <c r="G288" i="8" s="1"/>
  <c r="D288" i="8"/>
  <c r="E288" i="8" s="1"/>
  <c r="V287" i="8"/>
  <c r="W287" i="8" s="1"/>
  <c r="T287" i="8"/>
  <c r="U287" i="8" s="1"/>
  <c r="R287" i="8"/>
  <c r="S287" i="8" s="1"/>
  <c r="P287" i="8"/>
  <c r="Q287" i="8" s="1"/>
  <c r="N287" i="8"/>
  <c r="O287" i="8" s="1"/>
  <c r="L287" i="8"/>
  <c r="M287" i="8" s="1"/>
  <c r="J287" i="8"/>
  <c r="K287" i="8" s="1"/>
  <c r="H287" i="8"/>
  <c r="I287" i="8" s="1"/>
  <c r="F287" i="8"/>
  <c r="G287" i="8" s="1"/>
  <c r="D287" i="8"/>
  <c r="E287" i="8" s="1"/>
  <c r="V286" i="8"/>
  <c r="W286" i="8" s="1"/>
  <c r="T286" i="8"/>
  <c r="U286" i="8" s="1"/>
  <c r="R286" i="8"/>
  <c r="S286" i="8" s="1"/>
  <c r="P286" i="8"/>
  <c r="Q286" i="8" s="1"/>
  <c r="N286" i="8"/>
  <c r="O286" i="8" s="1"/>
  <c r="L286" i="8"/>
  <c r="M286" i="8" s="1"/>
  <c r="J286" i="8"/>
  <c r="K286" i="8" s="1"/>
  <c r="H286" i="8"/>
  <c r="I286" i="8" s="1"/>
  <c r="F286" i="8"/>
  <c r="G286" i="8" s="1"/>
  <c r="D286" i="8"/>
  <c r="E286" i="8" s="1"/>
  <c r="V285" i="8"/>
  <c r="W285" i="8" s="1"/>
  <c r="T285" i="8"/>
  <c r="U285" i="8" s="1"/>
  <c r="R285" i="8"/>
  <c r="S285" i="8" s="1"/>
  <c r="P285" i="8"/>
  <c r="Q285" i="8" s="1"/>
  <c r="N285" i="8"/>
  <c r="O285" i="8" s="1"/>
  <c r="L285" i="8"/>
  <c r="M285" i="8" s="1"/>
  <c r="J285" i="8"/>
  <c r="K285" i="8" s="1"/>
  <c r="H285" i="8"/>
  <c r="I285" i="8" s="1"/>
  <c r="F285" i="8"/>
  <c r="G285" i="8" s="1"/>
  <c r="D285" i="8"/>
  <c r="E285" i="8" s="1"/>
  <c r="V284" i="8"/>
  <c r="W284" i="8" s="1"/>
  <c r="T284" i="8"/>
  <c r="U284" i="8" s="1"/>
  <c r="R284" i="8"/>
  <c r="S284" i="8" s="1"/>
  <c r="P284" i="8"/>
  <c r="Q284" i="8" s="1"/>
  <c r="N284" i="8"/>
  <c r="O284" i="8" s="1"/>
  <c r="L284" i="8"/>
  <c r="M284" i="8" s="1"/>
  <c r="J284" i="8"/>
  <c r="K284" i="8" s="1"/>
  <c r="H284" i="8"/>
  <c r="I284" i="8" s="1"/>
  <c r="F284" i="8"/>
  <c r="G284" i="8" s="1"/>
  <c r="D284" i="8"/>
  <c r="E284" i="8" s="1"/>
  <c r="V283" i="8"/>
  <c r="W283" i="8" s="1"/>
  <c r="T283" i="8"/>
  <c r="U283" i="8" s="1"/>
  <c r="R283" i="8"/>
  <c r="S283" i="8" s="1"/>
  <c r="P283" i="8"/>
  <c r="Q283" i="8" s="1"/>
  <c r="N283" i="8"/>
  <c r="O283" i="8" s="1"/>
  <c r="L283" i="8"/>
  <c r="M283" i="8" s="1"/>
  <c r="J283" i="8"/>
  <c r="K283" i="8" s="1"/>
  <c r="H283" i="8"/>
  <c r="I283" i="8" s="1"/>
  <c r="G283" i="8"/>
  <c r="F283" i="8"/>
  <c r="D283" i="8"/>
  <c r="E283" i="8" s="1"/>
  <c r="V282" i="8"/>
  <c r="W282" i="8" s="1"/>
  <c r="T282" i="8"/>
  <c r="U282" i="8" s="1"/>
  <c r="R282" i="8"/>
  <c r="S282" i="8" s="1"/>
  <c r="P282" i="8"/>
  <c r="Q282" i="8" s="1"/>
  <c r="N282" i="8"/>
  <c r="O282" i="8" s="1"/>
  <c r="L282" i="8"/>
  <c r="M282" i="8" s="1"/>
  <c r="J282" i="8"/>
  <c r="K282" i="8" s="1"/>
  <c r="H282" i="8"/>
  <c r="I282" i="8" s="1"/>
  <c r="G282" i="8"/>
  <c r="F282" i="8"/>
  <c r="D282" i="8"/>
  <c r="E282" i="8" s="1"/>
  <c r="V281" i="8"/>
  <c r="W281" i="8" s="1"/>
  <c r="T281" i="8"/>
  <c r="U281" i="8" s="1"/>
  <c r="R281" i="8"/>
  <c r="S281" i="8" s="1"/>
  <c r="P281" i="8"/>
  <c r="Q281" i="8" s="1"/>
  <c r="N281" i="8"/>
  <c r="O281" i="8" s="1"/>
  <c r="L281" i="8"/>
  <c r="M281" i="8" s="1"/>
  <c r="J281" i="8"/>
  <c r="K281" i="8" s="1"/>
  <c r="H281" i="8"/>
  <c r="I281" i="8" s="1"/>
  <c r="F281" i="8"/>
  <c r="G281" i="8" s="1"/>
  <c r="D281" i="8"/>
  <c r="E281" i="8" s="1"/>
  <c r="V280" i="8"/>
  <c r="W280" i="8" s="1"/>
  <c r="T280" i="8"/>
  <c r="U280" i="8" s="1"/>
  <c r="R280" i="8"/>
  <c r="S280" i="8" s="1"/>
  <c r="P280" i="8"/>
  <c r="Q280" i="8" s="1"/>
  <c r="N280" i="8"/>
  <c r="O280" i="8" s="1"/>
  <c r="L280" i="8"/>
  <c r="M280" i="8" s="1"/>
  <c r="J280" i="8"/>
  <c r="K280" i="8" s="1"/>
  <c r="H280" i="8"/>
  <c r="I280" i="8" s="1"/>
  <c r="F280" i="8"/>
  <c r="G280" i="8" s="1"/>
  <c r="D280" i="8"/>
  <c r="E280" i="8" s="1"/>
  <c r="V279" i="8"/>
  <c r="W279" i="8" s="1"/>
  <c r="T279" i="8"/>
  <c r="U279" i="8" s="1"/>
  <c r="R279" i="8"/>
  <c r="S279" i="8" s="1"/>
  <c r="P279" i="8"/>
  <c r="Q279" i="8" s="1"/>
  <c r="O279" i="8"/>
  <c r="N279" i="8"/>
  <c r="L279" i="8"/>
  <c r="M279" i="8" s="1"/>
  <c r="J279" i="8"/>
  <c r="K279" i="8" s="1"/>
  <c r="H279" i="8"/>
  <c r="I279" i="8" s="1"/>
  <c r="F279" i="8"/>
  <c r="G279" i="8" s="1"/>
  <c r="D279" i="8"/>
  <c r="E279" i="8" s="1"/>
  <c r="V278" i="8"/>
  <c r="W278" i="8" s="1"/>
  <c r="T278" i="8"/>
  <c r="U278" i="8" s="1"/>
  <c r="R278" i="8"/>
  <c r="S278" i="8" s="1"/>
  <c r="P278" i="8"/>
  <c r="Q278" i="8" s="1"/>
  <c r="N278" i="8"/>
  <c r="O278" i="8" s="1"/>
  <c r="L278" i="8"/>
  <c r="M278" i="8" s="1"/>
  <c r="J278" i="8"/>
  <c r="K278" i="8" s="1"/>
  <c r="H278" i="8"/>
  <c r="I278" i="8" s="1"/>
  <c r="F278" i="8"/>
  <c r="G278" i="8" s="1"/>
  <c r="D278" i="8"/>
  <c r="E278" i="8" s="1"/>
  <c r="V277" i="8"/>
  <c r="W277" i="8" s="1"/>
  <c r="T277" i="8"/>
  <c r="U277" i="8" s="1"/>
  <c r="R277" i="8"/>
  <c r="S277" i="8" s="1"/>
  <c r="P277" i="8"/>
  <c r="Q277" i="8" s="1"/>
  <c r="N277" i="8"/>
  <c r="O277" i="8" s="1"/>
  <c r="L277" i="8"/>
  <c r="M277" i="8" s="1"/>
  <c r="J277" i="8"/>
  <c r="K277" i="8" s="1"/>
  <c r="H277" i="8"/>
  <c r="I277" i="8" s="1"/>
  <c r="F277" i="8"/>
  <c r="G277" i="8" s="1"/>
  <c r="D277" i="8"/>
  <c r="E277" i="8" s="1"/>
  <c r="V276" i="8"/>
  <c r="W276" i="8" s="1"/>
  <c r="U276" i="8"/>
  <c r="T276" i="8"/>
  <c r="R276" i="8"/>
  <c r="S276" i="8" s="1"/>
  <c r="P276" i="8"/>
  <c r="Q276" i="8" s="1"/>
  <c r="N276" i="8"/>
  <c r="O276" i="8" s="1"/>
  <c r="L276" i="8"/>
  <c r="M276" i="8" s="1"/>
  <c r="J276" i="8"/>
  <c r="K276" i="8" s="1"/>
  <c r="H276" i="8"/>
  <c r="I276" i="8" s="1"/>
  <c r="F276" i="8"/>
  <c r="G276" i="8" s="1"/>
  <c r="D276" i="8"/>
  <c r="E276" i="8" s="1"/>
  <c r="V275" i="8"/>
  <c r="W275" i="8" s="1"/>
  <c r="T275" i="8"/>
  <c r="U275" i="8" s="1"/>
  <c r="R275" i="8"/>
  <c r="S275" i="8" s="1"/>
  <c r="P275" i="8"/>
  <c r="Q275" i="8" s="1"/>
  <c r="N275" i="8"/>
  <c r="O275" i="8" s="1"/>
  <c r="L275" i="8"/>
  <c r="M275" i="8" s="1"/>
  <c r="J275" i="8"/>
  <c r="K275" i="8" s="1"/>
  <c r="H275" i="8"/>
  <c r="I275" i="8" s="1"/>
  <c r="F275" i="8"/>
  <c r="G275" i="8" s="1"/>
  <c r="D275" i="8"/>
  <c r="E275" i="8" s="1"/>
  <c r="V274" i="8"/>
  <c r="W274" i="8" s="1"/>
  <c r="T274" i="8"/>
  <c r="U274" i="8" s="1"/>
  <c r="R274" i="8"/>
  <c r="S274" i="8" s="1"/>
  <c r="P274" i="8"/>
  <c r="Q274" i="8" s="1"/>
  <c r="N274" i="8"/>
  <c r="O274" i="8" s="1"/>
  <c r="L274" i="8"/>
  <c r="M274" i="8" s="1"/>
  <c r="J274" i="8"/>
  <c r="K274" i="8" s="1"/>
  <c r="H274" i="8"/>
  <c r="I274" i="8" s="1"/>
  <c r="F274" i="8"/>
  <c r="G274" i="8" s="1"/>
  <c r="D274" i="8"/>
  <c r="E274" i="8" s="1"/>
  <c r="W273" i="8"/>
  <c r="V273" i="8"/>
  <c r="T273" i="8"/>
  <c r="U273" i="8" s="1"/>
  <c r="R273" i="8"/>
  <c r="S273" i="8" s="1"/>
  <c r="P273" i="8"/>
  <c r="Q273" i="8" s="1"/>
  <c r="N273" i="8"/>
  <c r="O273" i="8" s="1"/>
  <c r="L273" i="8"/>
  <c r="M273" i="8" s="1"/>
  <c r="J273" i="8"/>
  <c r="K273" i="8" s="1"/>
  <c r="H273" i="8"/>
  <c r="I273" i="8" s="1"/>
  <c r="F273" i="8"/>
  <c r="G273" i="8" s="1"/>
  <c r="D273" i="8"/>
  <c r="E273" i="8" s="1"/>
  <c r="V272" i="8"/>
  <c r="W272" i="8" s="1"/>
  <c r="T272" i="8"/>
  <c r="U272" i="8" s="1"/>
  <c r="R272" i="8"/>
  <c r="S272" i="8" s="1"/>
  <c r="P272" i="8"/>
  <c r="Q272" i="8" s="1"/>
  <c r="N272" i="8"/>
  <c r="O272" i="8" s="1"/>
  <c r="L272" i="8"/>
  <c r="M272" i="8" s="1"/>
  <c r="J272" i="8"/>
  <c r="K272" i="8" s="1"/>
  <c r="H272" i="8"/>
  <c r="I272" i="8" s="1"/>
  <c r="F272" i="8"/>
  <c r="G272" i="8" s="1"/>
  <c r="D272" i="8"/>
  <c r="E272" i="8" s="1"/>
  <c r="V271" i="8"/>
  <c r="W271" i="8" s="1"/>
  <c r="T271" i="8"/>
  <c r="U271" i="8" s="1"/>
  <c r="R271" i="8"/>
  <c r="S271" i="8" s="1"/>
  <c r="P271" i="8"/>
  <c r="Q271" i="8" s="1"/>
  <c r="N271" i="8"/>
  <c r="O271" i="8" s="1"/>
  <c r="L271" i="8"/>
  <c r="M271" i="8" s="1"/>
  <c r="J271" i="8"/>
  <c r="K271" i="8" s="1"/>
  <c r="H271" i="8"/>
  <c r="I271" i="8" s="1"/>
  <c r="F271" i="8"/>
  <c r="G271" i="8" s="1"/>
  <c r="D271" i="8"/>
  <c r="E271" i="8" s="1"/>
  <c r="V270" i="8"/>
  <c r="W270" i="8" s="1"/>
  <c r="T270" i="8"/>
  <c r="U270" i="8" s="1"/>
  <c r="R270" i="8"/>
  <c r="S270" i="8" s="1"/>
  <c r="P270" i="8"/>
  <c r="Q270" i="8" s="1"/>
  <c r="N270" i="8"/>
  <c r="O270" i="8" s="1"/>
  <c r="L270" i="8"/>
  <c r="M270" i="8" s="1"/>
  <c r="J270" i="8"/>
  <c r="K270" i="8" s="1"/>
  <c r="H270" i="8"/>
  <c r="I270" i="8" s="1"/>
  <c r="F270" i="8"/>
  <c r="G270" i="8" s="1"/>
  <c r="D270" i="8"/>
  <c r="E270" i="8" s="1"/>
  <c r="V269" i="8"/>
  <c r="W269" i="8" s="1"/>
  <c r="U269" i="8"/>
  <c r="T269" i="8"/>
  <c r="R269" i="8"/>
  <c r="S269" i="8" s="1"/>
  <c r="P269" i="8"/>
  <c r="Q269" i="8" s="1"/>
  <c r="N269" i="8"/>
  <c r="O269" i="8" s="1"/>
  <c r="L269" i="8"/>
  <c r="M269" i="8" s="1"/>
  <c r="J269" i="8"/>
  <c r="K269" i="8" s="1"/>
  <c r="H269" i="8"/>
  <c r="I269" i="8" s="1"/>
  <c r="F269" i="8"/>
  <c r="G269" i="8" s="1"/>
  <c r="D269" i="8"/>
  <c r="E269" i="8" s="1"/>
  <c r="V268" i="8"/>
  <c r="W268" i="8" s="1"/>
  <c r="T268" i="8"/>
  <c r="U268" i="8" s="1"/>
  <c r="R268" i="8"/>
  <c r="S268" i="8" s="1"/>
  <c r="P268" i="8"/>
  <c r="Q268" i="8" s="1"/>
  <c r="N268" i="8"/>
  <c r="O268" i="8" s="1"/>
  <c r="L268" i="8"/>
  <c r="M268" i="8" s="1"/>
  <c r="J268" i="8"/>
  <c r="K268" i="8" s="1"/>
  <c r="H268" i="8"/>
  <c r="I268" i="8" s="1"/>
  <c r="F268" i="8"/>
  <c r="G268" i="8" s="1"/>
  <c r="D268" i="8"/>
  <c r="E268" i="8" s="1"/>
  <c r="V267" i="8"/>
  <c r="W267" i="8" s="1"/>
  <c r="T267" i="8"/>
  <c r="U267" i="8" s="1"/>
  <c r="R267" i="8"/>
  <c r="S267" i="8" s="1"/>
  <c r="P267" i="8"/>
  <c r="Q267" i="8" s="1"/>
  <c r="N267" i="8"/>
  <c r="O267" i="8" s="1"/>
  <c r="L267" i="8"/>
  <c r="M267" i="8" s="1"/>
  <c r="J267" i="8"/>
  <c r="K267" i="8" s="1"/>
  <c r="H267" i="8"/>
  <c r="I267" i="8" s="1"/>
  <c r="F267" i="8"/>
  <c r="G267" i="8" s="1"/>
  <c r="D267" i="8"/>
  <c r="E267" i="8" s="1"/>
  <c r="V266" i="8"/>
  <c r="W266" i="8" s="1"/>
  <c r="T266" i="8"/>
  <c r="U266" i="8" s="1"/>
  <c r="R266" i="8"/>
  <c r="S266" i="8" s="1"/>
  <c r="P266" i="8"/>
  <c r="Q266" i="8" s="1"/>
  <c r="N266" i="8"/>
  <c r="O266" i="8" s="1"/>
  <c r="L266" i="8"/>
  <c r="M266" i="8" s="1"/>
  <c r="J266" i="8"/>
  <c r="K266" i="8" s="1"/>
  <c r="H266" i="8"/>
  <c r="I266" i="8" s="1"/>
  <c r="F266" i="8"/>
  <c r="G266" i="8" s="1"/>
  <c r="D266" i="8"/>
  <c r="E266" i="8" s="1"/>
  <c r="V265" i="8"/>
  <c r="W265" i="8" s="1"/>
  <c r="T265" i="8"/>
  <c r="U265" i="8" s="1"/>
  <c r="R265" i="8"/>
  <c r="S265" i="8" s="1"/>
  <c r="P265" i="8"/>
  <c r="Q265" i="8" s="1"/>
  <c r="N265" i="8"/>
  <c r="O265" i="8" s="1"/>
  <c r="L265" i="8"/>
  <c r="M265" i="8" s="1"/>
  <c r="J265" i="8"/>
  <c r="K265" i="8" s="1"/>
  <c r="H265" i="8"/>
  <c r="I265" i="8" s="1"/>
  <c r="F265" i="8"/>
  <c r="G265" i="8" s="1"/>
  <c r="D265" i="8"/>
  <c r="E265" i="8" s="1"/>
  <c r="V264" i="8"/>
  <c r="W264" i="8" s="1"/>
  <c r="T264" i="8"/>
  <c r="U264" i="8" s="1"/>
  <c r="R264" i="8"/>
  <c r="S264" i="8" s="1"/>
  <c r="P264" i="8"/>
  <c r="Q264" i="8" s="1"/>
  <c r="N264" i="8"/>
  <c r="O264" i="8" s="1"/>
  <c r="L264" i="8"/>
  <c r="M264" i="8" s="1"/>
  <c r="J264" i="8"/>
  <c r="K264" i="8" s="1"/>
  <c r="H264" i="8"/>
  <c r="I264" i="8" s="1"/>
  <c r="F264" i="8"/>
  <c r="G264" i="8" s="1"/>
  <c r="D264" i="8"/>
  <c r="E264" i="8" s="1"/>
  <c r="V263" i="8"/>
  <c r="W263" i="8" s="1"/>
  <c r="T263" i="8"/>
  <c r="U263" i="8" s="1"/>
  <c r="R263" i="8"/>
  <c r="S263" i="8" s="1"/>
  <c r="P263" i="8"/>
  <c r="Q263" i="8" s="1"/>
  <c r="N263" i="8"/>
  <c r="O263" i="8" s="1"/>
  <c r="L263" i="8"/>
  <c r="M263" i="8" s="1"/>
  <c r="J263" i="8"/>
  <c r="K263" i="8" s="1"/>
  <c r="H263" i="8"/>
  <c r="I263" i="8" s="1"/>
  <c r="F263" i="8"/>
  <c r="G263" i="8" s="1"/>
  <c r="E263" i="8"/>
  <c r="D263" i="8"/>
  <c r="V262" i="8"/>
  <c r="W262" i="8" s="1"/>
  <c r="T262" i="8"/>
  <c r="U262" i="8" s="1"/>
  <c r="R262" i="8"/>
  <c r="S262" i="8" s="1"/>
  <c r="P262" i="8"/>
  <c r="Q262" i="8" s="1"/>
  <c r="N262" i="8"/>
  <c r="O262" i="8" s="1"/>
  <c r="L262" i="8"/>
  <c r="M262" i="8" s="1"/>
  <c r="J262" i="8"/>
  <c r="K262" i="8" s="1"/>
  <c r="H262" i="8"/>
  <c r="I262" i="8" s="1"/>
  <c r="F262" i="8"/>
  <c r="G262" i="8" s="1"/>
  <c r="D262" i="8"/>
  <c r="E262" i="8" s="1"/>
  <c r="V261" i="8"/>
  <c r="W261" i="8" s="1"/>
  <c r="T261" i="8"/>
  <c r="U261" i="8" s="1"/>
  <c r="R261" i="8"/>
  <c r="S261" i="8" s="1"/>
  <c r="P261" i="8"/>
  <c r="Q261" i="8" s="1"/>
  <c r="N261" i="8"/>
  <c r="O261" i="8" s="1"/>
  <c r="L261" i="8"/>
  <c r="M261" i="8" s="1"/>
  <c r="K261" i="8"/>
  <c r="J261" i="8"/>
  <c r="H261" i="8"/>
  <c r="I261" i="8" s="1"/>
  <c r="F261" i="8"/>
  <c r="G261" i="8" s="1"/>
  <c r="D261" i="8"/>
  <c r="E261" i="8" s="1"/>
  <c r="V260" i="8"/>
  <c r="W260" i="8" s="1"/>
  <c r="T260" i="8"/>
  <c r="U260" i="8" s="1"/>
  <c r="R260" i="8"/>
  <c r="S260" i="8" s="1"/>
  <c r="P260" i="8"/>
  <c r="Q260" i="8" s="1"/>
  <c r="N260" i="8"/>
  <c r="O260" i="8" s="1"/>
  <c r="M260" i="8"/>
  <c r="L260" i="8"/>
  <c r="K260" i="8"/>
  <c r="J260" i="8"/>
  <c r="H260" i="8"/>
  <c r="I260" i="8" s="1"/>
  <c r="F260" i="8"/>
  <c r="G260" i="8" s="1"/>
  <c r="D260" i="8"/>
  <c r="E260" i="8" s="1"/>
  <c r="V259" i="8"/>
  <c r="W259" i="8" s="1"/>
  <c r="T259" i="8"/>
  <c r="U259" i="8" s="1"/>
  <c r="R259" i="8"/>
  <c r="S259" i="8" s="1"/>
  <c r="P259" i="8"/>
  <c r="Q259" i="8" s="1"/>
  <c r="N259" i="8"/>
  <c r="O259" i="8" s="1"/>
  <c r="L259" i="8"/>
  <c r="M259" i="8" s="1"/>
  <c r="J259" i="8"/>
  <c r="K259" i="8" s="1"/>
  <c r="H259" i="8"/>
  <c r="I259" i="8" s="1"/>
  <c r="F259" i="8"/>
  <c r="G259" i="8" s="1"/>
  <c r="D259" i="8"/>
  <c r="E259" i="8" s="1"/>
  <c r="V258" i="8"/>
  <c r="W258" i="8" s="1"/>
  <c r="T258" i="8"/>
  <c r="U258" i="8" s="1"/>
  <c r="R258" i="8"/>
  <c r="S258" i="8" s="1"/>
  <c r="P258" i="8"/>
  <c r="Q258" i="8" s="1"/>
  <c r="N258" i="8"/>
  <c r="O258" i="8" s="1"/>
  <c r="L258" i="8"/>
  <c r="M258" i="8" s="1"/>
  <c r="J258" i="8"/>
  <c r="K258" i="8" s="1"/>
  <c r="H258" i="8"/>
  <c r="I258" i="8" s="1"/>
  <c r="F258" i="8"/>
  <c r="G258" i="8" s="1"/>
  <c r="D258" i="8"/>
  <c r="E258" i="8" s="1"/>
  <c r="V257" i="8"/>
  <c r="W257" i="8" s="1"/>
  <c r="T257" i="8"/>
  <c r="U257" i="8" s="1"/>
  <c r="R257" i="8"/>
  <c r="S257" i="8" s="1"/>
  <c r="P257" i="8"/>
  <c r="Q257" i="8" s="1"/>
  <c r="N257" i="8"/>
  <c r="O257" i="8" s="1"/>
  <c r="L257" i="8"/>
  <c r="M257" i="8" s="1"/>
  <c r="J257" i="8"/>
  <c r="K257" i="8" s="1"/>
  <c r="H257" i="8"/>
  <c r="I257" i="8" s="1"/>
  <c r="F257" i="8"/>
  <c r="G257" i="8" s="1"/>
  <c r="D257" i="8"/>
  <c r="E257" i="8" s="1"/>
  <c r="V256" i="8"/>
  <c r="W256" i="8" s="1"/>
  <c r="T256" i="8"/>
  <c r="U256" i="8" s="1"/>
  <c r="R256" i="8"/>
  <c r="S256" i="8" s="1"/>
  <c r="P256" i="8"/>
  <c r="Q256" i="8" s="1"/>
  <c r="N256" i="8"/>
  <c r="O256" i="8" s="1"/>
  <c r="L256" i="8"/>
  <c r="M256" i="8" s="1"/>
  <c r="J256" i="8"/>
  <c r="K256" i="8" s="1"/>
  <c r="H256" i="8"/>
  <c r="I256" i="8" s="1"/>
  <c r="F256" i="8"/>
  <c r="G256" i="8" s="1"/>
  <c r="D256" i="8"/>
  <c r="E256" i="8" s="1"/>
  <c r="V255" i="8"/>
  <c r="W255" i="8" s="1"/>
  <c r="T255" i="8"/>
  <c r="U255" i="8" s="1"/>
  <c r="R255" i="8"/>
  <c r="S255" i="8" s="1"/>
  <c r="P255" i="8"/>
  <c r="Q255" i="8" s="1"/>
  <c r="N255" i="8"/>
  <c r="O255" i="8" s="1"/>
  <c r="L255" i="8"/>
  <c r="M255" i="8" s="1"/>
  <c r="J255" i="8"/>
  <c r="K255" i="8" s="1"/>
  <c r="H255" i="8"/>
  <c r="I255" i="8" s="1"/>
  <c r="F255" i="8"/>
  <c r="G255" i="8" s="1"/>
  <c r="D255" i="8"/>
  <c r="E255" i="8" s="1"/>
  <c r="V254" i="8"/>
  <c r="W254" i="8" s="1"/>
  <c r="T254" i="8"/>
  <c r="U254" i="8" s="1"/>
  <c r="R254" i="8"/>
  <c r="S254" i="8" s="1"/>
  <c r="P254" i="8"/>
  <c r="Q254" i="8" s="1"/>
  <c r="N254" i="8"/>
  <c r="O254" i="8" s="1"/>
  <c r="L254" i="8"/>
  <c r="M254" i="8" s="1"/>
  <c r="J254" i="8"/>
  <c r="K254" i="8" s="1"/>
  <c r="H254" i="8"/>
  <c r="I254" i="8" s="1"/>
  <c r="F254" i="8"/>
  <c r="G254" i="8" s="1"/>
  <c r="D254" i="8"/>
  <c r="E254" i="8" s="1"/>
  <c r="V253" i="8"/>
  <c r="W253" i="8" s="1"/>
  <c r="T253" i="8"/>
  <c r="U253" i="8" s="1"/>
  <c r="R253" i="8"/>
  <c r="S253" i="8" s="1"/>
  <c r="P253" i="8"/>
  <c r="Q253" i="8" s="1"/>
  <c r="N253" i="8"/>
  <c r="O253" i="8" s="1"/>
  <c r="L253" i="8"/>
  <c r="M253" i="8" s="1"/>
  <c r="J253" i="8"/>
  <c r="K253" i="8" s="1"/>
  <c r="H253" i="8"/>
  <c r="I253" i="8" s="1"/>
  <c r="F253" i="8"/>
  <c r="G253" i="8" s="1"/>
  <c r="D253" i="8"/>
  <c r="E253" i="8" s="1"/>
  <c r="V252" i="8"/>
  <c r="W252" i="8" s="1"/>
  <c r="T252" i="8"/>
  <c r="U252" i="8" s="1"/>
  <c r="R252" i="8"/>
  <c r="S252" i="8" s="1"/>
  <c r="P252" i="8"/>
  <c r="Q252" i="8" s="1"/>
  <c r="N252" i="8"/>
  <c r="O252" i="8" s="1"/>
  <c r="L252" i="8"/>
  <c r="M252" i="8" s="1"/>
  <c r="J252" i="8"/>
  <c r="K252" i="8" s="1"/>
  <c r="H252" i="8"/>
  <c r="I252" i="8" s="1"/>
  <c r="F252" i="8"/>
  <c r="G252" i="8" s="1"/>
  <c r="D252" i="8"/>
  <c r="E252" i="8" s="1"/>
  <c r="V251" i="8"/>
  <c r="W251" i="8" s="1"/>
  <c r="T251" i="8"/>
  <c r="U251" i="8" s="1"/>
  <c r="R251" i="8"/>
  <c r="S251" i="8" s="1"/>
  <c r="P251" i="8"/>
  <c r="Q251" i="8" s="1"/>
  <c r="N251" i="8"/>
  <c r="O251" i="8" s="1"/>
  <c r="L251" i="8"/>
  <c r="M251" i="8" s="1"/>
  <c r="J251" i="8"/>
  <c r="K251" i="8" s="1"/>
  <c r="H251" i="8"/>
  <c r="I251" i="8" s="1"/>
  <c r="F251" i="8"/>
  <c r="G251" i="8" s="1"/>
  <c r="E251" i="8"/>
  <c r="D251" i="8"/>
  <c r="V250" i="8"/>
  <c r="W250" i="8" s="1"/>
  <c r="T250" i="8"/>
  <c r="U250" i="8" s="1"/>
  <c r="R250" i="8"/>
  <c r="S250" i="8" s="1"/>
  <c r="P250" i="8"/>
  <c r="Q250" i="8" s="1"/>
  <c r="N250" i="8"/>
  <c r="O250" i="8" s="1"/>
  <c r="L250" i="8"/>
  <c r="M250" i="8" s="1"/>
  <c r="J250" i="8"/>
  <c r="K250" i="8" s="1"/>
  <c r="H250" i="8"/>
  <c r="I250" i="8" s="1"/>
  <c r="F250" i="8"/>
  <c r="G250" i="8" s="1"/>
  <c r="D250" i="8"/>
  <c r="E250" i="8" s="1"/>
  <c r="V249" i="8"/>
  <c r="W249" i="8" s="1"/>
  <c r="T249" i="8"/>
  <c r="U249" i="8" s="1"/>
  <c r="R249" i="8"/>
  <c r="S249" i="8" s="1"/>
  <c r="P249" i="8"/>
  <c r="Q249" i="8" s="1"/>
  <c r="N249" i="8"/>
  <c r="O249" i="8" s="1"/>
  <c r="L249" i="8"/>
  <c r="M249" i="8" s="1"/>
  <c r="J249" i="8"/>
  <c r="K249" i="8" s="1"/>
  <c r="H249" i="8"/>
  <c r="I249" i="8" s="1"/>
  <c r="F249" i="8"/>
  <c r="G249" i="8" s="1"/>
  <c r="D249" i="8"/>
  <c r="E249" i="8" s="1"/>
  <c r="V248" i="8"/>
  <c r="W248" i="8" s="1"/>
  <c r="T248" i="8"/>
  <c r="U248" i="8" s="1"/>
  <c r="R248" i="8"/>
  <c r="S248" i="8" s="1"/>
  <c r="P248" i="8"/>
  <c r="Q248" i="8" s="1"/>
  <c r="N248" i="8"/>
  <c r="O248" i="8" s="1"/>
  <c r="L248" i="8"/>
  <c r="M248" i="8" s="1"/>
  <c r="J248" i="8"/>
  <c r="K248" i="8" s="1"/>
  <c r="H248" i="8"/>
  <c r="I248" i="8" s="1"/>
  <c r="F248" i="8"/>
  <c r="G248" i="8" s="1"/>
  <c r="D248" i="8"/>
  <c r="E248" i="8" s="1"/>
  <c r="V247" i="8"/>
  <c r="W247" i="8" s="1"/>
  <c r="T247" i="8"/>
  <c r="U247" i="8" s="1"/>
  <c r="R247" i="8"/>
  <c r="S247" i="8" s="1"/>
  <c r="P247" i="8"/>
  <c r="Q247" i="8" s="1"/>
  <c r="O247" i="8"/>
  <c r="N247" i="8"/>
  <c r="L247" i="8"/>
  <c r="M247" i="8" s="1"/>
  <c r="J247" i="8"/>
  <c r="K247" i="8" s="1"/>
  <c r="H247" i="8"/>
  <c r="I247" i="8" s="1"/>
  <c r="F247" i="8"/>
  <c r="G247" i="8" s="1"/>
  <c r="D247" i="8"/>
  <c r="E247" i="8" s="1"/>
  <c r="W246" i="8"/>
  <c r="V246" i="8"/>
  <c r="T246" i="8"/>
  <c r="U246" i="8" s="1"/>
  <c r="R246" i="8"/>
  <c r="S246" i="8" s="1"/>
  <c r="P246" i="8"/>
  <c r="Q246" i="8" s="1"/>
  <c r="N246" i="8"/>
  <c r="O246" i="8" s="1"/>
  <c r="L246" i="8"/>
  <c r="M246" i="8" s="1"/>
  <c r="J246" i="8"/>
  <c r="K246" i="8" s="1"/>
  <c r="H246" i="8"/>
  <c r="I246" i="8" s="1"/>
  <c r="G246" i="8"/>
  <c r="F246" i="8"/>
  <c r="D246" i="8"/>
  <c r="E246" i="8" s="1"/>
  <c r="V245" i="8"/>
  <c r="W245" i="8" s="1"/>
  <c r="T245" i="8"/>
  <c r="U245" i="8" s="1"/>
  <c r="R245" i="8"/>
  <c r="S245" i="8" s="1"/>
  <c r="P245" i="8"/>
  <c r="Q245" i="8" s="1"/>
  <c r="O245" i="8"/>
  <c r="N245" i="8"/>
  <c r="L245" i="8"/>
  <c r="M245" i="8" s="1"/>
  <c r="J245" i="8"/>
  <c r="K245" i="8" s="1"/>
  <c r="H245" i="8"/>
  <c r="I245" i="8" s="1"/>
  <c r="F245" i="8"/>
  <c r="G245" i="8" s="1"/>
  <c r="D245" i="8"/>
  <c r="E245" i="8" s="1"/>
  <c r="W244" i="8"/>
  <c r="V244" i="8"/>
  <c r="T244" i="8"/>
  <c r="U244" i="8" s="1"/>
  <c r="R244" i="8"/>
  <c r="S244" i="8" s="1"/>
  <c r="P244" i="8"/>
  <c r="Q244" i="8" s="1"/>
  <c r="N244" i="8"/>
  <c r="O244" i="8" s="1"/>
  <c r="L244" i="8"/>
  <c r="M244" i="8" s="1"/>
  <c r="J244" i="8"/>
  <c r="K244" i="8" s="1"/>
  <c r="H244" i="8"/>
  <c r="I244" i="8" s="1"/>
  <c r="G244" i="8"/>
  <c r="F244" i="8"/>
  <c r="D244" i="8"/>
  <c r="E244" i="8" s="1"/>
  <c r="V243" i="8"/>
  <c r="W243" i="8" s="1"/>
  <c r="T243" i="8"/>
  <c r="U243" i="8" s="1"/>
  <c r="R243" i="8"/>
  <c r="S243" i="8" s="1"/>
  <c r="P243" i="8"/>
  <c r="Q243" i="8" s="1"/>
  <c r="O243" i="8"/>
  <c r="N243" i="8"/>
  <c r="L243" i="8"/>
  <c r="M243" i="8" s="1"/>
  <c r="J243" i="8"/>
  <c r="K243" i="8" s="1"/>
  <c r="H243" i="8"/>
  <c r="I243" i="8" s="1"/>
  <c r="F243" i="8"/>
  <c r="G243" i="8" s="1"/>
  <c r="D243" i="8"/>
  <c r="E243" i="8" s="1"/>
  <c r="V242" i="8"/>
  <c r="W242" i="8" s="1"/>
  <c r="T242" i="8"/>
  <c r="U242" i="8" s="1"/>
  <c r="R242" i="8"/>
  <c r="S242" i="8" s="1"/>
  <c r="P242" i="8"/>
  <c r="Q242" i="8" s="1"/>
  <c r="N242" i="8"/>
  <c r="O242" i="8" s="1"/>
  <c r="L242" i="8"/>
  <c r="M242" i="8" s="1"/>
  <c r="J242" i="8"/>
  <c r="K242" i="8" s="1"/>
  <c r="H242" i="8"/>
  <c r="I242" i="8" s="1"/>
  <c r="F242" i="8"/>
  <c r="G242" i="8" s="1"/>
  <c r="D242" i="8"/>
  <c r="E242" i="8" s="1"/>
  <c r="V241" i="8"/>
  <c r="W241" i="8" s="1"/>
  <c r="T241" i="8"/>
  <c r="U241" i="8" s="1"/>
  <c r="R241" i="8"/>
  <c r="S241" i="8" s="1"/>
  <c r="P241" i="8"/>
  <c r="Q241" i="8" s="1"/>
  <c r="N241" i="8"/>
  <c r="O241" i="8" s="1"/>
  <c r="L241" i="8"/>
  <c r="M241" i="8" s="1"/>
  <c r="J241" i="8"/>
  <c r="K241" i="8" s="1"/>
  <c r="H241" i="8"/>
  <c r="I241" i="8" s="1"/>
  <c r="F241" i="8"/>
  <c r="G241" i="8" s="1"/>
  <c r="D241" i="8"/>
  <c r="E241" i="8" s="1"/>
  <c r="V240" i="8"/>
  <c r="W240" i="8" s="1"/>
  <c r="T240" i="8"/>
  <c r="U240" i="8" s="1"/>
  <c r="R240" i="8"/>
  <c r="S240" i="8" s="1"/>
  <c r="P240" i="8"/>
  <c r="Q240" i="8" s="1"/>
  <c r="N240" i="8"/>
  <c r="O240" i="8" s="1"/>
  <c r="L240" i="8"/>
  <c r="M240" i="8" s="1"/>
  <c r="J240" i="8"/>
  <c r="K240" i="8" s="1"/>
  <c r="H240" i="8"/>
  <c r="I240" i="8" s="1"/>
  <c r="F240" i="8"/>
  <c r="G240" i="8" s="1"/>
  <c r="D240" i="8"/>
  <c r="E240" i="8" s="1"/>
  <c r="V239" i="8"/>
  <c r="W239" i="8" s="1"/>
  <c r="T239" i="8"/>
  <c r="U239" i="8" s="1"/>
  <c r="R239" i="8"/>
  <c r="S239" i="8" s="1"/>
  <c r="P239" i="8"/>
  <c r="Q239" i="8" s="1"/>
  <c r="O239" i="8"/>
  <c r="N239" i="8"/>
  <c r="L239" i="8"/>
  <c r="M239" i="8" s="1"/>
  <c r="J239" i="8"/>
  <c r="K239" i="8" s="1"/>
  <c r="H239" i="8"/>
  <c r="I239" i="8" s="1"/>
  <c r="G239" i="8"/>
  <c r="F239" i="8"/>
  <c r="D239" i="8"/>
  <c r="E239" i="8" s="1"/>
  <c r="W238" i="8"/>
  <c r="V238" i="8"/>
  <c r="T238" i="8"/>
  <c r="U238" i="8" s="1"/>
  <c r="R238" i="8"/>
  <c r="S238" i="8" s="1"/>
  <c r="P238" i="8"/>
  <c r="Q238" i="8" s="1"/>
  <c r="O238" i="8"/>
  <c r="N238" i="8"/>
  <c r="L238" i="8"/>
  <c r="M238" i="8" s="1"/>
  <c r="J238" i="8"/>
  <c r="K238" i="8" s="1"/>
  <c r="H238" i="8"/>
  <c r="I238" i="8" s="1"/>
  <c r="F238" i="8"/>
  <c r="G238" i="8" s="1"/>
  <c r="D238" i="8"/>
  <c r="E238" i="8" s="1"/>
  <c r="W237" i="8"/>
  <c r="V237" i="8"/>
  <c r="T237" i="8"/>
  <c r="U237" i="8" s="1"/>
  <c r="R237" i="8"/>
  <c r="S237" i="8" s="1"/>
  <c r="P237" i="8"/>
  <c r="Q237" i="8" s="1"/>
  <c r="N237" i="8"/>
  <c r="O237" i="8" s="1"/>
  <c r="L237" i="8"/>
  <c r="M237" i="8" s="1"/>
  <c r="J237" i="8"/>
  <c r="K237" i="8" s="1"/>
  <c r="H237" i="8"/>
  <c r="I237" i="8" s="1"/>
  <c r="F237" i="8"/>
  <c r="G237" i="8" s="1"/>
  <c r="D237" i="8"/>
  <c r="E237" i="8" s="1"/>
  <c r="W236" i="8"/>
  <c r="V236" i="8"/>
  <c r="T236" i="8"/>
  <c r="U236" i="8" s="1"/>
  <c r="R236" i="8"/>
  <c r="S236" i="8" s="1"/>
  <c r="P236" i="8"/>
  <c r="Q236" i="8" s="1"/>
  <c r="N236" i="8"/>
  <c r="O236" i="8" s="1"/>
  <c r="L236" i="8"/>
  <c r="M236" i="8" s="1"/>
  <c r="J236" i="8"/>
  <c r="K236" i="8" s="1"/>
  <c r="H236" i="8"/>
  <c r="I236" i="8" s="1"/>
  <c r="F236" i="8"/>
  <c r="G236" i="8" s="1"/>
  <c r="D236" i="8"/>
  <c r="E236" i="8" s="1"/>
  <c r="V235" i="8"/>
  <c r="W235" i="8" s="1"/>
  <c r="T235" i="8"/>
  <c r="U235" i="8" s="1"/>
  <c r="R235" i="8"/>
  <c r="S235" i="8" s="1"/>
  <c r="P235" i="8"/>
  <c r="Q235" i="8" s="1"/>
  <c r="N235" i="8"/>
  <c r="O235" i="8" s="1"/>
  <c r="L235" i="8"/>
  <c r="M235" i="8" s="1"/>
  <c r="J235" i="8"/>
  <c r="K235" i="8" s="1"/>
  <c r="H235" i="8"/>
  <c r="I235" i="8" s="1"/>
  <c r="F235" i="8"/>
  <c r="G235" i="8" s="1"/>
  <c r="D235" i="8"/>
  <c r="E235" i="8" s="1"/>
  <c r="V234" i="8"/>
  <c r="W234" i="8" s="1"/>
  <c r="T234" i="8"/>
  <c r="U234" i="8" s="1"/>
  <c r="R234" i="8"/>
  <c r="S234" i="8" s="1"/>
  <c r="P234" i="8"/>
  <c r="Q234" i="8" s="1"/>
  <c r="N234" i="8"/>
  <c r="O234" i="8" s="1"/>
  <c r="L234" i="8"/>
  <c r="M234" i="8" s="1"/>
  <c r="J234" i="8"/>
  <c r="K234" i="8" s="1"/>
  <c r="H234" i="8"/>
  <c r="I234" i="8" s="1"/>
  <c r="F234" i="8"/>
  <c r="G234" i="8" s="1"/>
  <c r="D234" i="8"/>
  <c r="E234" i="8" s="1"/>
  <c r="V233" i="8"/>
  <c r="W233" i="8" s="1"/>
  <c r="T233" i="8"/>
  <c r="U233" i="8" s="1"/>
  <c r="R233" i="8"/>
  <c r="S233" i="8" s="1"/>
  <c r="P233" i="8"/>
  <c r="Q233" i="8" s="1"/>
  <c r="N233" i="8"/>
  <c r="O233" i="8" s="1"/>
  <c r="L233" i="8"/>
  <c r="M233" i="8" s="1"/>
  <c r="J233" i="8"/>
  <c r="K233" i="8" s="1"/>
  <c r="H233" i="8"/>
  <c r="I233" i="8" s="1"/>
  <c r="F233" i="8"/>
  <c r="G233" i="8" s="1"/>
  <c r="D233" i="8"/>
  <c r="E233" i="8" s="1"/>
  <c r="V232" i="8"/>
  <c r="W232" i="8" s="1"/>
  <c r="T232" i="8"/>
  <c r="U232" i="8" s="1"/>
  <c r="R232" i="8"/>
  <c r="S232" i="8" s="1"/>
  <c r="P232" i="8"/>
  <c r="Q232" i="8" s="1"/>
  <c r="N232" i="8"/>
  <c r="O232" i="8" s="1"/>
  <c r="L232" i="8"/>
  <c r="M232" i="8" s="1"/>
  <c r="J232" i="8"/>
  <c r="K232" i="8" s="1"/>
  <c r="H232" i="8"/>
  <c r="I232" i="8" s="1"/>
  <c r="F232" i="8"/>
  <c r="G232" i="8" s="1"/>
  <c r="D232" i="8"/>
  <c r="E232" i="8" s="1"/>
  <c r="V231" i="8"/>
  <c r="W231" i="8" s="1"/>
  <c r="T231" i="8"/>
  <c r="U231" i="8" s="1"/>
  <c r="R231" i="8"/>
  <c r="S231" i="8" s="1"/>
  <c r="P231" i="8"/>
  <c r="Q231" i="8" s="1"/>
  <c r="N231" i="8"/>
  <c r="O231" i="8" s="1"/>
  <c r="L231" i="8"/>
  <c r="M231" i="8" s="1"/>
  <c r="J231" i="8"/>
  <c r="K231" i="8" s="1"/>
  <c r="H231" i="8"/>
  <c r="I231" i="8" s="1"/>
  <c r="F231" i="8"/>
  <c r="G231" i="8" s="1"/>
  <c r="D231" i="8"/>
  <c r="E231" i="8" s="1"/>
  <c r="W230" i="8"/>
  <c r="V230" i="8"/>
  <c r="T230" i="8"/>
  <c r="U230" i="8" s="1"/>
  <c r="R230" i="8"/>
  <c r="S230" i="8" s="1"/>
  <c r="P230" i="8"/>
  <c r="Q230" i="8" s="1"/>
  <c r="N230" i="8"/>
  <c r="O230" i="8" s="1"/>
  <c r="L230" i="8"/>
  <c r="M230" i="8" s="1"/>
  <c r="J230" i="8"/>
  <c r="K230" i="8" s="1"/>
  <c r="I230" i="8"/>
  <c r="F230" i="8"/>
  <c r="G230" i="8" s="1"/>
  <c r="D230" i="8"/>
  <c r="E230" i="8" s="1"/>
  <c r="V229" i="8"/>
  <c r="W229" i="8" s="1"/>
  <c r="T229" i="8"/>
  <c r="U229" i="8" s="1"/>
  <c r="R229" i="8"/>
  <c r="S229" i="8" s="1"/>
  <c r="P229" i="8"/>
  <c r="Q229" i="8" s="1"/>
  <c r="O229" i="8"/>
  <c r="N229" i="8"/>
  <c r="L229" i="8"/>
  <c r="M229" i="8" s="1"/>
  <c r="J229" i="8"/>
  <c r="K229" i="8" s="1"/>
  <c r="H229" i="8"/>
  <c r="I229" i="8" s="1"/>
  <c r="F229" i="8"/>
  <c r="G229" i="8" s="1"/>
  <c r="D229" i="8"/>
  <c r="E229" i="8" s="1"/>
  <c r="V228" i="8"/>
  <c r="W228" i="8" s="1"/>
  <c r="T228" i="8"/>
  <c r="U228" i="8" s="1"/>
  <c r="R228" i="8"/>
  <c r="S228" i="8" s="1"/>
  <c r="P228" i="8"/>
  <c r="Q228" i="8" s="1"/>
  <c r="N228" i="8"/>
  <c r="O228" i="8" s="1"/>
  <c r="L228" i="8"/>
  <c r="M228" i="8" s="1"/>
  <c r="J228" i="8"/>
  <c r="K228" i="8" s="1"/>
  <c r="H228" i="8"/>
  <c r="I228" i="8" s="1"/>
  <c r="F228" i="8"/>
  <c r="G228" i="8" s="1"/>
  <c r="D228" i="8"/>
  <c r="E228" i="8" s="1"/>
  <c r="V227" i="8"/>
  <c r="W227" i="8" s="1"/>
  <c r="T227" i="8"/>
  <c r="U227" i="8" s="1"/>
  <c r="R227" i="8"/>
  <c r="S227" i="8" s="1"/>
  <c r="P227" i="8"/>
  <c r="Q227" i="8" s="1"/>
  <c r="N227" i="8"/>
  <c r="O227" i="8" s="1"/>
  <c r="L227" i="8"/>
  <c r="M227" i="8" s="1"/>
  <c r="J227" i="8"/>
  <c r="K227" i="8" s="1"/>
  <c r="H227" i="8"/>
  <c r="I227" i="8" s="1"/>
  <c r="F227" i="8"/>
  <c r="G227" i="8" s="1"/>
  <c r="D227" i="8"/>
  <c r="E227" i="8" s="1"/>
  <c r="V226" i="8"/>
  <c r="W226" i="8" s="1"/>
  <c r="T226" i="8"/>
  <c r="U226" i="8" s="1"/>
  <c r="R226" i="8"/>
  <c r="S226" i="8" s="1"/>
  <c r="P226" i="8"/>
  <c r="Q226" i="8" s="1"/>
  <c r="N226" i="8"/>
  <c r="O226" i="8" s="1"/>
  <c r="L226" i="8"/>
  <c r="M226" i="8" s="1"/>
  <c r="J226" i="8"/>
  <c r="K226" i="8" s="1"/>
  <c r="H226" i="8"/>
  <c r="I226" i="8" s="1"/>
  <c r="F226" i="8"/>
  <c r="G226" i="8" s="1"/>
  <c r="D226" i="8"/>
  <c r="E226" i="8" s="1"/>
  <c r="V225" i="8"/>
  <c r="W225" i="8" s="1"/>
  <c r="T225" i="8"/>
  <c r="U225" i="8" s="1"/>
  <c r="R225" i="8"/>
  <c r="S225" i="8" s="1"/>
  <c r="P225" i="8"/>
  <c r="Q225" i="8" s="1"/>
  <c r="N225" i="8"/>
  <c r="O225" i="8" s="1"/>
  <c r="L225" i="8"/>
  <c r="M225" i="8" s="1"/>
  <c r="J225" i="8"/>
  <c r="K225" i="8" s="1"/>
  <c r="H225" i="8"/>
  <c r="I225" i="8" s="1"/>
  <c r="F225" i="8"/>
  <c r="G225" i="8" s="1"/>
  <c r="D225" i="8"/>
  <c r="E225" i="8" s="1"/>
  <c r="V224" i="8"/>
  <c r="W224" i="8" s="1"/>
  <c r="T224" i="8"/>
  <c r="U224" i="8" s="1"/>
  <c r="R224" i="8"/>
  <c r="S224" i="8" s="1"/>
  <c r="P224" i="8"/>
  <c r="Q224" i="8" s="1"/>
  <c r="N224" i="8"/>
  <c r="O224" i="8" s="1"/>
  <c r="L224" i="8"/>
  <c r="M224" i="8" s="1"/>
  <c r="J224" i="8"/>
  <c r="K224" i="8" s="1"/>
  <c r="H224" i="8"/>
  <c r="I224" i="8" s="1"/>
  <c r="F224" i="8"/>
  <c r="G224" i="8" s="1"/>
  <c r="D224" i="8"/>
  <c r="E224" i="8" s="1"/>
  <c r="V223" i="8"/>
  <c r="W223" i="8" s="1"/>
  <c r="T223" i="8"/>
  <c r="U223" i="8" s="1"/>
  <c r="R223" i="8"/>
  <c r="S223" i="8" s="1"/>
  <c r="P223" i="8"/>
  <c r="Q223" i="8" s="1"/>
  <c r="O223" i="8"/>
  <c r="N223" i="8"/>
  <c r="L223" i="8"/>
  <c r="M223" i="8" s="1"/>
  <c r="J223" i="8"/>
  <c r="K223" i="8" s="1"/>
  <c r="H223" i="8"/>
  <c r="I223" i="8" s="1"/>
  <c r="F223" i="8"/>
  <c r="G223" i="8" s="1"/>
  <c r="D223" i="8"/>
  <c r="E223" i="8" s="1"/>
  <c r="W222" i="8"/>
  <c r="V222" i="8"/>
  <c r="T222" i="8"/>
  <c r="U222" i="8" s="1"/>
  <c r="R222" i="8"/>
  <c r="S222" i="8" s="1"/>
  <c r="P222" i="8"/>
  <c r="Q222" i="8" s="1"/>
  <c r="N222" i="8"/>
  <c r="O222" i="8" s="1"/>
  <c r="L222" i="8"/>
  <c r="M222" i="8" s="1"/>
  <c r="J222" i="8"/>
  <c r="K222" i="8" s="1"/>
  <c r="H222" i="8"/>
  <c r="I222" i="8" s="1"/>
  <c r="F222" i="8"/>
  <c r="G222" i="8" s="1"/>
  <c r="D222" i="8"/>
  <c r="E222" i="8" s="1"/>
  <c r="W221" i="8"/>
  <c r="U221" i="8"/>
  <c r="S221" i="8"/>
  <c r="Q221" i="8"/>
  <c r="O221" i="8"/>
  <c r="M221" i="8"/>
  <c r="K221" i="8"/>
  <c r="I221" i="8"/>
  <c r="G221" i="8"/>
  <c r="E221" i="8"/>
  <c r="I122" i="8"/>
  <c r="V206" i="8"/>
  <c r="W206" i="8" s="1"/>
  <c r="T206" i="8"/>
  <c r="U206" i="8" s="1"/>
  <c r="R206" i="8"/>
  <c r="S206" i="8" s="1"/>
  <c r="P206" i="8"/>
  <c r="Q206" i="8" s="1"/>
  <c r="N206" i="8"/>
  <c r="O206" i="8" s="1"/>
  <c r="L206" i="8"/>
  <c r="M206" i="8" s="1"/>
  <c r="J206" i="8"/>
  <c r="K206" i="8" s="1"/>
  <c r="H206" i="8"/>
  <c r="I206" i="8" s="1"/>
  <c r="G206" i="8"/>
  <c r="F206" i="8"/>
  <c r="D206" i="8"/>
  <c r="E206" i="8" s="1"/>
  <c r="V205" i="8"/>
  <c r="W205" i="8" s="1"/>
  <c r="T205" i="8"/>
  <c r="U205" i="8" s="1"/>
  <c r="R205" i="8"/>
  <c r="S205" i="8" s="1"/>
  <c r="P205" i="8"/>
  <c r="Q205" i="8" s="1"/>
  <c r="N205" i="8"/>
  <c r="O205" i="8" s="1"/>
  <c r="L205" i="8"/>
  <c r="M205" i="8" s="1"/>
  <c r="K205" i="8"/>
  <c r="J205" i="8"/>
  <c r="H205" i="8"/>
  <c r="I205" i="8" s="1"/>
  <c r="G205" i="8"/>
  <c r="F205" i="8"/>
  <c r="D205" i="8"/>
  <c r="E205" i="8" s="1"/>
  <c r="W204" i="8"/>
  <c r="V204" i="8"/>
  <c r="T204" i="8"/>
  <c r="U204" i="8" s="1"/>
  <c r="R204" i="8"/>
  <c r="S204" i="8" s="1"/>
  <c r="P204" i="8"/>
  <c r="Q204" i="8" s="1"/>
  <c r="N204" i="8"/>
  <c r="O204" i="8" s="1"/>
  <c r="L204" i="8"/>
  <c r="M204" i="8" s="1"/>
  <c r="J204" i="8"/>
  <c r="K204" i="8" s="1"/>
  <c r="H204" i="8"/>
  <c r="I204" i="8" s="1"/>
  <c r="F204" i="8"/>
  <c r="G204" i="8" s="1"/>
  <c r="D204" i="8"/>
  <c r="E204" i="8" s="1"/>
  <c r="V203" i="8"/>
  <c r="W203" i="8" s="1"/>
  <c r="T203" i="8"/>
  <c r="U203" i="8" s="1"/>
  <c r="R203" i="8"/>
  <c r="S203" i="8" s="1"/>
  <c r="P203" i="8"/>
  <c r="Q203" i="8" s="1"/>
  <c r="N203" i="8"/>
  <c r="O203" i="8" s="1"/>
  <c r="L203" i="8"/>
  <c r="M203" i="8" s="1"/>
  <c r="J203" i="8"/>
  <c r="K203" i="8" s="1"/>
  <c r="H203" i="8"/>
  <c r="I203" i="8" s="1"/>
  <c r="F203" i="8"/>
  <c r="G203" i="8" s="1"/>
  <c r="D203" i="8"/>
  <c r="E203" i="8" s="1"/>
  <c r="V202" i="8"/>
  <c r="W202" i="8" s="1"/>
  <c r="T202" i="8"/>
  <c r="U202" i="8" s="1"/>
  <c r="R202" i="8"/>
  <c r="S202" i="8" s="1"/>
  <c r="P202" i="8"/>
  <c r="Q202" i="8" s="1"/>
  <c r="N202" i="8"/>
  <c r="O202" i="8" s="1"/>
  <c r="L202" i="8"/>
  <c r="M202" i="8" s="1"/>
  <c r="J202" i="8"/>
  <c r="K202" i="8" s="1"/>
  <c r="H202" i="8"/>
  <c r="I202" i="8" s="1"/>
  <c r="F202" i="8"/>
  <c r="G202" i="8" s="1"/>
  <c r="D202" i="8"/>
  <c r="E202" i="8" s="1"/>
  <c r="V201" i="8"/>
  <c r="W201" i="8" s="1"/>
  <c r="T201" i="8"/>
  <c r="U201" i="8" s="1"/>
  <c r="S201" i="8"/>
  <c r="R201" i="8"/>
  <c r="P201" i="8"/>
  <c r="Q201" i="8" s="1"/>
  <c r="N201" i="8"/>
  <c r="O201" i="8" s="1"/>
  <c r="L201" i="8"/>
  <c r="M201" i="8" s="1"/>
  <c r="J201" i="8"/>
  <c r="K201" i="8" s="1"/>
  <c r="H201" i="8"/>
  <c r="I201" i="8" s="1"/>
  <c r="F201" i="8"/>
  <c r="G201" i="8" s="1"/>
  <c r="D201" i="8"/>
  <c r="E201" i="8" s="1"/>
  <c r="V200" i="8"/>
  <c r="W200" i="8" s="1"/>
  <c r="T200" i="8"/>
  <c r="U200" i="8" s="1"/>
  <c r="R200" i="8"/>
  <c r="S200" i="8" s="1"/>
  <c r="P200" i="8"/>
  <c r="Q200" i="8" s="1"/>
  <c r="N200" i="8"/>
  <c r="O200" i="8" s="1"/>
  <c r="L200" i="8"/>
  <c r="M200" i="8" s="1"/>
  <c r="K200" i="8"/>
  <c r="J200" i="8"/>
  <c r="H200" i="8"/>
  <c r="I200" i="8" s="1"/>
  <c r="F200" i="8"/>
  <c r="G200" i="8" s="1"/>
  <c r="D200" i="8"/>
  <c r="E200" i="8" s="1"/>
  <c r="W199" i="8"/>
  <c r="V199" i="8"/>
  <c r="T199" i="8"/>
  <c r="U199" i="8" s="1"/>
  <c r="R199" i="8"/>
  <c r="S199" i="8" s="1"/>
  <c r="P199" i="8"/>
  <c r="Q199" i="8" s="1"/>
  <c r="N199" i="8"/>
  <c r="O199" i="8" s="1"/>
  <c r="L199" i="8"/>
  <c r="M199" i="8" s="1"/>
  <c r="J199" i="8"/>
  <c r="K199" i="8" s="1"/>
  <c r="H199" i="8"/>
  <c r="I199" i="8" s="1"/>
  <c r="F199" i="8"/>
  <c r="G199" i="8" s="1"/>
  <c r="D199" i="8"/>
  <c r="E199" i="8" s="1"/>
  <c r="V198" i="8"/>
  <c r="W198" i="8" s="1"/>
  <c r="T198" i="8"/>
  <c r="U198" i="8" s="1"/>
  <c r="R198" i="8"/>
  <c r="S198" i="8" s="1"/>
  <c r="P198" i="8"/>
  <c r="Q198" i="8" s="1"/>
  <c r="N198" i="8"/>
  <c r="O198" i="8" s="1"/>
  <c r="L198" i="8"/>
  <c r="M198" i="8" s="1"/>
  <c r="J198" i="8"/>
  <c r="K198" i="8" s="1"/>
  <c r="H198" i="8"/>
  <c r="I198" i="8" s="1"/>
  <c r="F198" i="8"/>
  <c r="G198" i="8" s="1"/>
  <c r="D198" i="8"/>
  <c r="E198" i="8" s="1"/>
  <c r="V197" i="8"/>
  <c r="W197" i="8" s="1"/>
  <c r="T197" i="8"/>
  <c r="U197" i="8" s="1"/>
  <c r="R197" i="8"/>
  <c r="S197" i="8" s="1"/>
  <c r="P197" i="8"/>
  <c r="Q197" i="8" s="1"/>
  <c r="N197" i="8"/>
  <c r="O197" i="8" s="1"/>
  <c r="L197" i="8"/>
  <c r="M197" i="8" s="1"/>
  <c r="J197" i="8"/>
  <c r="K197" i="8" s="1"/>
  <c r="H197" i="8"/>
  <c r="I197" i="8" s="1"/>
  <c r="F197" i="8"/>
  <c r="G197" i="8" s="1"/>
  <c r="D197" i="8"/>
  <c r="E197" i="8" s="1"/>
  <c r="V196" i="8"/>
  <c r="W196" i="8" s="1"/>
  <c r="T196" i="8"/>
  <c r="U196" i="8" s="1"/>
  <c r="R196" i="8"/>
  <c r="S196" i="8" s="1"/>
  <c r="P196" i="8"/>
  <c r="Q196" i="8" s="1"/>
  <c r="O196" i="8"/>
  <c r="N196" i="8"/>
  <c r="L196" i="8"/>
  <c r="M196" i="8" s="1"/>
  <c r="J196" i="8"/>
  <c r="K196" i="8" s="1"/>
  <c r="H196" i="8"/>
  <c r="I196" i="8" s="1"/>
  <c r="F196" i="8"/>
  <c r="G196" i="8" s="1"/>
  <c r="D196" i="8"/>
  <c r="E196" i="8" s="1"/>
  <c r="V195" i="8"/>
  <c r="W195" i="8" s="1"/>
  <c r="T195" i="8"/>
  <c r="U195" i="8" s="1"/>
  <c r="R195" i="8"/>
  <c r="S195" i="8" s="1"/>
  <c r="P195" i="8"/>
  <c r="Q195" i="8" s="1"/>
  <c r="N195" i="8"/>
  <c r="O195" i="8" s="1"/>
  <c r="L195" i="8"/>
  <c r="M195" i="8" s="1"/>
  <c r="J195" i="8"/>
  <c r="K195" i="8" s="1"/>
  <c r="H195" i="8"/>
  <c r="I195" i="8" s="1"/>
  <c r="F195" i="8"/>
  <c r="G195" i="8" s="1"/>
  <c r="D195" i="8"/>
  <c r="E195" i="8" s="1"/>
  <c r="V194" i="8"/>
  <c r="W194" i="8" s="1"/>
  <c r="T194" i="8"/>
  <c r="U194" i="8" s="1"/>
  <c r="R194" i="8"/>
  <c r="S194" i="8" s="1"/>
  <c r="P194" i="8"/>
  <c r="Q194" i="8" s="1"/>
  <c r="N194" i="8"/>
  <c r="O194" i="8" s="1"/>
  <c r="L194" i="8"/>
  <c r="M194" i="8" s="1"/>
  <c r="J194" i="8"/>
  <c r="K194" i="8" s="1"/>
  <c r="H194" i="8"/>
  <c r="I194" i="8" s="1"/>
  <c r="F194" i="8"/>
  <c r="G194" i="8" s="1"/>
  <c r="D194" i="8"/>
  <c r="E194" i="8" s="1"/>
  <c r="W193" i="8"/>
  <c r="V193" i="8"/>
  <c r="T193" i="8"/>
  <c r="U193" i="8" s="1"/>
  <c r="R193" i="8"/>
  <c r="S193" i="8" s="1"/>
  <c r="P193" i="8"/>
  <c r="Q193" i="8" s="1"/>
  <c r="N193" i="8"/>
  <c r="O193" i="8" s="1"/>
  <c r="L193" i="8"/>
  <c r="M193" i="8" s="1"/>
  <c r="J193" i="8"/>
  <c r="K193" i="8" s="1"/>
  <c r="H193" i="8"/>
  <c r="I193" i="8" s="1"/>
  <c r="F193" i="8"/>
  <c r="G193" i="8" s="1"/>
  <c r="D193" i="8"/>
  <c r="E193" i="8" s="1"/>
  <c r="V192" i="8"/>
  <c r="W192" i="8" s="1"/>
  <c r="T192" i="8"/>
  <c r="U192" i="8" s="1"/>
  <c r="R192" i="8"/>
  <c r="S192" i="8" s="1"/>
  <c r="P192" i="8"/>
  <c r="Q192" i="8" s="1"/>
  <c r="N192" i="8"/>
  <c r="O192" i="8" s="1"/>
  <c r="L192" i="8"/>
  <c r="M192" i="8" s="1"/>
  <c r="J192" i="8"/>
  <c r="K192" i="8" s="1"/>
  <c r="H192" i="8"/>
  <c r="I192" i="8" s="1"/>
  <c r="F192" i="8"/>
  <c r="G192" i="8" s="1"/>
  <c r="D192" i="8"/>
  <c r="E192" i="8" s="1"/>
  <c r="W191" i="8"/>
  <c r="V191" i="8"/>
  <c r="T191" i="8"/>
  <c r="U191" i="8" s="1"/>
  <c r="S191" i="8"/>
  <c r="R191" i="8"/>
  <c r="P191" i="8"/>
  <c r="Q191" i="8" s="1"/>
  <c r="N191" i="8"/>
  <c r="O191" i="8" s="1"/>
  <c r="L191" i="8"/>
  <c r="M191" i="8" s="1"/>
  <c r="J191" i="8"/>
  <c r="K191" i="8" s="1"/>
  <c r="H191" i="8"/>
  <c r="I191" i="8" s="1"/>
  <c r="F191" i="8"/>
  <c r="G191" i="8" s="1"/>
  <c r="D191" i="8"/>
  <c r="E191" i="8" s="1"/>
  <c r="V190" i="8"/>
  <c r="W190" i="8" s="1"/>
  <c r="T190" i="8"/>
  <c r="U190" i="8" s="1"/>
  <c r="R190" i="8"/>
  <c r="S190" i="8" s="1"/>
  <c r="P190" i="8"/>
  <c r="Q190" i="8" s="1"/>
  <c r="O190" i="8"/>
  <c r="N190" i="8"/>
  <c r="L190" i="8"/>
  <c r="M190" i="8" s="1"/>
  <c r="J190" i="8"/>
  <c r="K190" i="8" s="1"/>
  <c r="H190" i="8"/>
  <c r="I190" i="8" s="1"/>
  <c r="F190" i="8"/>
  <c r="G190" i="8" s="1"/>
  <c r="D190" i="8"/>
  <c r="E190" i="8" s="1"/>
  <c r="V189" i="8"/>
  <c r="W189" i="8" s="1"/>
  <c r="T189" i="8"/>
  <c r="U189" i="8" s="1"/>
  <c r="R189" i="8"/>
  <c r="S189" i="8" s="1"/>
  <c r="P189" i="8"/>
  <c r="Q189" i="8" s="1"/>
  <c r="N189" i="8"/>
  <c r="O189" i="8" s="1"/>
  <c r="L189" i="8"/>
  <c r="M189" i="8" s="1"/>
  <c r="J189" i="8"/>
  <c r="K189" i="8" s="1"/>
  <c r="H189" i="8"/>
  <c r="I189" i="8" s="1"/>
  <c r="G189" i="8"/>
  <c r="F189" i="8"/>
  <c r="D189" i="8"/>
  <c r="E189" i="8" s="1"/>
  <c r="V188" i="8"/>
  <c r="W188" i="8" s="1"/>
  <c r="T188" i="8"/>
  <c r="U188" i="8" s="1"/>
  <c r="R188" i="8"/>
  <c r="S188" i="8" s="1"/>
  <c r="P188" i="8"/>
  <c r="Q188" i="8" s="1"/>
  <c r="O188" i="8"/>
  <c r="N188" i="8"/>
  <c r="L188" i="8"/>
  <c r="M188" i="8" s="1"/>
  <c r="J188" i="8"/>
  <c r="K188" i="8" s="1"/>
  <c r="H188" i="8"/>
  <c r="I188" i="8" s="1"/>
  <c r="F188" i="8"/>
  <c r="G188" i="8" s="1"/>
  <c r="D188" i="8"/>
  <c r="E188" i="8" s="1"/>
  <c r="V187" i="8"/>
  <c r="W187" i="8" s="1"/>
  <c r="T187" i="8"/>
  <c r="U187" i="8" s="1"/>
  <c r="R187" i="8"/>
  <c r="S187" i="8" s="1"/>
  <c r="P187" i="8"/>
  <c r="Q187" i="8" s="1"/>
  <c r="N187" i="8"/>
  <c r="O187" i="8" s="1"/>
  <c r="L187" i="8"/>
  <c r="M187" i="8" s="1"/>
  <c r="J187" i="8"/>
  <c r="K187" i="8" s="1"/>
  <c r="H187" i="8"/>
  <c r="I187" i="8" s="1"/>
  <c r="G187" i="8"/>
  <c r="F187" i="8"/>
  <c r="D187" i="8"/>
  <c r="E187" i="8" s="1"/>
  <c r="V186" i="8"/>
  <c r="W186" i="8" s="1"/>
  <c r="T186" i="8"/>
  <c r="U186" i="8" s="1"/>
  <c r="R186" i="8"/>
  <c r="S186" i="8" s="1"/>
  <c r="P186" i="8"/>
  <c r="Q186" i="8" s="1"/>
  <c r="N186" i="8"/>
  <c r="O186" i="8" s="1"/>
  <c r="L186" i="8"/>
  <c r="M186" i="8" s="1"/>
  <c r="K186" i="8"/>
  <c r="J186" i="8"/>
  <c r="H186" i="8"/>
  <c r="I186" i="8" s="1"/>
  <c r="F186" i="8"/>
  <c r="G186" i="8" s="1"/>
  <c r="D186" i="8"/>
  <c r="E186" i="8" s="1"/>
  <c r="V185" i="8"/>
  <c r="W185" i="8" s="1"/>
  <c r="T185" i="8"/>
  <c r="U185" i="8" s="1"/>
  <c r="R185" i="8"/>
  <c r="S185" i="8" s="1"/>
  <c r="P185" i="8"/>
  <c r="Q185" i="8" s="1"/>
  <c r="N185" i="8"/>
  <c r="O185" i="8" s="1"/>
  <c r="L185" i="8"/>
  <c r="M185" i="8" s="1"/>
  <c r="J185" i="8"/>
  <c r="K185" i="8" s="1"/>
  <c r="H185" i="8"/>
  <c r="I185" i="8" s="1"/>
  <c r="F185" i="8"/>
  <c r="G185" i="8" s="1"/>
  <c r="D185" i="8"/>
  <c r="E185" i="8" s="1"/>
  <c r="W184" i="8"/>
  <c r="V184" i="8"/>
  <c r="T184" i="8"/>
  <c r="U184" i="8" s="1"/>
  <c r="R184" i="8"/>
  <c r="S184" i="8" s="1"/>
  <c r="P184" i="8"/>
  <c r="Q184" i="8" s="1"/>
  <c r="N184" i="8"/>
  <c r="O184" i="8" s="1"/>
  <c r="L184" i="8"/>
  <c r="M184" i="8" s="1"/>
  <c r="J184" i="8"/>
  <c r="K184" i="8" s="1"/>
  <c r="H184" i="8"/>
  <c r="I184" i="8" s="1"/>
  <c r="F184" i="8"/>
  <c r="G184" i="8" s="1"/>
  <c r="D184" i="8"/>
  <c r="E184" i="8" s="1"/>
  <c r="V183" i="8"/>
  <c r="W183" i="8" s="1"/>
  <c r="T183" i="8"/>
  <c r="U183" i="8" s="1"/>
  <c r="S183" i="8"/>
  <c r="R183" i="8"/>
  <c r="P183" i="8"/>
  <c r="Q183" i="8" s="1"/>
  <c r="N183" i="8"/>
  <c r="O183" i="8" s="1"/>
  <c r="L183" i="8"/>
  <c r="M183" i="8" s="1"/>
  <c r="J183" i="8"/>
  <c r="K183" i="8" s="1"/>
  <c r="H183" i="8"/>
  <c r="I183" i="8" s="1"/>
  <c r="F183" i="8"/>
  <c r="G183" i="8" s="1"/>
  <c r="D183" i="8"/>
  <c r="E183" i="8" s="1"/>
  <c r="V182" i="8"/>
  <c r="W182" i="8" s="1"/>
  <c r="T182" i="8"/>
  <c r="U182" i="8" s="1"/>
  <c r="R182" i="8"/>
  <c r="S182" i="8" s="1"/>
  <c r="P182" i="8"/>
  <c r="Q182" i="8" s="1"/>
  <c r="N182" i="8"/>
  <c r="O182" i="8" s="1"/>
  <c r="L182" i="8"/>
  <c r="M182" i="8" s="1"/>
  <c r="J182" i="8"/>
  <c r="K182" i="8" s="1"/>
  <c r="H182" i="8"/>
  <c r="I182" i="8" s="1"/>
  <c r="F182" i="8"/>
  <c r="G182" i="8" s="1"/>
  <c r="D182" i="8"/>
  <c r="E182" i="8" s="1"/>
  <c r="V181" i="8"/>
  <c r="W181" i="8" s="1"/>
  <c r="T181" i="8"/>
  <c r="U181" i="8" s="1"/>
  <c r="R181" i="8"/>
  <c r="S181" i="8" s="1"/>
  <c r="P181" i="8"/>
  <c r="Q181" i="8" s="1"/>
  <c r="N181" i="8"/>
  <c r="O181" i="8" s="1"/>
  <c r="L181" i="8"/>
  <c r="M181" i="8" s="1"/>
  <c r="J181" i="8"/>
  <c r="K181" i="8" s="1"/>
  <c r="H181" i="8"/>
  <c r="I181" i="8" s="1"/>
  <c r="F181" i="8"/>
  <c r="G181" i="8" s="1"/>
  <c r="D181" i="8"/>
  <c r="E181" i="8" s="1"/>
  <c r="V180" i="8"/>
  <c r="W180" i="8" s="1"/>
  <c r="T180" i="8"/>
  <c r="U180" i="8" s="1"/>
  <c r="R180" i="8"/>
  <c r="S180" i="8" s="1"/>
  <c r="P180" i="8"/>
  <c r="Q180" i="8" s="1"/>
  <c r="N180" i="8"/>
  <c r="O180" i="8" s="1"/>
  <c r="L180" i="8"/>
  <c r="M180" i="8" s="1"/>
  <c r="J180" i="8"/>
  <c r="K180" i="8" s="1"/>
  <c r="H180" i="8"/>
  <c r="I180" i="8" s="1"/>
  <c r="F180" i="8"/>
  <c r="G180" i="8" s="1"/>
  <c r="D180" i="8"/>
  <c r="E180" i="8" s="1"/>
  <c r="V179" i="8"/>
  <c r="W179" i="8" s="1"/>
  <c r="T179" i="8"/>
  <c r="U179" i="8" s="1"/>
  <c r="S179" i="8"/>
  <c r="R179" i="8"/>
  <c r="P179" i="8"/>
  <c r="Q179" i="8" s="1"/>
  <c r="N179" i="8"/>
  <c r="O179" i="8" s="1"/>
  <c r="L179" i="8"/>
  <c r="M179" i="8" s="1"/>
  <c r="J179" i="8"/>
  <c r="K179" i="8" s="1"/>
  <c r="H179" i="8"/>
  <c r="I179" i="8" s="1"/>
  <c r="F179" i="8"/>
  <c r="G179" i="8" s="1"/>
  <c r="D179" i="8"/>
  <c r="E179" i="8" s="1"/>
  <c r="V178" i="8"/>
  <c r="W178" i="8" s="1"/>
  <c r="T178" i="8"/>
  <c r="U178" i="8" s="1"/>
  <c r="R178" i="8"/>
  <c r="S178" i="8" s="1"/>
  <c r="P178" i="8"/>
  <c r="Q178" i="8" s="1"/>
  <c r="O178" i="8"/>
  <c r="N178" i="8"/>
  <c r="L178" i="8"/>
  <c r="M178" i="8" s="1"/>
  <c r="J178" i="8"/>
  <c r="K178" i="8" s="1"/>
  <c r="H178" i="8"/>
  <c r="I178" i="8" s="1"/>
  <c r="F178" i="8"/>
  <c r="G178" i="8" s="1"/>
  <c r="D178" i="8"/>
  <c r="E178" i="8" s="1"/>
  <c r="V177" i="8"/>
  <c r="W177" i="8" s="1"/>
  <c r="T177" i="8"/>
  <c r="U177" i="8" s="1"/>
  <c r="R177" i="8"/>
  <c r="S177" i="8" s="1"/>
  <c r="P177" i="8"/>
  <c r="Q177" i="8" s="1"/>
  <c r="N177" i="8"/>
  <c r="O177" i="8" s="1"/>
  <c r="L177" i="8"/>
  <c r="M177" i="8" s="1"/>
  <c r="J177" i="8"/>
  <c r="K177" i="8" s="1"/>
  <c r="H177" i="8"/>
  <c r="I177" i="8" s="1"/>
  <c r="F177" i="8"/>
  <c r="G177" i="8" s="1"/>
  <c r="D177" i="8"/>
  <c r="E177" i="8" s="1"/>
  <c r="V176" i="8"/>
  <c r="W176" i="8" s="1"/>
  <c r="T176" i="8"/>
  <c r="U176" i="8" s="1"/>
  <c r="R176" i="8"/>
  <c r="S176" i="8" s="1"/>
  <c r="P176" i="8"/>
  <c r="Q176" i="8" s="1"/>
  <c r="N176" i="8"/>
  <c r="O176" i="8" s="1"/>
  <c r="L176" i="8"/>
  <c r="M176" i="8" s="1"/>
  <c r="J176" i="8"/>
  <c r="K176" i="8" s="1"/>
  <c r="H176" i="8"/>
  <c r="I176" i="8" s="1"/>
  <c r="F176" i="8"/>
  <c r="G176" i="8" s="1"/>
  <c r="D176" i="8"/>
  <c r="E176" i="8" s="1"/>
  <c r="V175" i="8"/>
  <c r="W175" i="8" s="1"/>
  <c r="T175" i="8"/>
  <c r="U175" i="8" s="1"/>
  <c r="R175" i="8"/>
  <c r="S175" i="8" s="1"/>
  <c r="P175" i="8"/>
  <c r="Q175" i="8" s="1"/>
  <c r="N175" i="8"/>
  <c r="O175" i="8" s="1"/>
  <c r="L175" i="8"/>
  <c r="M175" i="8" s="1"/>
  <c r="J175" i="8"/>
  <c r="K175" i="8" s="1"/>
  <c r="H175" i="8"/>
  <c r="I175" i="8" s="1"/>
  <c r="F175" i="8"/>
  <c r="G175" i="8" s="1"/>
  <c r="D175" i="8"/>
  <c r="E175" i="8" s="1"/>
  <c r="V174" i="8"/>
  <c r="W174" i="8" s="1"/>
  <c r="T174" i="8"/>
  <c r="U174" i="8" s="1"/>
  <c r="R174" i="8"/>
  <c r="S174" i="8" s="1"/>
  <c r="P174" i="8"/>
  <c r="Q174" i="8" s="1"/>
  <c r="N174" i="8"/>
  <c r="O174" i="8" s="1"/>
  <c r="L174" i="8"/>
  <c r="M174" i="8" s="1"/>
  <c r="J174" i="8"/>
  <c r="K174" i="8" s="1"/>
  <c r="H174" i="8"/>
  <c r="I174" i="8" s="1"/>
  <c r="F174" i="8"/>
  <c r="G174" i="8" s="1"/>
  <c r="D174" i="8"/>
  <c r="E174" i="8" s="1"/>
  <c r="V173" i="8"/>
  <c r="W173" i="8" s="1"/>
  <c r="T173" i="8"/>
  <c r="U173" i="8" s="1"/>
  <c r="R173" i="8"/>
  <c r="S173" i="8" s="1"/>
  <c r="P173" i="8"/>
  <c r="Q173" i="8" s="1"/>
  <c r="N173" i="8"/>
  <c r="O173" i="8" s="1"/>
  <c r="L173" i="8"/>
  <c r="M173" i="8" s="1"/>
  <c r="J173" i="8"/>
  <c r="K173" i="8" s="1"/>
  <c r="H173" i="8"/>
  <c r="I173" i="8" s="1"/>
  <c r="F173" i="8"/>
  <c r="G173" i="8" s="1"/>
  <c r="D173" i="8"/>
  <c r="E173" i="8" s="1"/>
  <c r="V172" i="8"/>
  <c r="W172" i="8" s="1"/>
  <c r="T172" i="8"/>
  <c r="U172" i="8" s="1"/>
  <c r="R172" i="8"/>
  <c r="S172" i="8" s="1"/>
  <c r="P172" i="8"/>
  <c r="Q172" i="8" s="1"/>
  <c r="N172" i="8"/>
  <c r="O172" i="8" s="1"/>
  <c r="L172" i="8"/>
  <c r="M172" i="8" s="1"/>
  <c r="J172" i="8"/>
  <c r="K172" i="8" s="1"/>
  <c r="H172" i="8"/>
  <c r="I172" i="8" s="1"/>
  <c r="F172" i="8"/>
  <c r="G172" i="8" s="1"/>
  <c r="D172" i="8"/>
  <c r="E172" i="8" s="1"/>
  <c r="V171" i="8"/>
  <c r="W171" i="8" s="1"/>
  <c r="T171" i="8"/>
  <c r="U171" i="8" s="1"/>
  <c r="R171" i="8"/>
  <c r="S171" i="8" s="1"/>
  <c r="P171" i="8"/>
  <c r="Q171" i="8" s="1"/>
  <c r="N171" i="8"/>
  <c r="O171" i="8" s="1"/>
  <c r="L171" i="8"/>
  <c r="M171" i="8" s="1"/>
  <c r="J171" i="8"/>
  <c r="K171" i="8" s="1"/>
  <c r="H171" i="8"/>
  <c r="I171" i="8" s="1"/>
  <c r="F171" i="8"/>
  <c r="G171" i="8" s="1"/>
  <c r="D171" i="8"/>
  <c r="E171" i="8" s="1"/>
  <c r="V170" i="8"/>
  <c r="W170" i="8" s="1"/>
  <c r="T170" i="8"/>
  <c r="U170" i="8" s="1"/>
  <c r="R170" i="8"/>
  <c r="S170" i="8" s="1"/>
  <c r="P170" i="8"/>
  <c r="Q170" i="8" s="1"/>
  <c r="N170" i="8"/>
  <c r="O170" i="8" s="1"/>
  <c r="L170" i="8"/>
  <c r="M170" i="8" s="1"/>
  <c r="J170" i="8"/>
  <c r="K170" i="8" s="1"/>
  <c r="H170" i="8"/>
  <c r="I170" i="8" s="1"/>
  <c r="F170" i="8"/>
  <c r="G170" i="8" s="1"/>
  <c r="D170" i="8"/>
  <c r="E170" i="8" s="1"/>
  <c r="V169" i="8"/>
  <c r="W169" i="8" s="1"/>
  <c r="T169" i="8"/>
  <c r="U169" i="8" s="1"/>
  <c r="R169" i="8"/>
  <c r="S169" i="8" s="1"/>
  <c r="P169" i="8"/>
  <c r="Q169" i="8" s="1"/>
  <c r="N169" i="8"/>
  <c r="O169" i="8" s="1"/>
  <c r="L169" i="8"/>
  <c r="M169" i="8" s="1"/>
  <c r="J169" i="8"/>
  <c r="K169" i="8" s="1"/>
  <c r="H169" i="8"/>
  <c r="I169" i="8" s="1"/>
  <c r="F169" i="8"/>
  <c r="G169" i="8" s="1"/>
  <c r="E169" i="8"/>
  <c r="D169" i="8"/>
  <c r="V168" i="8"/>
  <c r="W168" i="8" s="1"/>
  <c r="U168" i="8"/>
  <c r="T168" i="8"/>
  <c r="R168" i="8"/>
  <c r="S168" i="8" s="1"/>
  <c r="P168" i="8"/>
  <c r="Q168" i="8" s="1"/>
  <c r="N168" i="8"/>
  <c r="O168" i="8" s="1"/>
  <c r="L168" i="8"/>
  <c r="M168" i="8" s="1"/>
  <c r="J168" i="8"/>
  <c r="K168" i="8" s="1"/>
  <c r="H168" i="8"/>
  <c r="I168" i="8" s="1"/>
  <c r="F168" i="8"/>
  <c r="G168" i="8" s="1"/>
  <c r="D168" i="8"/>
  <c r="E168" i="8" s="1"/>
  <c r="V167" i="8"/>
  <c r="W167" i="8" s="1"/>
  <c r="T167" i="8"/>
  <c r="U167" i="8" s="1"/>
  <c r="R167" i="8"/>
  <c r="S167" i="8" s="1"/>
  <c r="P167" i="8"/>
  <c r="Q167" i="8" s="1"/>
  <c r="N167" i="8"/>
  <c r="O167" i="8" s="1"/>
  <c r="L167" i="8"/>
  <c r="M167" i="8" s="1"/>
  <c r="J167" i="8"/>
  <c r="K167" i="8" s="1"/>
  <c r="H167" i="8"/>
  <c r="I167" i="8" s="1"/>
  <c r="F167" i="8"/>
  <c r="G167" i="8" s="1"/>
  <c r="E167" i="8"/>
  <c r="D167" i="8"/>
  <c r="W166" i="8"/>
  <c r="V166" i="8"/>
  <c r="T166" i="8"/>
  <c r="U166" i="8" s="1"/>
  <c r="R166" i="8"/>
  <c r="S166" i="8" s="1"/>
  <c r="P166" i="8"/>
  <c r="Q166" i="8" s="1"/>
  <c r="N166" i="8"/>
  <c r="O166" i="8" s="1"/>
  <c r="L166" i="8"/>
  <c r="M166" i="8" s="1"/>
  <c r="J166" i="8"/>
  <c r="K166" i="8" s="1"/>
  <c r="H166" i="8"/>
  <c r="I166" i="8" s="1"/>
  <c r="F166" i="8"/>
  <c r="G166" i="8" s="1"/>
  <c r="D166" i="8"/>
  <c r="E166" i="8" s="1"/>
  <c r="V165" i="8"/>
  <c r="W165" i="8" s="1"/>
  <c r="T165" i="8"/>
  <c r="U165" i="8" s="1"/>
  <c r="R165" i="8"/>
  <c r="S165" i="8" s="1"/>
  <c r="P165" i="8"/>
  <c r="Q165" i="8" s="1"/>
  <c r="N165" i="8"/>
  <c r="O165" i="8" s="1"/>
  <c r="L165" i="8"/>
  <c r="M165" i="8" s="1"/>
  <c r="J165" i="8"/>
  <c r="K165" i="8" s="1"/>
  <c r="H165" i="8"/>
  <c r="I165" i="8" s="1"/>
  <c r="F165" i="8"/>
  <c r="G165" i="8" s="1"/>
  <c r="D165" i="8"/>
  <c r="E165" i="8" s="1"/>
  <c r="W164" i="8"/>
  <c r="V164" i="8"/>
  <c r="T164" i="8"/>
  <c r="U164" i="8" s="1"/>
  <c r="R164" i="8"/>
  <c r="S164" i="8" s="1"/>
  <c r="P164" i="8"/>
  <c r="Q164" i="8" s="1"/>
  <c r="N164" i="8"/>
  <c r="O164" i="8" s="1"/>
  <c r="L164" i="8"/>
  <c r="M164" i="8" s="1"/>
  <c r="J164" i="8"/>
  <c r="K164" i="8" s="1"/>
  <c r="H164" i="8"/>
  <c r="I164" i="8" s="1"/>
  <c r="F164" i="8"/>
  <c r="G164" i="8" s="1"/>
  <c r="D164" i="8"/>
  <c r="E164" i="8" s="1"/>
  <c r="V163" i="8"/>
  <c r="W163" i="8" s="1"/>
  <c r="U163" i="8"/>
  <c r="T163" i="8"/>
  <c r="R163" i="8"/>
  <c r="S163" i="8" s="1"/>
  <c r="P163" i="8"/>
  <c r="Q163" i="8" s="1"/>
  <c r="N163" i="8"/>
  <c r="O163" i="8" s="1"/>
  <c r="L163" i="8"/>
  <c r="M163" i="8" s="1"/>
  <c r="J163" i="8"/>
  <c r="K163" i="8" s="1"/>
  <c r="H163" i="8"/>
  <c r="I163" i="8" s="1"/>
  <c r="F163" i="8"/>
  <c r="G163" i="8" s="1"/>
  <c r="D163" i="8"/>
  <c r="E163" i="8" s="1"/>
  <c r="V162" i="8"/>
  <c r="W162" i="8" s="1"/>
  <c r="U162" i="8"/>
  <c r="T162" i="8"/>
  <c r="R162" i="8"/>
  <c r="S162" i="8" s="1"/>
  <c r="P162" i="8"/>
  <c r="Q162" i="8" s="1"/>
  <c r="N162" i="8"/>
  <c r="O162" i="8" s="1"/>
  <c r="L162" i="8"/>
  <c r="M162" i="8" s="1"/>
  <c r="J162" i="8"/>
  <c r="K162" i="8" s="1"/>
  <c r="H162" i="8"/>
  <c r="I162" i="8" s="1"/>
  <c r="F162" i="8"/>
  <c r="G162" i="8" s="1"/>
  <c r="D162" i="8"/>
  <c r="E162" i="8" s="1"/>
  <c r="V161" i="8"/>
  <c r="W161" i="8" s="1"/>
  <c r="T161" i="8"/>
  <c r="U161" i="8" s="1"/>
  <c r="R161" i="8"/>
  <c r="S161" i="8" s="1"/>
  <c r="P161" i="8"/>
  <c r="Q161" i="8" s="1"/>
  <c r="N161" i="8"/>
  <c r="O161" i="8" s="1"/>
  <c r="L161" i="8"/>
  <c r="M161" i="8" s="1"/>
  <c r="J161" i="8"/>
  <c r="K161" i="8" s="1"/>
  <c r="H161" i="8"/>
  <c r="I161" i="8" s="1"/>
  <c r="F161" i="8"/>
  <c r="G161" i="8" s="1"/>
  <c r="D161" i="8"/>
  <c r="E161" i="8" s="1"/>
  <c r="V160" i="8"/>
  <c r="W160" i="8" s="1"/>
  <c r="T160" i="8"/>
  <c r="U160" i="8" s="1"/>
  <c r="R160" i="8"/>
  <c r="S160" i="8" s="1"/>
  <c r="P160" i="8"/>
  <c r="Q160" i="8" s="1"/>
  <c r="N160" i="8"/>
  <c r="O160" i="8" s="1"/>
  <c r="L160" i="8"/>
  <c r="M160" i="8" s="1"/>
  <c r="J160" i="8"/>
  <c r="K160" i="8" s="1"/>
  <c r="H160" i="8"/>
  <c r="I160" i="8" s="1"/>
  <c r="F160" i="8"/>
  <c r="G160" i="8" s="1"/>
  <c r="D160" i="8"/>
  <c r="E160" i="8" s="1"/>
  <c r="V159" i="8"/>
  <c r="W159" i="8" s="1"/>
  <c r="T159" i="8"/>
  <c r="U159" i="8" s="1"/>
  <c r="R159" i="8"/>
  <c r="S159" i="8" s="1"/>
  <c r="P159" i="8"/>
  <c r="Q159" i="8" s="1"/>
  <c r="N159" i="8"/>
  <c r="O159" i="8" s="1"/>
  <c r="L159" i="8"/>
  <c r="M159" i="8" s="1"/>
  <c r="J159" i="8"/>
  <c r="K159" i="8" s="1"/>
  <c r="H159" i="8"/>
  <c r="I159" i="8" s="1"/>
  <c r="F159" i="8"/>
  <c r="G159" i="8" s="1"/>
  <c r="E159" i="8"/>
  <c r="D159" i="8"/>
  <c r="V158" i="8"/>
  <c r="W158" i="8" s="1"/>
  <c r="T158" i="8"/>
  <c r="U158" i="8" s="1"/>
  <c r="R158" i="8"/>
  <c r="S158" i="8" s="1"/>
  <c r="P158" i="8"/>
  <c r="Q158" i="8" s="1"/>
  <c r="O158" i="8"/>
  <c r="N158" i="8"/>
  <c r="L158" i="8"/>
  <c r="M158" i="8" s="1"/>
  <c r="J158" i="8"/>
  <c r="K158" i="8" s="1"/>
  <c r="H158" i="8"/>
  <c r="I158" i="8" s="1"/>
  <c r="F158" i="8"/>
  <c r="G158" i="8" s="1"/>
  <c r="D158" i="8"/>
  <c r="E158" i="8" s="1"/>
  <c r="V157" i="8"/>
  <c r="W157" i="8" s="1"/>
  <c r="T157" i="8"/>
  <c r="U157" i="8" s="1"/>
  <c r="S157" i="8"/>
  <c r="R157" i="8"/>
  <c r="P157" i="8"/>
  <c r="Q157" i="8" s="1"/>
  <c r="N157" i="8"/>
  <c r="O157" i="8" s="1"/>
  <c r="M157" i="8"/>
  <c r="L157" i="8"/>
  <c r="J157" i="8"/>
  <c r="K157" i="8" s="1"/>
  <c r="H157" i="8"/>
  <c r="I157" i="8" s="1"/>
  <c r="F157" i="8"/>
  <c r="G157" i="8" s="1"/>
  <c r="D157" i="8"/>
  <c r="E157" i="8" s="1"/>
  <c r="V156" i="8"/>
  <c r="W156" i="8" s="1"/>
  <c r="T156" i="8"/>
  <c r="U156" i="8" s="1"/>
  <c r="R156" i="8"/>
  <c r="S156" i="8" s="1"/>
  <c r="P156" i="8"/>
  <c r="Q156" i="8" s="1"/>
  <c r="N156" i="8"/>
  <c r="O156" i="8" s="1"/>
  <c r="L156" i="8"/>
  <c r="M156" i="8" s="1"/>
  <c r="J156" i="8"/>
  <c r="K156" i="8" s="1"/>
  <c r="H156" i="8"/>
  <c r="I156" i="8" s="1"/>
  <c r="F156" i="8"/>
  <c r="G156" i="8" s="1"/>
  <c r="D156" i="8"/>
  <c r="E156" i="8" s="1"/>
  <c r="V155" i="8"/>
  <c r="W155" i="8" s="1"/>
  <c r="T155" i="8"/>
  <c r="U155" i="8" s="1"/>
  <c r="R155" i="8"/>
  <c r="S155" i="8" s="1"/>
  <c r="P155" i="8"/>
  <c r="Q155" i="8" s="1"/>
  <c r="N155" i="8"/>
  <c r="O155" i="8" s="1"/>
  <c r="L155" i="8"/>
  <c r="M155" i="8" s="1"/>
  <c r="J155" i="8"/>
  <c r="K155" i="8" s="1"/>
  <c r="H155" i="8"/>
  <c r="I155" i="8" s="1"/>
  <c r="F155" i="8"/>
  <c r="G155" i="8" s="1"/>
  <c r="D155" i="8"/>
  <c r="E155" i="8" s="1"/>
  <c r="V154" i="8"/>
  <c r="W154" i="8" s="1"/>
  <c r="U154" i="8"/>
  <c r="T154" i="8"/>
  <c r="R154" i="8"/>
  <c r="S154" i="8" s="1"/>
  <c r="P154" i="8"/>
  <c r="Q154" i="8" s="1"/>
  <c r="N154" i="8"/>
  <c r="O154" i="8" s="1"/>
  <c r="L154" i="8"/>
  <c r="M154" i="8" s="1"/>
  <c r="J154" i="8"/>
  <c r="K154" i="8" s="1"/>
  <c r="I154" i="8"/>
  <c r="H154" i="8"/>
  <c r="F154" i="8"/>
  <c r="G154" i="8" s="1"/>
  <c r="D154" i="8"/>
  <c r="E154" i="8" s="1"/>
  <c r="V153" i="8"/>
  <c r="W153" i="8" s="1"/>
  <c r="T153" i="8"/>
  <c r="U153" i="8" s="1"/>
  <c r="R153" i="8"/>
  <c r="S153" i="8" s="1"/>
  <c r="Q153" i="8"/>
  <c r="P153" i="8"/>
  <c r="N153" i="8"/>
  <c r="O153" i="8" s="1"/>
  <c r="L153" i="8"/>
  <c r="M153" i="8" s="1"/>
  <c r="J153" i="8"/>
  <c r="K153" i="8" s="1"/>
  <c r="H153" i="8"/>
  <c r="I153" i="8" s="1"/>
  <c r="F153" i="8"/>
  <c r="G153" i="8" s="1"/>
  <c r="D153" i="8"/>
  <c r="E153" i="8" s="1"/>
  <c r="V152" i="8"/>
  <c r="W152" i="8" s="1"/>
  <c r="U152" i="8"/>
  <c r="T152" i="8"/>
  <c r="R152" i="8"/>
  <c r="S152" i="8" s="1"/>
  <c r="P152" i="8"/>
  <c r="Q152" i="8" s="1"/>
  <c r="N152" i="8"/>
  <c r="O152" i="8" s="1"/>
  <c r="L152" i="8"/>
  <c r="M152" i="8" s="1"/>
  <c r="J152" i="8"/>
  <c r="K152" i="8" s="1"/>
  <c r="H152" i="8"/>
  <c r="I152" i="8" s="1"/>
  <c r="F152" i="8"/>
  <c r="G152" i="8" s="1"/>
  <c r="D152" i="8"/>
  <c r="E152" i="8" s="1"/>
  <c r="V151" i="8"/>
  <c r="W151" i="8" s="1"/>
  <c r="T151" i="8"/>
  <c r="U151" i="8" s="1"/>
  <c r="R151" i="8"/>
  <c r="S151" i="8" s="1"/>
  <c r="P151" i="8"/>
  <c r="Q151" i="8" s="1"/>
  <c r="N151" i="8"/>
  <c r="O151" i="8" s="1"/>
  <c r="L151" i="8"/>
  <c r="M151" i="8" s="1"/>
  <c r="J151" i="8"/>
  <c r="K151" i="8" s="1"/>
  <c r="H151" i="8"/>
  <c r="I151" i="8" s="1"/>
  <c r="F151" i="8"/>
  <c r="G151" i="8" s="1"/>
  <c r="D151" i="8"/>
  <c r="E151" i="8" s="1"/>
  <c r="V150" i="8"/>
  <c r="W150" i="8" s="1"/>
  <c r="T150" i="8"/>
  <c r="U150" i="8" s="1"/>
  <c r="R150" i="8"/>
  <c r="S150" i="8" s="1"/>
  <c r="P150" i="8"/>
  <c r="Q150" i="8" s="1"/>
  <c r="N150" i="8"/>
  <c r="O150" i="8" s="1"/>
  <c r="L150" i="8"/>
  <c r="M150" i="8" s="1"/>
  <c r="J150" i="8"/>
  <c r="K150" i="8" s="1"/>
  <c r="I150" i="8"/>
  <c r="H150" i="8"/>
  <c r="G150" i="8"/>
  <c r="F150" i="8"/>
  <c r="D150" i="8"/>
  <c r="E150" i="8" s="1"/>
  <c r="V149" i="8"/>
  <c r="W149" i="8" s="1"/>
  <c r="T149" i="8"/>
  <c r="U149" i="8" s="1"/>
  <c r="S149" i="8"/>
  <c r="R149" i="8"/>
  <c r="P149" i="8"/>
  <c r="Q149" i="8" s="1"/>
  <c r="N149" i="8"/>
  <c r="O149" i="8" s="1"/>
  <c r="L149" i="8"/>
  <c r="M149" i="8" s="1"/>
  <c r="K149" i="8"/>
  <c r="J149" i="8"/>
  <c r="H149" i="8"/>
  <c r="I149" i="8" s="1"/>
  <c r="F149" i="8"/>
  <c r="G149" i="8" s="1"/>
  <c r="D149" i="8"/>
  <c r="E149" i="8" s="1"/>
  <c r="V148" i="8"/>
  <c r="W148" i="8" s="1"/>
  <c r="T148" i="8"/>
  <c r="U148" i="8" s="1"/>
  <c r="R148" i="8"/>
  <c r="S148" i="8" s="1"/>
  <c r="P148" i="8"/>
  <c r="Q148" i="8" s="1"/>
  <c r="N148" i="8"/>
  <c r="O148" i="8" s="1"/>
  <c r="L148" i="8"/>
  <c r="M148" i="8" s="1"/>
  <c r="J148" i="8"/>
  <c r="K148" i="8" s="1"/>
  <c r="H148" i="8"/>
  <c r="I148" i="8" s="1"/>
  <c r="F148" i="8"/>
  <c r="G148" i="8" s="1"/>
  <c r="D148" i="8"/>
  <c r="E148" i="8" s="1"/>
  <c r="V147" i="8"/>
  <c r="W147" i="8" s="1"/>
  <c r="T147" i="8"/>
  <c r="U147" i="8" s="1"/>
  <c r="R147" i="8"/>
  <c r="S147" i="8" s="1"/>
  <c r="P147" i="8"/>
  <c r="Q147" i="8" s="1"/>
  <c r="N147" i="8"/>
  <c r="O147" i="8" s="1"/>
  <c r="L147" i="8"/>
  <c r="M147" i="8" s="1"/>
  <c r="J147" i="8"/>
  <c r="K147" i="8" s="1"/>
  <c r="H147" i="8"/>
  <c r="I147" i="8" s="1"/>
  <c r="F147" i="8"/>
  <c r="G147" i="8" s="1"/>
  <c r="D147" i="8"/>
  <c r="E147" i="8" s="1"/>
  <c r="V146" i="8"/>
  <c r="W146" i="8" s="1"/>
  <c r="T146" i="8"/>
  <c r="U146" i="8" s="1"/>
  <c r="R146" i="8"/>
  <c r="S146" i="8" s="1"/>
  <c r="P146" i="8"/>
  <c r="Q146" i="8" s="1"/>
  <c r="N146" i="8"/>
  <c r="O146" i="8" s="1"/>
  <c r="M146" i="8"/>
  <c r="L146" i="8"/>
  <c r="J146" i="8"/>
  <c r="K146" i="8" s="1"/>
  <c r="H146" i="8"/>
  <c r="I146" i="8" s="1"/>
  <c r="F146" i="8"/>
  <c r="G146" i="8" s="1"/>
  <c r="D146" i="8"/>
  <c r="E146" i="8" s="1"/>
  <c r="V145" i="8"/>
  <c r="W145" i="8" s="1"/>
  <c r="T145" i="8"/>
  <c r="U145" i="8" s="1"/>
  <c r="R145" i="8"/>
  <c r="S145" i="8" s="1"/>
  <c r="Q145" i="8"/>
  <c r="P145" i="8"/>
  <c r="N145" i="8"/>
  <c r="O145" i="8" s="1"/>
  <c r="L145" i="8"/>
  <c r="M145" i="8" s="1"/>
  <c r="J145" i="8"/>
  <c r="K145" i="8" s="1"/>
  <c r="H145" i="8"/>
  <c r="I145" i="8" s="1"/>
  <c r="F145" i="8"/>
  <c r="G145" i="8" s="1"/>
  <c r="D145" i="8"/>
  <c r="E145" i="8" s="1"/>
  <c r="V144" i="8"/>
  <c r="W144" i="8" s="1"/>
  <c r="T144" i="8"/>
  <c r="U144" i="8" s="1"/>
  <c r="S144" i="8"/>
  <c r="R144" i="8"/>
  <c r="P144" i="8"/>
  <c r="Q144" i="8" s="1"/>
  <c r="N144" i="8"/>
  <c r="O144" i="8" s="1"/>
  <c r="L144" i="8"/>
  <c r="M144" i="8" s="1"/>
  <c r="J144" i="8"/>
  <c r="K144" i="8" s="1"/>
  <c r="H144" i="8"/>
  <c r="I144" i="8" s="1"/>
  <c r="F144" i="8"/>
  <c r="G144" i="8" s="1"/>
  <c r="D144" i="8"/>
  <c r="E144" i="8" s="1"/>
  <c r="V143" i="8"/>
  <c r="W143" i="8" s="1"/>
  <c r="T143" i="8"/>
  <c r="U143" i="8" s="1"/>
  <c r="R143" i="8"/>
  <c r="S143" i="8" s="1"/>
  <c r="P143" i="8"/>
  <c r="Q143" i="8" s="1"/>
  <c r="N143" i="8"/>
  <c r="O143" i="8" s="1"/>
  <c r="L143" i="8"/>
  <c r="M143" i="8" s="1"/>
  <c r="J143" i="8"/>
  <c r="K143" i="8" s="1"/>
  <c r="H143" i="8"/>
  <c r="I143" i="8" s="1"/>
  <c r="F143" i="8"/>
  <c r="G143" i="8" s="1"/>
  <c r="D143" i="8"/>
  <c r="E143" i="8" s="1"/>
  <c r="V142" i="8"/>
  <c r="W142" i="8" s="1"/>
  <c r="T142" i="8"/>
  <c r="U142" i="8" s="1"/>
  <c r="R142" i="8"/>
  <c r="S142" i="8" s="1"/>
  <c r="P142" i="8"/>
  <c r="Q142" i="8" s="1"/>
  <c r="N142" i="8"/>
  <c r="O142" i="8" s="1"/>
  <c r="L142" i="8"/>
  <c r="M142" i="8" s="1"/>
  <c r="J142" i="8"/>
  <c r="K142" i="8" s="1"/>
  <c r="H142" i="8"/>
  <c r="I142" i="8" s="1"/>
  <c r="F142" i="8"/>
  <c r="G142" i="8" s="1"/>
  <c r="D142" i="8"/>
  <c r="E142" i="8" s="1"/>
  <c r="V141" i="8"/>
  <c r="W141" i="8" s="1"/>
  <c r="T141" i="8"/>
  <c r="U141" i="8" s="1"/>
  <c r="R141" i="8"/>
  <c r="S141" i="8" s="1"/>
  <c r="P141" i="8"/>
  <c r="Q141" i="8" s="1"/>
  <c r="N141" i="8"/>
  <c r="O141" i="8" s="1"/>
  <c r="L141" i="8"/>
  <c r="M141" i="8" s="1"/>
  <c r="J141" i="8"/>
  <c r="K141" i="8" s="1"/>
  <c r="H141" i="8"/>
  <c r="I141" i="8" s="1"/>
  <c r="F141" i="8"/>
  <c r="G141" i="8" s="1"/>
  <c r="D141" i="8"/>
  <c r="E141" i="8" s="1"/>
  <c r="V140" i="8"/>
  <c r="W140" i="8" s="1"/>
  <c r="T140" i="8"/>
  <c r="U140" i="8" s="1"/>
  <c r="R140" i="8"/>
  <c r="S140" i="8" s="1"/>
  <c r="P140" i="8"/>
  <c r="Q140" i="8" s="1"/>
  <c r="N140" i="8"/>
  <c r="O140" i="8" s="1"/>
  <c r="L140" i="8"/>
  <c r="M140" i="8" s="1"/>
  <c r="J140" i="8"/>
  <c r="K140" i="8" s="1"/>
  <c r="H140" i="8"/>
  <c r="I140" i="8" s="1"/>
  <c r="F140" i="8"/>
  <c r="G140" i="8" s="1"/>
  <c r="D140" i="8"/>
  <c r="E140" i="8" s="1"/>
  <c r="V139" i="8"/>
  <c r="W139" i="8" s="1"/>
  <c r="T139" i="8"/>
  <c r="U139" i="8" s="1"/>
  <c r="R139" i="8"/>
  <c r="S139" i="8" s="1"/>
  <c r="P139" i="8"/>
  <c r="Q139" i="8" s="1"/>
  <c r="N139" i="8"/>
  <c r="O139" i="8" s="1"/>
  <c r="L139" i="8"/>
  <c r="M139" i="8" s="1"/>
  <c r="K139" i="8"/>
  <c r="J139" i="8"/>
  <c r="H139" i="8"/>
  <c r="I139" i="8" s="1"/>
  <c r="F139" i="8"/>
  <c r="G139" i="8" s="1"/>
  <c r="D139" i="8"/>
  <c r="E139" i="8" s="1"/>
  <c r="V138" i="8"/>
  <c r="W138" i="8" s="1"/>
  <c r="T138" i="8"/>
  <c r="U138" i="8" s="1"/>
  <c r="R138" i="8"/>
  <c r="S138" i="8" s="1"/>
  <c r="P138" i="8"/>
  <c r="Q138" i="8" s="1"/>
  <c r="N138" i="8"/>
  <c r="O138" i="8" s="1"/>
  <c r="L138" i="8"/>
  <c r="M138" i="8" s="1"/>
  <c r="J138" i="8"/>
  <c r="K138" i="8" s="1"/>
  <c r="H138" i="8"/>
  <c r="I138" i="8" s="1"/>
  <c r="F138" i="8"/>
  <c r="G138" i="8" s="1"/>
  <c r="D138" i="8"/>
  <c r="E138" i="8" s="1"/>
  <c r="V137" i="8"/>
  <c r="W137" i="8" s="1"/>
  <c r="T137" i="8"/>
  <c r="U137" i="8" s="1"/>
  <c r="R137" i="8"/>
  <c r="S137" i="8" s="1"/>
  <c r="P137" i="8"/>
  <c r="Q137" i="8" s="1"/>
  <c r="N137" i="8"/>
  <c r="O137" i="8" s="1"/>
  <c r="L137" i="8"/>
  <c r="M137" i="8" s="1"/>
  <c r="J137" i="8"/>
  <c r="K137" i="8" s="1"/>
  <c r="H137" i="8"/>
  <c r="I137" i="8" s="1"/>
  <c r="F137" i="8"/>
  <c r="G137" i="8" s="1"/>
  <c r="D137" i="8"/>
  <c r="E137" i="8" s="1"/>
  <c r="V136" i="8"/>
  <c r="W136" i="8" s="1"/>
  <c r="T136" i="8"/>
  <c r="U136" i="8" s="1"/>
  <c r="R136" i="8"/>
  <c r="S136" i="8" s="1"/>
  <c r="P136" i="8"/>
  <c r="Q136" i="8" s="1"/>
  <c r="N136" i="8"/>
  <c r="O136" i="8" s="1"/>
  <c r="L136" i="8"/>
  <c r="M136" i="8" s="1"/>
  <c r="J136" i="8"/>
  <c r="K136" i="8" s="1"/>
  <c r="H136" i="8"/>
  <c r="I136" i="8" s="1"/>
  <c r="F136" i="8"/>
  <c r="G136" i="8" s="1"/>
  <c r="D136" i="8"/>
  <c r="E136" i="8" s="1"/>
  <c r="V135" i="8"/>
  <c r="W135" i="8" s="1"/>
  <c r="U135" i="8"/>
  <c r="T135" i="8"/>
  <c r="R135" i="8"/>
  <c r="S135" i="8" s="1"/>
  <c r="P135" i="8"/>
  <c r="Q135" i="8" s="1"/>
  <c r="N135" i="8"/>
  <c r="O135" i="8" s="1"/>
  <c r="L135" i="8"/>
  <c r="M135" i="8" s="1"/>
  <c r="J135" i="8"/>
  <c r="K135" i="8" s="1"/>
  <c r="H135" i="8"/>
  <c r="I135" i="8" s="1"/>
  <c r="G135" i="8"/>
  <c r="F135" i="8"/>
  <c r="D135" i="8"/>
  <c r="E135" i="8" s="1"/>
  <c r="W134" i="8"/>
  <c r="V134" i="8"/>
  <c r="T134" i="8"/>
  <c r="U134" i="8" s="1"/>
  <c r="R134" i="8"/>
  <c r="S134" i="8" s="1"/>
  <c r="P134" i="8"/>
  <c r="Q134" i="8" s="1"/>
  <c r="N134" i="8"/>
  <c r="O134" i="8" s="1"/>
  <c r="L134" i="8"/>
  <c r="M134" i="8" s="1"/>
  <c r="J134" i="8"/>
  <c r="K134" i="8" s="1"/>
  <c r="H134" i="8"/>
  <c r="I134" i="8" s="1"/>
  <c r="G134" i="8"/>
  <c r="F134" i="8"/>
  <c r="D134" i="8"/>
  <c r="E134" i="8" s="1"/>
  <c r="V133" i="8"/>
  <c r="W133" i="8" s="1"/>
  <c r="T133" i="8"/>
  <c r="U133" i="8" s="1"/>
  <c r="R133" i="8"/>
  <c r="S133" i="8" s="1"/>
  <c r="P133" i="8"/>
  <c r="Q133" i="8" s="1"/>
  <c r="O133" i="8"/>
  <c r="N133" i="8"/>
  <c r="L133" i="8"/>
  <c r="M133" i="8" s="1"/>
  <c r="K133" i="8"/>
  <c r="J133" i="8"/>
  <c r="H133" i="8"/>
  <c r="I133" i="8" s="1"/>
  <c r="F133" i="8"/>
  <c r="G133" i="8" s="1"/>
  <c r="E133" i="8"/>
  <c r="D133" i="8"/>
  <c r="V132" i="8"/>
  <c r="W132" i="8" s="1"/>
  <c r="T132" i="8"/>
  <c r="U132" i="8" s="1"/>
  <c r="S132" i="8"/>
  <c r="R132" i="8"/>
  <c r="P132" i="8"/>
  <c r="Q132" i="8" s="1"/>
  <c r="N132" i="8"/>
  <c r="O132" i="8" s="1"/>
  <c r="L132" i="8"/>
  <c r="M132" i="8" s="1"/>
  <c r="J132" i="8"/>
  <c r="K132" i="8" s="1"/>
  <c r="H132" i="8"/>
  <c r="I132" i="8" s="1"/>
  <c r="F132" i="8"/>
  <c r="G132" i="8" s="1"/>
  <c r="E132" i="8"/>
  <c r="D132" i="8"/>
  <c r="V131" i="8"/>
  <c r="W131" i="8" s="1"/>
  <c r="T131" i="8"/>
  <c r="U131" i="8" s="1"/>
  <c r="R131" i="8"/>
  <c r="S131" i="8" s="1"/>
  <c r="P131" i="8"/>
  <c r="Q131" i="8" s="1"/>
  <c r="N131" i="8"/>
  <c r="O131" i="8" s="1"/>
  <c r="L131" i="8"/>
  <c r="M131" i="8" s="1"/>
  <c r="J131" i="8"/>
  <c r="K131" i="8" s="1"/>
  <c r="H131" i="8"/>
  <c r="I131" i="8" s="1"/>
  <c r="F131" i="8"/>
  <c r="G131" i="8" s="1"/>
  <c r="D131" i="8"/>
  <c r="E131" i="8" s="1"/>
  <c r="V130" i="8"/>
  <c r="W130" i="8" s="1"/>
  <c r="T130" i="8"/>
  <c r="U130" i="8" s="1"/>
  <c r="R130" i="8"/>
  <c r="S130" i="8" s="1"/>
  <c r="P130" i="8"/>
  <c r="Q130" i="8" s="1"/>
  <c r="O130" i="8"/>
  <c r="N130" i="8"/>
  <c r="L130" i="8"/>
  <c r="M130" i="8" s="1"/>
  <c r="K130" i="8"/>
  <c r="J130" i="8"/>
  <c r="H130" i="8"/>
  <c r="I130" i="8" s="1"/>
  <c r="F130" i="8"/>
  <c r="G130" i="8" s="1"/>
  <c r="E130" i="8"/>
  <c r="D130" i="8"/>
  <c r="V129" i="8"/>
  <c r="W129" i="8" s="1"/>
  <c r="T129" i="8"/>
  <c r="U129" i="8" s="1"/>
  <c r="S129" i="8"/>
  <c r="R129" i="8"/>
  <c r="P129" i="8"/>
  <c r="Q129" i="8" s="1"/>
  <c r="O129" i="8"/>
  <c r="N129" i="8"/>
  <c r="L129" i="8"/>
  <c r="M129" i="8" s="1"/>
  <c r="J129" i="8"/>
  <c r="K129" i="8" s="1"/>
  <c r="H129" i="8"/>
  <c r="I129" i="8" s="1"/>
  <c r="F129" i="8"/>
  <c r="G129" i="8" s="1"/>
  <c r="D129" i="8"/>
  <c r="E129" i="8" s="1"/>
  <c r="W128" i="8"/>
  <c r="V128" i="8"/>
  <c r="T128" i="8"/>
  <c r="U128" i="8" s="1"/>
  <c r="R128" i="8"/>
  <c r="S128" i="8" s="1"/>
  <c r="P128" i="8"/>
  <c r="Q128" i="8" s="1"/>
  <c r="N128" i="8"/>
  <c r="O128" i="8" s="1"/>
  <c r="L128" i="8"/>
  <c r="M128" i="8" s="1"/>
  <c r="J128" i="8"/>
  <c r="K128" i="8" s="1"/>
  <c r="H128" i="8"/>
  <c r="I128" i="8" s="1"/>
  <c r="F128" i="8"/>
  <c r="G128" i="8" s="1"/>
  <c r="D128" i="8"/>
  <c r="E128" i="8" s="1"/>
  <c r="V127" i="8"/>
  <c r="W127" i="8" s="1"/>
  <c r="U127" i="8"/>
  <c r="T127" i="8"/>
  <c r="R127" i="8"/>
  <c r="S127" i="8" s="1"/>
  <c r="P127" i="8"/>
  <c r="Q127" i="8" s="1"/>
  <c r="O127" i="8"/>
  <c r="N127" i="8"/>
  <c r="L127" i="8"/>
  <c r="M127" i="8" s="1"/>
  <c r="J127" i="8"/>
  <c r="K127" i="8" s="1"/>
  <c r="H127" i="8"/>
  <c r="I127" i="8" s="1"/>
  <c r="F127" i="8"/>
  <c r="G127" i="8" s="1"/>
  <c r="D127" i="8"/>
  <c r="E127" i="8" s="1"/>
  <c r="W126" i="8"/>
  <c r="V126" i="8"/>
  <c r="T126" i="8"/>
  <c r="U126" i="8" s="1"/>
  <c r="R126" i="8"/>
  <c r="S126" i="8" s="1"/>
  <c r="P126" i="8"/>
  <c r="Q126" i="8" s="1"/>
  <c r="N126" i="8"/>
  <c r="O126" i="8" s="1"/>
  <c r="L126" i="8"/>
  <c r="M126" i="8" s="1"/>
  <c r="J126" i="8"/>
  <c r="K126" i="8" s="1"/>
  <c r="H126" i="8"/>
  <c r="I126" i="8" s="1"/>
  <c r="G126" i="8"/>
  <c r="F126" i="8"/>
  <c r="D126" i="8"/>
  <c r="E126" i="8" s="1"/>
  <c r="V125" i="8"/>
  <c r="W125" i="8" s="1"/>
  <c r="T125" i="8"/>
  <c r="U125" i="8" s="1"/>
  <c r="R125" i="8"/>
  <c r="S125" i="8" s="1"/>
  <c r="Q125" i="8"/>
  <c r="P125" i="8"/>
  <c r="N125" i="8"/>
  <c r="O125" i="8" s="1"/>
  <c r="L125" i="8"/>
  <c r="M125" i="8" s="1"/>
  <c r="K125" i="8"/>
  <c r="J125" i="8"/>
  <c r="I125" i="8"/>
  <c r="H125" i="8"/>
  <c r="F125" i="8"/>
  <c r="G125" i="8" s="1"/>
  <c r="D125" i="8"/>
  <c r="E125" i="8" s="1"/>
  <c r="V124" i="8"/>
  <c r="W124" i="8" s="1"/>
  <c r="T124" i="8"/>
  <c r="U124" i="8" s="1"/>
  <c r="R124" i="8"/>
  <c r="S124" i="8" s="1"/>
  <c r="P124" i="8"/>
  <c r="Q124" i="8" s="1"/>
  <c r="N124" i="8"/>
  <c r="O124" i="8" s="1"/>
  <c r="L124" i="8"/>
  <c r="M124" i="8" s="1"/>
  <c r="J124" i="8"/>
  <c r="K124" i="8" s="1"/>
  <c r="H124" i="8"/>
  <c r="I124" i="8" s="1"/>
  <c r="F124" i="8"/>
  <c r="G124" i="8" s="1"/>
  <c r="D124" i="8"/>
  <c r="E124" i="8" s="1"/>
  <c r="V123" i="8"/>
  <c r="W123" i="8" s="1"/>
  <c r="U123" i="8"/>
  <c r="T123" i="8"/>
  <c r="R123" i="8"/>
  <c r="S123" i="8" s="1"/>
  <c r="P123" i="8"/>
  <c r="Q123" i="8" s="1"/>
  <c r="N123" i="8"/>
  <c r="O123" i="8" s="1"/>
  <c r="L123" i="8"/>
  <c r="M123" i="8" s="1"/>
  <c r="K123" i="8"/>
  <c r="J123" i="8"/>
  <c r="H123" i="8"/>
  <c r="I123" i="8" s="1"/>
  <c r="F123" i="8"/>
  <c r="G123" i="8" s="1"/>
  <c r="D123" i="8"/>
  <c r="E123" i="8" s="1"/>
  <c r="V122" i="8"/>
  <c r="W122" i="8" s="1"/>
  <c r="T122" i="8"/>
  <c r="U122" i="8" s="1"/>
  <c r="S122" i="8"/>
  <c r="R122" i="8"/>
  <c r="P122" i="8"/>
  <c r="Q122" i="8" s="1"/>
  <c r="N122" i="8"/>
  <c r="O122" i="8" s="1"/>
  <c r="L122" i="8"/>
  <c r="M122" i="8" s="1"/>
  <c r="J122" i="8"/>
  <c r="K122" i="8" s="1"/>
  <c r="F122" i="8"/>
  <c r="G122" i="8" s="1"/>
  <c r="D122" i="8"/>
  <c r="E122" i="8" s="1"/>
  <c r="V121" i="8"/>
  <c r="W121" i="8" s="1"/>
  <c r="T121" i="8"/>
  <c r="U121" i="8" s="1"/>
  <c r="R121" i="8"/>
  <c r="S121" i="8" s="1"/>
  <c r="P121" i="8"/>
  <c r="Q121" i="8" s="1"/>
  <c r="N121" i="8"/>
  <c r="O121" i="8" s="1"/>
  <c r="M121" i="8"/>
  <c r="L121" i="8"/>
  <c r="J121" i="8"/>
  <c r="K121" i="8" s="1"/>
  <c r="H121" i="8"/>
  <c r="I121" i="8" s="1"/>
  <c r="F121" i="8"/>
  <c r="G121" i="8" s="1"/>
  <c r="E121" i="8"/>
  <c r="D121" i="8"/>
  <c r="V120" i="8"/>
  <c r="W120" i="8" s="1"/>
  <c r="T120" i="8"/>
  <c r="U120" i="8" s="1"/>
  <c r="R120" i="8"/>
  <c r="S120" i="8" s="1"/>
  <c r="P120" i="8"/>
  <c r="Q120" i="8" s="1"/>
  <c r="N120" i="8"/>
  <c r="O120" i="8" s="1"/>
  <c r="L120" i="8"/>
  <c r="M120" i="8" s="1"/>
  <c r="J120" i="8"/>
  <c r="K120" i="8" s="1"/>
  <c r="H120" i="8"/>
  <c r="I120" i="8" s="1"/>
  <c r="F120" i="8"/>
  <c r="G120" i="8" s="1"/>
  <c r="E120" i="8"/>
  <c r="D120" i="8"/>
  <c r="V119" i="8"/>
  <c r="W119" i="8" s="1"/>
  <c r="U119" i="8"/>
  <c r="T119" i="8"/>
  <c r="R119" i="8"/>
  <c r="S119" i="8" s="1"/>
  <c r="P119" i="8"/>
  <c r="Q119" i="8" s="1"/>
  <c r="N119" i="8"/>
  <c r="O119" i="8" s="1"/>
  <c r="L119" i="8"/>
  <c r="M119" i="8" s="1"/>
  <c r="J119" i="8"/>
  <c r="K119" i="8" s="1"/>
  <c r="H119" i="8"/>
  <c r="I119" i="8" s="1"/>
  <c r="F119" i="8"/>
  <c r="G119" i="8" s="1"/>
  <c r="D119" i="8"/>
  <c r="E119" i="8" s="1"/>
  <c r="W118" i="8"/>
  <c r="V118" i="8"/>
  <c r="T118" i="8"/>
  <c r="U118" i="8" s="1"/>
  <c r="R118" i="8"/>
  <c r="S118" i="8" s="1"/>
  <c r="P118" i="8"/>
  <c r="Q118" i="8" s="1"/>
  <c r="N118" i="8"/>
  <c r="O118" i="8" s="1"/>
  <c r="L118" i="8"/>
  <c r="M118" i="8" s="1"/>
  <c r="J118" i="8"/>
  <c r="K118" i="8" s="1"/>
  <c r="H118" i="8"/>
  <c r="I118" i="8" s="1"/>
  <c r="F118" i="8"/>
  <c r="G118" i="8" s="1"/>
  <c r="E118" i="8"/>
  <c r="D118" i="8"/>
  <c r="V117" i="8"/>
  <c r="W117" i="8" s="1"/>
  <c r="T117" i="8"/>
  <c r="U117" i="8" s="1"/>
  <c r="R117" i="8"/>
  <c r="S117" i="8" s="1"/>
  <c r="P117" i="8"/>
  <c r="Q117" i="8" s="1"/>
  <c r="N117" i="8"/>
  <c r="O117" i="8" s="1"/>
  <c r="L117" i="8"/>
  <c r="M117" i="8" s="1"/>
  <c r="K117" i="8"/>
  <c r="J117" i="8"/>
  <c r="H117" i="8"/>
  <c r="I117" i="8" s="1"/>
  <c r="F117" i="8"/>
  <c r="G117" i="8" s="1"/>
  <c r="D117" i="8"/>
  <c r="E117" i="8" s="1"/>
  <c r="V116" i="8"/>
  <c r="W116" i="8" s="1"/>
  <c r="T116" i="8"/>
  <c r="U116" i="8" s="1"/>
  <c r="R116" i="8"/>
  <c r="S116" i="8" s="1"/>
  <c r="P116" i="8"/>
  <c r="Q116" i="8" s="1"/>
  <c r="N116" i="8"/>
  <c r="O116" i="8" s="1"/>
  <c r="L116" i="8"/>
  <c r="M116" i="8" s="1"/>
  <c r="J116" i="8"/>
  <c r="K116" i="8" s="1"/>
  <c r="H116" i="8"/>
  <c r="I116" i="8" s="1"/>
  <c r="F116" i="8"/>
  <c r="G116" i="8" s="1"/>
  <c r="D116" i="8"/>
  <c r="E116" i="8" s="1"/>
  <c r="V115" i="8"/>
  <c r="W115" i="8" s="1"/>
  <c r="T115" i="8"/>
  <c r="U115" i="8" s="1"/>
  <c r="R115" i="8"/>
  <c r="S115" i="8" s="1"/>
  <c r="P115" i="8"/>
  <c r="Q115" i="8" s="1"/>
  <c r="N115" i="8"/>
  <c r="O115" i="8" s="1"/>
  <c r="L115" i="8"/>
  <c r="M115" i="8" s="1"/>
  <c r="J115" i="8"/>
  <c r="K115" i="8" s="1"/>
  <c r="H115" i="8"/>
  <c r="I115" i="8" s="1"/>
  <c r="F115" i="8"/>
  <c r="G115" i="8" s="1"/>
  <c r="D115" i="8"/>
  <c r="E115" i="8" s="1"/>
  <c r="V114" i="8"/>
  <c r="W114" i="8" s="1"/>
  <c r="T114" i="8"/>
  <c r="U114" i="8" s="1"/>
  <c r="S114" i="8"/>
  <c r="R114" i="8"/>
  <c r="P114" i="8"/>
  <c r="Q114" i="8" s="1"/>
  <c r="N114" i="8"/>
  <c r="O114" i="8" s="1"/>
  <c r="L114" i="8"/>
  <c r="M114" i="8" s="1"/>
  <c r="J114" i="8"/>
  <c r="K114" i="8" s="1"/>
  <c r="H114" i="8"/>
  <c r="I114" i="8" s="1"/>
  <c r="G114" i="8"/>
  <c r="F114" i="8"/>
  <c r="D114" i="8"/>
  <c r="E114" i="8" s="1"/>
  <c r="W113" i="8"/>
  <c r="U113" i="8"/>
  <c r="S113" i="8"/>
  <c r="Q113" i="8"/>
  <c r="O113" i="8"/>
  <c r="M113" i="8"/>
  <c r="K113" i="8"/>
  <c r="I113" i="8"/>
  <c r="G113" i="8"/>
  <c r="E113" i="8"/>
  <c r="W83" i="8"/>
  <c r="W97" i="8"/>
  <c r="W6" i="8"/>
  <c r="U6" i="8"/>
  <c r="S6" i="8"/>
  <c r="Q6" i="8"/>
  <c r="O6" i="8"/>
  <c r="M6" i="8"/>
  <c r="K6" i="8"/>
  <c r="I6" i="8"/>
  <c r="G6" i="8"/>
  <c r="E6" i="8"/>
  <c r="D7" i="8"/>
  <c r="E7" i="8" s="1"/>
  <c r="D8" i="8"/>
  <c r="E8" i="8" s="1"/>
  <c r="D9" i="8"/>
  <c r="E9" i="8" s="1"/>
  <c r="D10" i="8"/>
  <c r="E10" i="8" s="1"/>
  <c r="D11" i="8"/>
  <c r="E11" i="8" s="1"/>
  <c r="D14" i="8"/>
  <c r="E14" i="8" s="1"/>
  <c r="D15" i="8"/>
  <c r="E15" i="8" s="1"/>
  <c r="D16" i="8"/>
  <c r="E16" i="8" s="1"/>
  <c r="D18" i="8"/>
  <c r="E18" i="8" s="1"/>
  <c r="D19" i="8"/>
  <c r="E19" i="8" s="1"/>
  <c r="D20" i="8"/>
  <c r="E20" i="8" s="1"/>
  <c r="D22" i="8"/>
  <c r="E22" i="8" s="1"/>
  <c r="D23" i="8"/>
  <c r="E23" i="8" s="1"/>
  <c r="D24" i="8"/>
  <c r="E24" i="8" s="1"/>
  <c r="D26" i="8"/>
  <c r="E26" i="8" s="1"/>
  <c r="D29" i="8"/>
  <c r="E29" i="8" s="1"/>
  <c r="D30" i="8"/>
  <c r="E30" i="8" s="1"/>
  <c r="E4" i="8" s="1"/>
  <c r="D33" i="8"/>
  <c r="E33" i="8" s="1"/>
  <c r="D34" i="8"/>
  <c r="E34" i="8" s="1"/>
  <c r="D37" i="8"/>
  <c r="E37" i="8" s="1"/>
  <c r="D38" i="8"/>
  <c r="E38" i="8" s="1"/>
  <c r="D42" i="8"/>
  <c r="E42" i="8" s="1"/>
  <c r="D43" i="8"/>
  <c r="E43" i="8" s="1"/>
  <c r="D46" i="8"/>
  <c r="E46" i="8" s="1"/>
  <c r="D51" i="8"/>
  <c r="E51" i="8" s="1"/>
  <c r="D52" i="8"/>
  <c r="E52" i="8" s="1"/>
  <c r="D54" i="8"/>
  <c r="E54" i="8" s="1"/>
  <c r="D73" i="8"/>
  <c r="E73" i="8" s="1"/>
  <c r="D74" i="8"/>
  <c r="E74" i="8" s="1"/>
  <c r="D80" i="8"/>
  <c r="E80" i="8" s="1"/>
  <c r="D81" i="8"/>
  <c r="E81" i="8" s="1"/>
  <c r="D83" i="8"/>
  <c r="E83" i="8" s="1"/>
  <c r="D84" i="8"/>
  <c r="E84" i="8" s="1"/>
  <c r="D89" i="8"/>
  <c r="E89" i="8" s="1"/>
  <c r="D90" i="8"/>
  <c r="E90" i="8" s="1"/>
  <c r="D95" i="8"/>
  <c r="E95" i="8" s="1"/>
  <c r="V99" i="8"/>
  <c r="W99" i="8" s="1"/>
  <c r="T99" i="8"/>
  <c r="U99" i="8" s="1"/>
  <c r="R99" i="8"/>
  <c r="S99" i="8" s="1"/>
  <c r="P99" i="8"/>
  <c r="Q99" i="8" s="1"/>
  <c r="N99" i="8"/>
  <c r="O99" i="8" s="1"/>
  <c r="L99" i="8"/>
  <c r="M99" i="8" s="1"/>
  <c r="J99" i="8"/>
  <c r="K99" i="8" s="1"/>
  <c r="H99" i="8"/>
  <c r="I99" i="8" s="1"/>
  <c r="F99" i="8"/>
  <c r="G99" i="8" s="1"/>
  <c r="D99" i="8"/>
  <c r="E99" i="8" s="1"/>
  <c r="V98" i="8"/>
  <c r="W98" i="8" s="1"/>
  <c r="T98" i="8"/>
  <c r="U98" i="8" s="1"/>
  <c r="R98" i="8"/>
  <c r="S98" i="8" s="1"/>
  <c r="P98" i="8"/>
  <c r="Q98" i="8" s="1"/>
  <c r="N98" i="8"/>
  <c r="O98" i="8" s="1"/>
  <c r="L98" i="8"/>
  <c r="M98" i="8" s="1"/>
  <c r="J98" i="8"/>
  <c r="K98" i="8" s="1"/>
  <c r="H98" i="8"/>
  <c r="I98" i="8" s="1"/>
  <c r="F98" i="8"/>
  <c r="G98" i="8" s="1"/>
  <c r="D98" i="8"/>
  <c r="E98" i="8" s="1"/>
  <c r="V97" i="8"/>
  <c r="T97" i="8"/>
  <c r="U97" i="8" s="1"/>
  <c r="R97" i="8"/>
  <c r="S97" i="8" s="1"/>
  <c r="P97" i="8"/>
  <c r="Q97" i="8" s="1"/>
  <c r="N97" i="8"/>
  <c r="O97" i="8" s="1"/>
  <c r="L97" i="8"/>
  <c r="M97" i="8" s="1"/>
  <c r="J97" i="8"/>
  <c r="K97" i="8" s="1"/>
  <c r="H97" i="8"/>
  <c r="I97" i="8" s="1"/>
  <c r="F97" i="8"/>
  <c r="G97" i="8" s="1"/>
  <c r="D97" i="8"/>
  <c r="E97" i="8" s="1"/>
  <c r="V96" i="8"/>
  <c r="W96" i="8" s="1"/>
  <c r="T96" i="8"/>
  <c r="U96" i="8" s="1"/>
  <c r="R96" i="8"/>
  <c r="S96" i="8" s="1"/>
  <c r="P96" i="8"/>
  <c r="Q96" i="8" s="1"/>
  <c r="N96" i="8"/>
  <c r="O96" i="8" s="1"/>
  <c r="L96" i="8"/>
  <c r="M96" i="8" s="1"/>
  <c r="J96" i="8"/>
  <c r="K96" i="8" s="1"/>
  <c r="H96" i="8"/>
  <c r="I96" i="8" s="1"/>
  <c r="F96" i="8"/>
  <c r="G96" i="8" s="1"/>
  <c r="D96" i="8"/>
  <c r="E96" i="8" s="1"/>
  <c r="V95" i="8"/>
  <c r="W95" i="8" s="1"/>
  <c r="T95" i="8"/>
  <c r="U95" i="8" s="1"/>
  <c r="R95" i="8"/>
  <c r="S95" i="8" s="1"/>
  <c r="P95" i="8"/>
  <c r="Q95" i="8" s="1"/>
  <c r="N95" i="8"/>
  <c r="O95" i="8" s="1"/>
  <c r="L95" i="8"/>
  <c r="M95" i="8" s="1"/>
  <c r="J95" i="8"/>
  <c r="K95" i="8" s="1"/>
  <c r="H95" i="8"/>
  <c r="I95" i="8" s="1"/>
  <c r="F95" i="8"/>
  <c r="G95" i="8" s="1"/>
  <c r="V94" i="8"/>
  <c r="W94" i="8" s="1"/>
  <c r="T94" i="8"/>
  <c r="U94" i="8" s="1"/>
  <c r="R94" i="8"/>
  <c r="S94" i="8" s="1"/>
  <c r="P94" i="8"/>
  <c r="Q94" i="8" s="1"/>
  <c r="N94" i="8"/>
  <c r="O94" i="8" s="1"/>
  <c r="L94" i="8"/>
  <c r="M94" i="8" s="1"/>
  <c r="J94" i="8"/>
  <c r="K94" i="8" s="1"/>
  <c r="H94" i="8"/>
  <c r="I94" i="8" s="1"/>
  <c r="F94" i="8"/>
  <c r="G94" i="8" s="1"/>
  <c r="D94" i="8"/>
  <c r="E94" i="8" s="1"/>
  <c r="V93" i="8"/>
  <c r="W93" i="8" s="1"/>
  <c r="T93" i="8"/>
  <c r="U93" i="8" s="1"/>
  <c r="R93" i="8"/>
  <c r="S93" i="8" s="1"/>
  <c r="P93" i="8"/>
  <c r="Q93" i="8" s="1"/>
  <c r="N93" i="8"/>
  <c r="O93" i="8" s="1"/>
  <c r="L93" i="8"/>
  <c r="M93" i="8" s="1"/>
  <c r="J93" i="8"/>
  <c r="K93" i="8" s="1"/>
  <c r="H93" i="8"/>
  <c r="I93" i="8" s="1"/>
  <c r="F93" i="8"/>
  <c r="G93" i="8" s="1"/>
  <c r="D93" i="8"/>
  <c r="E93" i="8" s="1"/>
  <c r="V92" i="8"/>
  <c r="W92" i="8" s="1"/>
  <c r="T92" i="8"/>
  <c r="U92" i="8" s="1"/>
  <c r="R92" i="8"/>
  <c r="S92" i="8" s="1"/>
  <c r="P92" i="8"/>
  <c r="Q92" i="8" s="1"/>
  <c r="N92" i="8"/>
  <c r="O92" i="8" s="1"/>
  <c r="L92" i="8"/>
  <c r="M92" i="8" s="1"/>
  <c r="J92" i="8"/>
  <c r="K92" i="8" s="1"/>
  <c r="H92" i="8"/>
  <c r="I92" i="8" s="1"/>
  <c r="F92" i="8"/>
  <c r="G92" i="8" s="1"/>
  <c r="D92" i="8"/>
  <c r="E92" i="8" s="1"/>
  <c r="V91" i="8"/>
  <c r="W91" i="8" s="1"/>
  <c r="T91" i="8"/>
  <c r="U91" i="8" s="1"/>
  <c r="R91" i="8"/>
  <c r="S91" i="8" s="1"/>
  <c r="P91" i="8"/>
  <c r="Q91" i="8" s="1"/>
  <c r="N91" i="8"/>
  <c r="O91" i="8" s="1"/>
  <c r="L91" i="8"/>
  <c r="M91" i="8" s="1"/>
  <c r="J91" i="8"/>
  <c r="K91" i="8" s="1"/>
  <c r="H91" i="8"/>
  <c r="I91" i="8" s="1"/>
  <c r="F91" i="8"/>
  <c r="G91" i="8" s="1"/>
  <c r="D91" i="8"/>
  <c r="E91" i="8" s="1"/>
  <c r="V90" i="8"/>
  <c r="W90" i="8" s="1"/>
  <c r="T90" i="8"/>
  <c r="U90" i="8" s="1"/>
  <c r="R90" i="8"/>
  <c r="S90" i="8" s="1"/>
  <c r="P90" i="8"/>
  <c r="Q90" i="8" s="1"/>
  <c r="N90" i="8"/>
  <c r="O90" i="8" s="1"/>
  <c r="L90" i="8"/>
  <c r="M90" i="8" s="1"/>
  <c r="J90" i="8"/>
  <c r="K90" i="8" s="1"/>
  <c r="H90" i="8"/>
  <c r="I90" i="8" s="1"/>
  <c r="F90" i="8"/>
  <c r="G90" i="8" s="1"/>
  <c r="V89" i="8"/>
  <c r="W89" i="8" s="1"/>
  <c r="T89" i="8"/>
  <c r="U89" i="8" s="1"/>
  <c r="R89" i="8"/>
  <c r="S89" i="8" s="1"/>
  <c r="P89" i="8"/>
  <c r="Q89" i="8" s="1"/>
  <c r="N89" i="8"/>
  <c r="O89" i="8" s="1"/>
  <c r="L89" i="8"/>
  <c r="M89" i="8" s="1"/>
  <c r="J89" i="8"/>
  <c r="K89" i="8" s="1"/>
  <c r="H89" i="8"/>
  <c r="I89" i="8" s="1"/>
  <c r="F89" i="8"/>
  <c r="G89" i="8" s="1"/>
  <c r="V88" i="8"/>
  <c r="W88" i="8" s="1"/>
  <c r="T88" i="8"/>
  <c r="U88" i="8" s="1"/>
  <c r="R88" i="8"/>
  <c r="S88" i="8" s="1"/>
  <c r="P88" i="8"/>
  <c r="Q88" i="8" s="1"/>
  <c r="N88" i="8"/>
  <c r="O88" i="8" s="1"/>
  <c r="L88" i="8"/>
  <c r="M88" i="8" s="1"/>
  <c r="J88" i="8"/>
  <c r="K88" i="8" s="1"/>
  <c r="H88" i="8"/>
  <c r="I88" i="8" s="1"/>
  <c r="F88" i="8"/>
  <c r="G88" i="8" s="1"/>
  <c r="D88" i="8"/>
  <c r="E88" i="8" s="1"/>
  <c r="V87" i="8"/>
  <c r="W87" i="8" s="1"/>
  <c r="T87" i="8"/>
  <c r="U87" i="8" s="1"/>
  <c r="R87" i="8"/>
  <c r="S87" i="8" s="1"/>
  <c r="P87" i="8"/>
  <c r="Q87" i="8" s="1"/>
  <c r="N87" i="8"/>
  <c r="O87" i="8" s="1"/>
  <c r="L87" i="8"/>
  <c r="M87" i="8" s="1"/>
  <c r="J87" i="8"/>
  <c r="K87" i="8" s="1"/>
  <c r="H87" i="8"/>
  <c r="I87" i="8" s="1"/>
  <c r="F87" i="8"/>
  <c r="G87" i="8" s="1"/>
  <c r="D87" i="8"/>
  <c r="E87" i="8" s="1"/>
  <c r="V86" i="8"/>
  <c r="W86" i="8" s="1"/>
  <c r="T86" i="8"/>
  <c r="U86" i="8" s="1"/>
  <c r="R86" i="8"/>
  <c r="S86" i="8" s="1"/>
  <c r="P86" i="8"/>
  <c r="Q86" i="8" s="1"/>
  <c r="N86" i="8"/>
  <c r="O86" i="8" s="1"/>
  <c r="L86" i="8"/>
  <c r="M86" i="8" s="1"/>
  <c r="J86" i="8"/>
  <c r="K86" i="8" s="1"/>
  <c r="H86" i="8"/>
  <c r="I86" i="8" s="1"/>
  <c r="F86" i="8"/>
  <c r="G86" i="8" s="1"/>
  <c r="D86" i="8"/>
  <c r="E86" i="8" s="1"/>
  <c r="V85" i="8"/>
  <c r="W85" i="8" s="1"/>
  <c r="T85" i="8"/>
  <c r="U85" i="8" s="1"/>
  <c r="R85" i="8"/>
  <c r="S85" i="8" s="1"/>
  <c r="P85" i="8"/>
  <c r="Q85" i="8" s="1"/>
  <c r="N85" i="8"/>
  <c r="O85" i="8" s="1"/>
  <c r="L85" i="8"/>
  <c r="M85" i="8" s="1"/>
  <c r="J85" i="8"/>
  <c r="K85" i="8" s="1"/>
  <c r="H85" i="8"/>
  <c r="I85" i="8" s="1"/>
  <c r="F85" i="8"/>
  <c r="G85" i="8" s="1"/>
  <c r="D85" i="8"/>
  <c r="E85" i="8" s="1"/>
  <c r="V84" i="8"/>
  <c r="W84" i="8" s="1"/>
  <c r="T84" i="8"/>
  <c r="U84" i="8" s="1"/>
  <c r="R84" i="8"/>
  <c r="S84" i="8" s="1"/>
  <c r="P84" i="8"/>
  <c r="Q84" i="8" s="1"/>
  <c r="N84" i="8"/>
  <c r="O84" i="8" s="1"/>
  <c r="L84" i="8"/>
  <c r="M84" i="8" s="1"/>
  <c r="J84" i="8"/>
  <c r="K84" i="8" s="1"/>
  <c r="H84" i="8"/>
  <c r="I84" i="8" s="1"/>
  <c r="F84" i="8"/>
  <c r="G84" i="8" s="1"/>
  <c r="V83" i="8"/>
  <c r="T83" i="8"/>
  <c r="U83" i="8" s="1"/>
  <c r="R83" i="8"/>
  <c r="S83" i="8" s="1"/>
  <c r="P83" i="8"/>
  <c r="Q83" i="8" s="1"/>
  <c r="N83" i="8"/>
  <c r="O83" i="8" s="1"/>
  <c r="L83" i="8"/>
  <c r="M83" i="8" s="1"/>
  <c r="J83" i="8"/>
  <c r="K83" i="8" s="1"/>
  <c r="H83" i="8"/>
  <c r="I83" i="8" s="1"/>
  <c r="F83" i="8"/>
  <c r="G83" i="8" s="1"/>
  <c r="V82" i="8"/>
  <c r="W82" i="8" s="1"/>
  <c r="T82" i="8"/>
  <c r="U82" i="8" s="1"/>
  <c r="R82" i="8"/>
  <c r="S82" i="8" s="1"/>
  <c r="P82" i="8"/>
  <c r="Q82" i="8" s="1"/>
  <c r="N82" i="8"/>
  <c r="O82" i="8" s="1"/>
  <c r="L82" i="8"/>
  <c r="M82" i="8" s="1"/>
  <c r="J82" i="8"/>
  <c r="K82" i="8" s="1"/>
  <c r="H82" i="8"/>
  <c r="I82" i="8" s="1"/>
  <c r="F82" i="8"/>
  <c r="G82" i="8" s="1"/>
  <c r="D82" i="8"/>
  <c r="E82" i="8" s="1"/>
  <c r="V81" i="8"/>
  <c r="W81" i="8" s="1"/>
  <c r="T81" i="8"/>
  <c r="U81" i="8" s="1"/>
  <c r="R81" i="8"/>
  <c r="S81" i="8" s="1"/>
  <c r="P81" i="8"/>
  <c r="Q81" i="8" s="1"/>
  <c r="N81" i="8"/>
  <c r="O81" i="8" s="1"/>
  <c r="L81" i="8"/>
  <c r="M81" i="8" s="1"/>
  <c r="J81" i="8"/>
  <c r="K81" i="8" s="1"/>
  <c r="H81" i="8"/>
  <c r="I81" i="8" s="1"/>
  <c r="F81" i="8"/>
  <c r="G81" i="8" s="1"/>
  <c r="V80" i="8"/>
  <c r="W80" i="8" s="1"/>
  <c r="T80" i="8"/>
  <c r="U80" i="8" s="1"/>
  <c r="R80" i="8"/>
  <c r="S80" i="8" s="1"/>
  <c r="P80" i="8"/>
  <c r="Q80" i="8" s="1"/>
  <c r="N80" i="8"/>
  <c r="O80" i="8" s="1"/>
  <c r="L80" i="8"/>
  <c r="M80" i="8" s="1"/>
  <c r="J80" i="8"/>
  <c r="K80" i="8" s="1"/>
  <c r="H80" i="8"/>
  <c r="I80" i="8" s="1"/>
  <c r="F80" i="8"/>
  <c r="G80" i="8" s="1"/>
  <c r="V79" i="8"/>
  <c r="W79" i="8" s="1"/>
  <c r="T79" i="8"/>
  <c r="U79" i="8" s="1"/>
  <c r="R79" i="8"/>
  <c r="S79" i="8" s="1"/>
  <c r="P79" i="8"/>
  <c r="Q79" i="8" s="1"/>
  <c r="N79" i="8"/>
  <c r="O79" i="8" s="1"/>
  <c r="L79" i="8"/>
  <c r="M79" i="8" s="1"/>
  <c r="J79" i="8"/>
  <c r="K79" i="8" s="1"/>
  <c r="H79" i="8"/>
  <c r="I79" i="8" s="1"/>
  <c r="F79" i="8"/>
  <c r="G79" i="8" s="1"/>
  <c r="D79" i="8"/>
  <c r="E79" i="8" s="1"/>
  <c r="V78" i="8"/>
  <c r="W78" i="8" s="1"/>
  <c r="T78" i="8"/>
  <c r="U78" i="8" s="1"/>
  <c r="R78" i="8"/>
  <c r="S78" i="8" s="1"/>
  <c r="P78" i="8"/>
  <c r="Q78" i="8" s="1"/>
  <c r="N78" i="8"/>
  <c r="O78" i="8" s="1"/>
  <c r="L78" i="8"/>
  <c r="M78" i="8" s="1"/>
  <c r="J78" i="8"/>
  <c r="K78" i="8" s="1"/>
  <c r="H78" i="8"/>
  <c r="I78" i="8" s="1"/>
  <c r="F78" i="8"/>
  <c r="G78" i="8" s="1"/>
  <c r="D78" i="8"/>
  <c r="E78" i="8" s="1"/>
  <c r="V77" i="8"/>
  <c r="W77" i="8" s="1"/>
  <c r="T77" i="8"/>
  <c r="U77" i="8" s="1"/>
  <c r="R77" i="8"/>
  <c r="S77" i="8" s="1"/>
  <c r="P77" i="8"/>
  <c r="Q77" i="8" s="1"/>
  <c r="N77" i="8"/>
  <c r="O77" i="8" s="1"/>
  <c r="L77" i="8"/>
  <c r="M77" i="8" s="1"/>
  <c r="J77" i="8"/>
  <c r="K77" i="8" s="1"/>
  <c r="H77" i="8"/>
  <c r="I77" i="8" s="1"/>
  <c r="F77" i="8"/>
  <c r="G77" i="8" s="1"/>
  <c r="D77" i="8"/>
  <c r="E77" i="8" s="1"/>
  <c r="V76" i="8"/>
  <c r="W76" i="8" s="1"/>
  <c r="T76" i="8"/>
  <c r="U76" i="8" s="1"/>
  <c r="R76" i="8"/>
  <c r="S76" i="8" s="1"/>
  <c r="P76" i="8"/>
  <c r="Q76" i="8" s="1"/>
  <c r="N76" i="8"/>
  <c r="O76" i="8" s="1"/>
  <c r="L76" i="8"/>
  <c r="M76" i="8" s="1"/>
  <c r="J76" i="8"/>
  <c r="K76" i="8" s="1"/>
  <c r="H76" i="8"/>
  <c r="I76" i="8" s="1"/>
  <c r="F76" i="8"/>
  <c r="G76" i="8" s="1"/>
  <c r="D76" i="8"/>
  <c r="E76" i="8" s="1"/>
  <c r="V75" i="8"/>
  <c r="W75" i="8" s="1"/>
  <c r="T75" i="8"/>
  <c r="U75" i="8" s="1"/>
  <c r="R75" i="8"/>
  <c r="S75" i="8" s="1"/>
  <c r="P75" i="8"/>
  <c r="Q75" i="8" s="1"/>
  <c r="N75" i="8"/>
  <c r="O75" i="8" s="1"/>
  <c r="L75" i="8"/>
  <c r="M75" i="8" s="1"/>
  <c r="J75" i="8"/>
  <c r="K75" i="8" s="1"/>
  <c r="H75" i="8"/>
  <c r="I75" i="8" s="1"/>
  <c r="F75" i="8"/>
  <c r="G75" i="8" s="1"/>
  <c r="D75" i="8"/>
  <c r="E75" i="8" s="1"/>
  <c r="V74" i="8"/>
  <c r="W74" i="8" s="1"/>
  <c r="T74" i="8"/>
  <c r="U74" i="8" s="1"/>
  <c r="R74" i="8"/>
  <c r="S74" i="8" s="1"/>
  <c r="P74" i="8"/>
  <c r="Q74" i="8" s="1"/>
  <c r="N74" i="8"/>
  <c r="O74" i="8" s="1"/>
  <c r="L74" i="8"/>
  <c r="M74" i="8" s="1"/>
  <c r="J74" i="8"/>
  <c r="K74" i="8" s="1"/>
  <c r="H74" i="8"/>
  <c r="I74" i="8" s="1"/>
  <c r="F74" i="8"/>
  <c r="G74" i="8" s="1"/>
  <c r="V73" i="8"/>
  <c r="W73" i="8" s="1"/>
  <c r="T73" i="8"/>
  <c r="U73" i="8" s="1"/>
  <c r="R73" i="8"/>
  <c r="S73" i="8" s="1"/>
  <c r="P73" i="8"/>
  <c r="Q73" i="8" s="1"/>
  <c r="N73" i="8"/>
  <c r="O73" i="8" s="1"/>
  <c r="L73" i="8"/>
  <c r="M73" i="8" s="1"/>
  <c r="J73" i="8"/>
  <c r="K73" i="8" s="1"/>
  <c r="H73" i="8"/>
  <c r="I73" i="8" s="1"/>
  <c r="F73" i="8"/>
  <c r="G73" i="8" s="1"/>
  <c r="V72" i="8"/>
  <c r="W72" i="8" s="1"/>
  <c r="T72" i="8"/>
  <c r="U72" i="8" s="1"/>
  <c r="R72" i="8"/>
  <c r="S72" i="8" s="1"/>
  <c r="P72" i="8"/>
  <c r="Q72" i="8" s="1"/>
  <c r="N72" i="8"/>
  <c r="O72" i="8" s="1"/>
  <c r="L72" i="8"/>
  <c r="M72" i="8" s="1"/>
  <c r="J72" i="8"/>
  <c r="K72" i="8" s="1"/>
  <c r="H72" i="8"/>
  <c r="I72" i="8" s="1"/>
  <c r="F72" i="8"/>
  <c r="G72" i="8" s="1"/>
  <c r="D72" i="8"/>
  <c r="E72" i="8" s="1"/>
  <c r="V71" i="8"/>
  <c r="W71" i="8" s="1"/>
  <c r="T71" i="8"/>
  <c r="U71" i="8" s="1"/>
  <c r="R71" i="8"/>
  <c r="S71" i="8" s="1"/>
  <c r="P71" i="8"/>
  <c r="Q71" i="8" s="1"/>
  <c r="N71" i="8"/>
  <c r="O71" i="8" s="1"/>
  <c r="L71" i="8"/>
  <c r="M71" i="8" s="1"/>
  <c r="J71" i="8"/>
  <c r="K71" i="8" s="1"/>
  <c r="H71" i="8"/>
  <c r="I71" i="8" s="1"/>
  <c r="F71" i="8"/>
  <c r="G71" i="8" s="1"/>
  <c r="D71" i="8"/>
  <c r="E71" i="8" s="1"/>
  <c r="V70" i="8"/>
  <c r="W70" i="8" s="1"/>
  <c r="T70" i="8"/>
  <c r="U70" i="8" s="1"/>
  <c r="R70" i="8"/>
  <c r="S70" i="8" s="1"/>
  <c r="P70" i="8"/>
  <c r="Q70" i="8" s="1"/>
  <c r="N70" i="8"/>
  <c r="O70" i="8" s="1"/>
  <c r="L70" i="8"/>
  <c r="M70" i="8" s="1"/>
  <c r="J70" i="8"/>
  <c r="K70" i="8" s="1"/>
  <c r="H70" i="8"/>
  <c r="I70" i="8" s="1"/>
  <c r="F70" i="8"/>
  <c r="G70" i="8" s="1"/>
  <c r="D70" i="8"/>
  <c r="E70" i="8" s="1"/>
  <c r="V69" i="8"/>
  <c r="W69" i="8" s="1"/>
  <c r="T69" i="8"/>
  <c r="U69" i="8" s="1"/>
  <c r="R69" i="8"/>
  <c r="S69" i="8" s="1"/>
  <c r="P69" i="8"/>
  <c r="Q69" i="8" s="1"/>
  <c r="N69" i="8"/>
  <c r="O69" i="8" s="1"/>
  <c r="L69" i="8"/>
  <c r="M69" i="8" s="1"/>
  <c r="J69" i="8"/>
  <c r="K69" i="8" s="1"/>
  <c r="H69" i="8"/>
  <c r="I69" i="8" s="1"/>
  <c r="F69" i="8"/>
  <c r="G69" i="8" s="1"/>
  <c r="D69" i="8"/>
  <c r="E69" i="8" s="1"/>
  <c r="V68" i="8"/>
  <c r="W68" i="8" s="1"/>
  <c r="T68" i="8"/>
  <c r="U68" i="8" s="1"/>
  <c r="R68" i="8"/>
  <c r="S68" i="8" s="1"/>
  <c r="P68" i="8"/>
  <c r="Q68" i="8" s="1"/>
  <c r="N68" i="8"/>
  <c r="O68" i="8" s="1"/>
  <c r="L68" i="8"/>
  <c r="M68" i="8" s="1"/>
  <c r="J68" i="8"/>
  <c r="K68" i="8" s="1"/>
  <c r="H68" i="8"/>
  <c r="I68" i="8" s="1"/>
  <c r="F68" i="8"/>
  <c r="G68" i="8" s="1"/>
  <c r="D68" i="8"/>
  <c r="E68" i="8" s="1"/>
  <c r="V67" i="8"/>
  <c r="W67" i="8" s="1"/>
  <c r="T67" i="8"/>
  <c r="U67" i="8" s="1"/>
  <c r="R67" i="8"/>
  <c r="S67" i="8" s="1"/>
  <c r="P67" i="8"/>
  <c r="Q67" i="8" s="1"/>
  <c r="N67" i="8"/>
  <c r="O67" i="8" s="1"/>
  <c r="L67" i="8"/>
  <c r="M67" i="8" s="1"/>
  <c r="J67" i="8"/>
  <c r="K67" i="8" s="1"/>
  <c r="H67" i="8"/>
  <c r="I67" i="8" s="1"/>
  <c r="F67" i="8"/>
  <c r="G67" i="8" s="1"/>
  <c r="D67" i="8"/>
  <c r="E67" i="8" s="1"/>
  <c r="V66" i="8"/>
  <c r="W66" i="8" s="1"/>
  <c r="T66" i="8"/>
  <c r="U66" i="8" s="1"/>
  <c r="R66" i="8"/>
  <c r="S66" i="8" s="1"/>
  <c r="P66" i="8"/>
  <c r="Q66" i="8" s="1"/>
  <c r="N66" i="8"/>
  <c r="O66" i="8" s="1"/>
  <c r="L66" i="8"/>
  <c r="M66" i="8" s="1"/>
  <c r="J66" i="8"/>
  <c r="K66" i="8" s="1"/>
  <c r="H66" i="8"/>
  <c r="I66" i="8" s="1"/>
  <c r="F66" i="8"/>
  <c r="G66" i="8" s="1"/>
  <c r="D66" i="8"/>
  <c r="E66" i="8" s="1"/>
  <c r="V65" i="8"/>
  <c r="W65" i="8" s="1"/>
  <c r="T65" i="8"/>
  <c r="U65" i="8" s="1"/>
  <c r="R65" i="8"/>
  <c r="S65" i="8" s="1"/>
  <c r="P65" i="8"/>
  <c r="Q65" i="8" s="1"/>
  <c r="N65" i="8"/>
  <c r="O65" i="8" s="1"/>
  <c r="L65" i="8"/>
  <c r="M65" i="8" s="1"/>
  <c r="J65" i="8"/>
  <c r="K65" i="8" s="1"/>
  <c r="H65" i="8"/>
  <c r="I65" i="8" s="1"/>
  <c r="F65" i="8"/>
  <c r="G65" i="8" s="1"/>
  <c r="D65" i="8"/>
  <c r="E65" i="8" s="1"/>
  <c r="V64" i="8"/>
  <c r="W64" i="8" s="1"/>
  <c r="T64" i="8"/>
  <c r="U64" i="8" s="1"/>
  <c r="R64" i="8"/>
  <c r="S64" i="8" s="1"/>
  <c r="P64" i="8"/>
  <c r="Q64" i="8" s="1"/>
  <c r="N64" i="8"/>
  <c r="O64" i="8" s="1"/>
  <c r="L64" i="8"/>
  <c r="M64" i="8" s="1"/>
  <c r="J64" i="8"/>
  <c r="K64" i="8" s="1"/>
  <c r="H64" i="8"/>
  <c r="I64" i="8" s="1"/>
  <c r="F64" i="8"/>
  <c r="G64" i="8" s="1"/>
  <c r="D64" i="8"/>
  <c r="E64" i="8" s="1"/>
  <c r="V63" i="8"/>
  <c r="W63" i="8" s="1"/>
  <c r="T63" i="8"/>
  <c r="U63" i="8" s="1"/>
  <c r="R63" i="8"/>
  <c r="S63" i="8" s="1"/>
  <c r="P63" i="8"/>
  <c r="Q63" i="8" s="1"/>
  <c r="N63" i="8"/>
  <c r="O63" i="8" s="1"/>
  <c r="L63" i="8"/>
  <c r="M63" i="8" s="1"/>
  <c r="J63" i="8"/>
  <c r="K63" i="8" s="1"/>
  <c r="H63" i="8"/>
  <c r="I63" i="8" s="1"/>
  <c r="F63" i="8"/>
  <c r="G63" i="8" s="1"/>
  <c r="D63" i="8"/>
  <c r="E63" i="8" s="1"/>
  <c r="V62" i="8"/>
  <c r="W62" i="8" s="1"/>
  <c r="T62" i="8"/>
  <c r="U62" i="8" s="1"/>
  <c r="R62" i="8"/>
  <c r="S62" i="8" s="1"/>
  <c r="P62" i="8"/>
  <c r="Q62" i="8" s="1"/>
  <c r="N62" i="8"/>
  <c r="O62" i="8" s="1"/>
  <c r="L62" i="8"/>
  <c r="M62" i="8" s="1"/>
  <c r="J62" i="8"/>
  <c r="K62" i="8" s="1"/>
  <c r="H62" i="8"/>
  <c r="I62" i="8" s="1"/>
  <c r="F62" i="8"/>
  <c r="G62" i="8" s="1"/>
  <c r="D62" i="8"/>
  <c r="E62" i="8" s="1"/>
  <c r="V61" i="8"/>
  <c r="W61" i="8" s="1"/>
  <c r="T61" i="8"/>
  <c r="U61" i="8" s="1"/>
  <c r="R61" i="8"/>
  <c r="S61" i="8" s="1"/>
  <c r="P61" i="8"/>
  <c r="Q61" i="8" s="1"/>
  <c r="N61" i="8"/>
  <c r="O61" i="8" s="1"/>
  <c r="L61" i="8"/>
  <c r="M61" i="8" s="1"/>
  <c r="J61" i="8"/>
  <c r="K61" i="8" s="1"/>
  <c r="H61" i="8"/>
  <c r="I61" i="8" s="1"/>
  <c r="F61" i="8"/>
  <c r="G61" i="8" s="1"/>
  <c r="D61" i="8"/>
  <c r="E61" i="8" s="1"/>
  <c r="V60" i="8"/>
  <c r="W60" i="8" s="1"/>
  <c r="T60" i="8"/>
  <c r="U60" i="8" s="1"/>
  <c r="R60" i="8"/>
  <c r="S60" i="8" s="1"/>
  <c r="P60" i="8"/>
  <c r="Q60" i="8" s="1"/>
  <c r="N60" i="8"/>
  <c r="O60" i="8" s="1"/>
  <c r="L60" i="8"/>
  <c r="M60" i="8" s="1"/>
  <c r="J60" i="8"/>
  <c r="K60" i="8" s="1"/>
  <c r="H60" i="8"/>
  <c r="I60" i="8" s="1"/>
  <c r="F60" i="8"/>
  <c r="G60" i="8" s="1"/>
  <c r="D60" i="8"/>
  <c r="E60" i="8" s="1"/>
  <c r="V59" i="8"/>
  <c r="W59" i="8" s="1"/>
  <c r="T59" i="8"/>
  <c r="U59" i="8" s="1"/>
  <c r="R59" i="8"/>
  <c r="S59" i="8" s="1"/>
  <c r="P59" i="8"/>
  <c r="Q59" i="8" s="1"/>
  <c r="N59" i="8"/>
  <c r="O59" i="8" s="1"/>
  <c r="L59" i="8"/>
  <c r="M59" i="8" s="1"/>
  <c r="J59" i="8"/>
  <c r="K59" i="8" s="1"/>
  <c r="H59" i="8"/>
  <c r="I59" i="8" s="1"/>
  <c r="F59" i="8"/>
  <c r="G59" i="8" s="1"/>
  <c r="D59" i="8"/>
  <c r="E59" i="8" s="1"/>
  <c r="V58" i="8"/>
  <c r="W58" i="8" s="1"/>
  <c r="T58" i="8"/>
  <c r="U58" i="8" s="1"/>
  <c r="R58" i="8"/>
  <c r="S58" i="8" s="1"/>
  <c r="P58" i="8"/>
  <c r="Q58" i="8" s="1"/>
  <c r="N58" i="8"/>
  <c r="O58" i="8" s="1"/>
  <c r="L58" i="8"/>
  <c r="M58" i="8" s="1"/>
  <c r="J58" i="8"/>
  <c r="K58" i="8" s="1"/>
  <c r="H58" i="8"/>
  <c r="I58" i="8" s="1"/>
  <c r="F58" i="8"/>
  <c r="G58" i="8" s="1"/>
  <c r="D58" i="8"/>
  <c r="E58" i="8" s="1"/>
  <c r="V57" i="8"/>
  <c r="W57" i="8" s="1"/>
  <c r="T57" i="8"/>
  <c r="U57" i="8" s="1"/>
  <c r="R57" i="8"/>
  <c r="S57" i="8" s="1"/>
  <c r="P57" i="8"/>
  <c r="Q57" i="8" s="1"/>
  <c r="N57" i="8"/>
  <c r="O57" i="8" s="1"/>
  <c r="L57" i="8"/>
  <c r="M57" i="8" s="1"/>
  <c r="J57" i="8"/>
  <c r="K57" i="8" s="1"/>
  <c r="H57" i="8"/>
  <c r="I57" i="8" s="1"/>
  <c r="F57" i="8"/>
  <c r="G57" i="8" s="1"/>
  <c r="D57" i="8"/>
  <c r="E57" i="8" s="1"/>
  <c r="V56" i="8"/>
  <c r="W56" i="8" s="1"/>
  <c r="T56" i="8"/>
  <c r="U56" i="8" s="1"/>
  <c r="R56" i="8"/>
  <c r="S56" i="8" s="1"/>
  <c r="P56" i="8"/>
  <c r="Q56" i="8" s="1"/>
  <c r="N56" i="8"/>
  <c r="O56" i="8" s="1"/>
  <c r="L56" i="8"/>
  <c r="M56" i="8" s="1"/>
  <c r="J56" i="8"/>
  <c r="K56" i="8" s="1"/>
  <c r="H56" i="8"/>
  <c r="I56" i="8" s="1"/>
  <c r="F56" i="8"/>
  <c r="G56" i="8" s="1"/>
  <c r="D56" i="8"/>
  <c r="E56" i="8" s="1"/>
  <c r="V55" i="8"/>
  <c r="W55" i="8" s="1"/>
  <c r="T55" i="8"/>
  <c r="U55" i="8" s="1"/>
  <c r="R55" i="8"/>
  <c r="S55" i="8" s="1"/>
  <c r="P55" i="8"/>
  <c r="Q55" i="8" s="1"/>
  <c r="N55" i="8"/>
  <c r="O55" i="8" s="1"/>
  <c r="L55" i="8"/>
  <c r="M55" i="8" s="1"/>
  <c r="J55" i="8"/>
  <c r="K55" i="8" s="1"/>
  <c r="H55" i="8"/>
  <c r="I55" i="8" s="1"/>
  <c r="F55" i="8"/>
  <c r="G55" i="8" s="1"/>
  <c r="D55" i="8"/>
  <c r="E55" i="8" s="1"/>
  <c r="V54" i="8"/>
  <c r="W54" i="8" s="1"/>
  <c r="T54" i="8"/>
  <c r="U54" i="8" s="1"/>
  <c r="R54" i="8"/>
  <c r="S54" i="8" s="1"/>
  <c r="P54" i="8"/>
  <c r="Q54" i="8" s="1"/>
  <c r="N54" i="8"/>
  <c r="O54" i="8" s="1"/>
  <c r="L54" i="8"/>
  <c r="M54" i="8" s="1"/>
  <c r="J54" i="8"/>
  <c r="K54" i="8" s="1"/>
  <c r="H54" i="8"/>
  <c r="I54" i="8" s="1"/>
  <c r="F54" i="8"/>
  <c r="G54" i="8" s="1"/>
  <c r="V53" i="8"/>
  <c r="W53" i="8" s="1"/>
  <c r="T53" i="8"/>
  <c r="U53" i="8" s="1"/>
  <c r="R53" i="8"/>
  <c r="S53" i="8" s="1"/>
  <c r="P53" i="8"/>
  <c r="Q53" i="8" s="1"/>
  <c r="N53" i="8"/>
  <c r="O53" i="8" s="1"/>
  <c r="L53" i="8"/>
  <c r="M53" i="8" s="1"/>
  <c r="J53" i="8"/>
  <c r="K53" i="8" s="1"/>
  <c r="H53" i="8"/>
  <c r="I53" i="8" s="1"/>
  <c r="F53" i="8"/>
  <c r="G53" i="8" s="1"/>
  <c r="D53" i="8"/>
  <c r="E53" i="8" s="1"/>
  <c r="V52" i="8"/>
  <c r="W52" i="8" s="1"/>
  <c r="T52" i="8"/>
  <c r="U52" i="8" s="1"/>
  <c r="R52" i="8"/>
  <c r="S52" i="8" s="1"/>
  <c r="P52" i="8"/>
  <c r="Q52" i="8" s="1"/>
  <c r="N52" i="8"/>
  <c r="O52" i="8" s="1"/>
  <c r="L52" i="8"/>
  <c r="M52" i="8" s="1"/>
  <c r="J52" i="8"/>
  <c r="K52" i="8" s="1"/>
  <c r="H52" i="8"/>
  <c r="I52" i="8" s="1"/>
  <c r="F52" i="8"/>
  <c r="G52" i="8" s="1"/>
  <c r="V51" i="8"/>
  <c r="W51" i="8" s="1"/>
  <c r="T51" i="8"/>
  <c r="U51" i="8" s="1"/>
  <c r="R51" i="8"/>
  <c r="S51" i="8" s="1"/>
  <c r="P51" i="8"/>
  <c r="Q51" i="8" s="1"/>
  <c r="N51" i="8"/>
  <c r="O51" i="8" s="1"/>
  <c r="L51" i="8"/>
  <c r="M51" i="8" s="1"/>
  <c r="J51" i="8"/>
  <c r="K51" i="8" s="1"/>
  <c r="H51" i="8"/>
  <c r="I51" i="8" s="1"/>
  <c r="F51" i="8"/>
  <c r="G51" i="8" s="1"/>
  <c r="V50" i="8"/>
  <c r="W50" i="8" s="1"/>
  <c r="T50" i="8"/>
  <c r="U50" i="8" s="1"/>
  <c r="R50" i="8"/>
  <c r="S50" i="8" s="1"/>
  <c r="P50" i="8"/>
  <c r="Q50" i="8" s="1"/>
  <c r="N50" i="8"/>
  <c r="O50" i="8" s="1"/>
  <c r="L50" i="8"/>
  <c r="M50" i="8" s="1"/>
  <c r="J50" i="8"/>
  <c r="K50" i="8" s="1"/>
  <c r="H50" i="8"/>
  <c r="I50" i="8" s="1"/>
  <c r="F50" i="8"/>
  <c r="G50" i="8" s="1"/>
  <c r="D50" i="8"/>
  <c r="E50" i="8" s="1"/>
  <c r="V49" i="8"/>
  <c r="W49" i="8" s="1"/>
  <c r="T49" i="8"/>
  <c r="U49" i="8" s="1"/>
  <c r="R49" i="8"/>
  <c r="S49" i="8" s="1"/>
  <c r="P49" i="8"/>
  <c r="Q49" i="8" s="1"/>
  <c r="N49" i="8"/>
  <c r="O49" i="8" s="1"/>
  <c r="L49" i="8"/>
  <c r="M49" i="8" s="1"/>
  <c r="J49" i="8"/>
  <c r="K49" i="8" s="1"/>
  <c r="H49" i="8"/>
  <c r="I49" i="8" s="1"/>
  <c r="F49" i="8"/>
  <c r="G49" i="8" s="1"/>
  <c r="D49" i="8"/>
  <c r="E49" i="8" s="1"/>
  <c r="V48" i="8"/>
  <c r="W48" i="8" s="1"/>
  <c r="T48" i="8"/>
  <c r="U48" i="8" s="1"/>
  <c r="R48" i="8"/>
  <c r="S48" i="8" s="1"/>
  <c r="P48" i="8"/>
  <c r="Q48" i="8" s="1"/>
  <c r="N48" i="8"/>
  <c r="O48" i="8" s="1"/>
  <c r="L48" i="8"/>
  <c r="M48" i="8" s="1"/>
  <c r="J48" i="8"/>
  <c r="K48" i="8" s="1"/>
  <c r="H48" i="8"/>
  <c r="I48" i="8" s="1"/>
  <c r="F48" i="8"/>
  <c r="G48" i="8" s="1"/>
  <c r="D48" i="8"/>
  <c r="E48" i="8" s="1"/>
  <c r="V47" i="8"/>
  <c r="W47" i="8" s="1"/>
  <c r="T47" i="8"/>
  <c r="U47" i="8" s="1"/>
  <c r="R47" i="8"/>
  <c r="S47" i="8" s="1"/>
  <c r="P47" i="8"/>
  <c r="Q47" i="8" s="1"/>
  <c r="N47" i="8"/>
  <c r="O47" i="8" s="1"/>
  <c r="L47" i="8"/>
  <c r="M47" i="8" s="1"/>
  <c r="J47" i="8"/>
  <c r="K47" i="8" s="1"/>
  <c r="H47" i="8"/>
  <c r="I47" i="8" s="1"/>
  <c r="F47" i="8"/>
  <c r="G47" i="8" s="1"/>
  <c r="D47" i="8"/>
  <c r="E47" i="8" s="1"/>
  <c r="V46" i="8"/>
  <c r="W46" i="8" s="1"/>
  <c r="T46" i="8"/>
  <c r="U46" i="8" s="1"/>
  <c r="R46" i="8"/>
  <c r="S46" i="8" s="1"/>
  <c r="P46" i="8"/>
  <c r="Q46" i="8" s="1"/>
  <c r="N46" i="8"/>
  <c r="O46" i="8" s="1"/>
  <c r="L46" i="8"/>
  <c r="M46" i="8" s="1"/>
  <c r="J46" i="8"/>
  <c r="K46" i="8" s="1"/>
  <c r="H46" i="8"/>
  <c r="I46" i="8" s="1"/>
  <c r="F46" i="8"/>
  <c r="G46" i="8" s="1"/>
  <c r="V45" i="8"/>
  <c r="W45" i="8" s="1"/>
  <c r="T45" i="8"/>
  <c r="U45" i="8" s="1"/>
  <c r="R45" i="8"/>
  <c r="S45" i="8" s="1"/>
  <c r="P45" i="8"/>
  <c r="Q45" i="8" s="1"/>
  <c r="N45" i="8"/>
  <c r="O45" i="8" s="1"/>
  <c r="L45" i="8"/>
  <c r="M45" i="8" s="1"/>
  <c r="J45" i="8"/>
  <c r="K45" i="8" s="1"/>
  <c r="H45" i="8"/>
  <c r="I45" i="8" s="1"/>
  <c r="F45" i="8"/>
  <c r="G45" i="8" s="1"/>
  <c r="D45" i="8"/>
  <c r="E45" i="8" s="1"/>
  <c r="V44" i="8"/>
  <c r="W44" i="8" s="1"/>
  <c r="T44" i="8"/>
  <c r="U44" i="8" s="1"/>
  <c r="R44" i="8"/>
  <c r="S44" i="8" s="1"/>
  <c r="P44" i="8"/>
  <c r="Q44" i="8" s="1"/>
  <c r="N44" i="8"/>
  <c r="O44" i="8" s="1"/>
  <c r="L44" i="8"/>
  <c r="M44" i="8" s="1"/>
  <c r="J44" i="8"/>
  <c r="K44" i="8" s="1"/>
  <c r="H44" i="8"/>
  <c r="I44" i="8" s="1"/>
  <c r="F44" i="8"/>
  <c r="G44" i="8" s="1"/>
  <c r="D44" i="8"/>
  <c r="E44" i="8" s="1"/>
  <c r="V43" i="8"/>
  <c r="W43" i="8" s="1"/>
  <c r="T43" i="8"/>
  <c r="U43" i="8" s="1"/>
  <c r="R43" i="8"/>
  <c r="S43" i="8" s="1"/>
  <c r="P43" i="8"/>
  <c r="Q43" i="8" s="1"/>
  <c r="N43" i="8"/>
  <c r="O43" i="8" s="1"/>
  <c r="L43" i="8"/>
  <c r="M43" i="8" s="1"/>
  <c r="J43" i="8"/>
  <c r="K43" i="8" s="1"/>
  <c r="H43" i="8"/>
  <c r="I43" i="8" s="1"/>
  <c r="F43" i="8"/>
  <c r="G43" i="8" s="1"/>
  <c r="V42" i="8"/>
  <c r="W42" i="8" s="1"/>
  <c r="T42" i="8"/>
  <c r="U42" i="8" s="1"/>
  <c r="R42" i="8"/>
  <c r="S42" i="8" s="1"/>
  <c r="P42" i="8"/>
  <c r="Q42" i="8" s="1"/>
  <c r="N42" i="8"/>
  <c r="O42" i="8" s="1"/>
  <c r="L42" i="8"/>
  <c r="M42" i="8" s="1"/>
  <c r="J42" i="8"/>
  <c r="K42" i="8" s="1"/>
  <c r="H42" i="8"/>
  <c r="I42" i="8" s="1"/>
  <c r="F42" i="8"/>
  <c r="G42" i="8" s="1"/>
  <c r="V41" i="8"/>
  <c r="W41" i="8" s="1"/>
  <c r="T41" i="8"/>
  <c r="U41" i="8" s="1"/>
  <c r="R41" i="8"/>
  <c r="S41" i="8" s="1"/>
  <c r="P41" i="8"/>
  <c r="Q41" i="8" s="1"/>
  <c r="N41" i="8"/>
  <c r="O41" i="8" s="1"/>
  <c r="L41" i="8"/>
  <c r="M41" i="8" s="1"/>
  <c r="J41" i="8"/>
  <c r="K41" i="8" s="1"/>
  <c r="H41" i="8"/>
  <c r="I41" i="8" s="1"/>
  <c r="F41" i="8"/>
  <c r="G41" i="8" s="1"/>
  <c r="D41" i="8"/>
  <c r="E41" i="8" s="1"/>
  <c r="V40" i="8"/>
  <c r="W40" i="8" s="1"/>
  <c r="T40" i="8"/>
  <c r="U40" i="8" s="1"/>
  <c r="R40" i="8"/>
  <c r="S40" i="8" s="1"/>
  <c r="P40" i="8"/>
  <c r="Q40" i="8" s="1"/>
  <c r="N40" i="8"/>
  <c r="O40" i="8" s="1"/>
  <c r="L40" i="8"/>
  <c r="M40" i="8" s="1"/>
  <c r="J40" i="8"/>
  <c r="K40" i="8" s="1"/>
  <c r="H40" i="8"/>
  <c r="I40" i="8" s="1"/>
  <c r="F40" i="8"/>
  <c r="G40" i="8" s="1"/>
  <c r="D40" i="8"/>
  <c r="E40" i="8" s="1"/>
  <c r="V39" i="8"/>
  <c r="W39" i="8" s="1"/>
  <c r="T39" i="8"/>
  <c r="U39" i="8" s="1"/>
  <c r="R39" i="8"/>
  <c r="S39" i="8" s="1"/>
  <c r="P39" i="8"/>
  <c r="Q39" i="8" s="1"/>
  <c r="N39" i="8"/>
  <c r="O39" i="8" s="1"/>
  <c r="L39" i="8"/>
  <c r="M39" i="8" s="1"/>
  <c r="J39" i="8"/>
  <c r="K39" i="8" s="1"/>
  <c r="H39" i="8"/>
  <c r="I39" i="8" s="1"/>
  <c r="F39" i="8"/>
  <c r="G39" i="8" s="1"/>
  <c r="D39" i="8"/>
  <c r="E39" i="8" s="1"/>
  <c r="V38" i="8"/>
  <c r="W38" i="8" s="1"/>
  <c r="T38" i="8"/>
  <c r="U38" i="8" s="1"/>
  <c r="R38" i="8"/>
  <c r="S38" i="8" s="1"/>
  <c r="P38" i="8"/>
  <c r="Q38" i="8" s="1"/>
  <c r="N38" i="8"/>
  <c r="O38" i="8" s="1"/>
  <c r="L38" i="8"/>
  <c r="M38" i="8" s="1"/>
  <c r="J38" i="8"/>
  <c r="K38" i="8" s="1"/>
  <c r="H38" i="8"/>
  <c r="I38" i="8" s="1"/>
  <c r="F38" i="8"/>
  <c r="G38" i="8" s="1"/>
  <c r="V37" i="8"/>
  <c r="W37" i="8" s="1"/>
  <c r="T37" i="8"/>
  <c r="U37" i="8" s="1"/>
  <c r="R37" i="8"/>
  <c r="S37" i="8" s="1"/>
  <c r="P37" i="8"/>
  <c r="Q37" i="8" s="1"/>
  <c r="N37" i="8"/>
  <c r="O37" i="8" s="1"/>
  <c r="L37" i="8"/>
  <c r="M37" i="8" s="1"/>
  <c r="J37" i="8"/>
  <c r="K37" i="8" s="1"/>
  <c r="H37" i="8"/>
  <c r="I37" i="8" s="1"/>
  <c r="F37" i="8"/>
  <c r="G37" i="8" s="1"/>
  <c r="V36" i="8"/>
  <c r="W36" i="8" s="1"/>
  <c r="T36" i="8"/>
  <c r="U36" i="8" s="1"/>
  <c r="R36" i="8"/>
  <c r="S36" i="8" s="1"/>
  <c r="P36" i="8"/>
  <c r="Q36" i="8" s="1"/>
  <c r="N36" i="8"/>
  <c r="O36" i="8" s="1"/>
  <c r="L36" i="8"/>
  <c r="M36" i="8" s="1"/>
  <c r="J36" i="8"/>
  <c r="K36" i="8" s="1"/>
  <c r="H36" i="8"/>
  <c r="I36" i="8" s="1"/>
  <c r="F36" i="8"/>
  <c r="G36" i="8" s="1"/>
  <c r="D36" i="8"/>
  <c r="E36" i="8" s="1"/>
  <c r="V35" i="8"/>
  <c r="W35" i="8" s="1"/>
  <c r="T35" i="8"/>
  <c r="U35" i="8" s="1"/>
  <c r="R35" i="8"/>
  <c r="S35" i="8" s="1"/>
  <c r="P35" i="8"/>
  <c r="Q35" i="8" s="1"/>
  <c r="N35" i="8"/>
  <c r="O35" i="8" s="1"/>
  <c r="L35" i="8"/>
  <c r="M35" i="8" s="1"/>
  <c r="J35" i="8"/>
  <c r="K35" i="8" s="1"/>
  <c r="H35" i="8"/>
  <c r="I35" i="8" s="1"/>
  <c r="F35" i="8"/>
  <c r="G35" i="8" s="1"/>
  <c r="D35" i="8"/>
  <c r="E35" i="8" s="1"/>
  <c r="V34" i="8"/>
  <c r="W34" i="8" s="1"/>
  <c r="T34" i="8"/>
  <c r="U34" i="8" s="1"/>
  <c r="R34" i="8"/>
  <c r="S34" i="8" s="1"/>
  <c r="P34" i="8"/>
  <c r="Q34" i="8" s="1"/>
  <c r="N34" i="8"/>
  <c r="O34" i="8" s="1"/>
  <c r="L34" i="8"/>
  <c r="M34" i="8" s="1"/>
  <c r="J34" i="8"/>
  <c r="K34" i="8" s="1"/>
  <c r="H34" i="8"/>
  <c r="I34" i="8" s="1"/>
  <c r="F34" i="8"/>
  <c r="G34" i="8" s="1"/>
  <c r="V33" i="8"/>
  <c r="W33" i="8" s="1"/>
  <c r="T33" i="8"/>
  <c r="U33" i="8" s="1"/>
  <c r="R33" i="8"/>
  <c r="S33" i="8" s="1"/>
  <c r="P33" i="8"/>
  <c r="Q33" i="8" s="1"/>
  <c r="N33" i="8"/>
  <c r="O33" i="8" s="1"/>
  <c r="L33" i="8"/>
  <c r="M33" i="8" s="1"/>
  <c r="J33" i="8"/>
  <c r="K33" i="8" s="1"/>
  <c r="H33" i="8"/>
  <c r="I33" i="8" s="1"/>
  <c r="F33" i="8"/>
  <c r="G33" i="8" s="1"/>
  <c r="V32" i="8"/>
  <c r="W32" i="8" s="1"/>
  <c r="T32" i="8"/>
  <c r="U32" i="8" s="1"/>
  <c r="R32" i="8"/>
  <c r="S32" i="8" s="1"/>
  <c r="P32" i="8"/>
  <c r="Q32" i="8" s="1"/>
  <c r="N32" i="8"/>
  <c r="O32" i="8" s="1"/>
  <c r="L32" i="8"/>
  <c r="M32" i="8" s="1"/>
  <c r="J32" i="8"/>
  <c r="K32" i="8" s="1"/>
  <c r="H32" i="8"/>
  <c r="I32" i="8" s="1"/>
  <c r="F32" i="8"/>
  <c r="G32" i="8" s="1"/>
  <c r="D32" i="8"/>
  <c r="E32" i="8" s="1"/>
  <c r="V31" i="8"/>
  <c r="W31" i="8" s="1"/>
  <c r="T31" i="8"/>
  <c r="U31" i="8" s="1"/>
  <c r="R31" i="8"/>
  <c r="S31" i="8" s="1"/>
  <c r="P31" i="8"/>
  <c r="Q31" i="8" s="1"/>
  <c r="N31" i="8"/>
  <c r="O31" i="8" s="1"/>
  <c r="L31" i="8"/>
  <c r="M31" i="8" s="1"/>
  <c r="J31" i="8"/>
  <c r="K31" i="8" s="1"/>
  <c r="H31" i="8"/>
  <c r="I31" i="8" s="1"/>
  <c r="F31" i="8"/>
  <c r="G31" i="8" s="1"/>
  <c r="D31" i="8"/>
  <c r="E31" i="8" s="1"/>
  <c r="V30" i="8"/>
  <c r="T30" i="8"/>
  <c r="R30" i="8"/>
  <c r="S30" i="8" s="1"/>
  <c r="S4" i="8" s="1"/>
  <c r="P30" i="8"/>
  <c r="Q30" i="8" s="1"/>
  <c r="Q4" i="8" s="1"/>
  <c r="N30" i="8"/>
  <c r="O30" i="8" s="1"/>
  <c r="O4" i="8" s="1"/>
  <c r="L30" i="8"/>
  <c r="M30" i="8" s="1"/>
  <c r="M4" i="8" s="1"/>
  <c r="J30" i="8"/>
  <c r="K30" i="8" s="1"/>
  <c r="K4" i="8" s="1"/>
  <c r="H30" i="8"/>
  <c r="I30" i="8" s="1"/>
  <c r="I4" i="8" s="1"/>
  <c r="F30" i="8"/>
  <c r="V29" i="8"/>
  <c r="W29" i="8" s="1"/>
  <c r="T29" i="8"/>
  <c r="U29" i="8" s="1"/>
  <c r="R29" i="8"/>
  <c r="S29" i="8" s="1"/>
  <c r="P29" i="8"/>
  <c r="Q29" i="8" s="1"/>
  <c r="N29" i="8"/>
  <c r="O29" i="8" s="1"/>
  <c r="L29" i="8"/>
  <c r="M29" i="8" s="1"/>
  <c r="J29" i="8"/>
  <c r="K29" i="8" s="1"/>
  <c r="H29" i="8"/>
  <c r="I29" i="8" s="1"/>
  <c r="F29" i="8"/>
  <c r="G29" i="8" s="1"/>
  <c r="V28" i="8"/>
  <c r="W28" i="8" s="1"/>
  <c r="T28" i="8"/>
  <c r="U28" i="8" s="1"/>
  <c r="R28" i="8"/>
  <c r="S28" i="8" s="1"/>
  <c r="P28" i="8"/>
  <c r="Q28" i="8" s="1"/>
  <c r="N28" i="8"/>
  <c r="O28" i="8" s="1"/>
  <c r="L28" i="8"/>
  <c r="M28" i="8" s="1"/>
  <c r="J28" i="8"/>
  <c r="K28" i="8" s="1"/>
  <c r="H28" i="8"/>
  <c r="I28" i="8" s="1"/>
  <c r="F28" i="8"/>
  <c r="G28" i="8" s="1"/>
  <c r="D28" i="8"/>
  <c r="E28" i="8" s="1"/>
  <c r="V27" i="8"/>
  <c r="W27" i="8" s="1"/>
  <c r="T27" i="8"/>
  <c r="U27" i="8" s="1"/>
  <c r="R27" i="8"/>
  <c r="S27" i="8" s="1"/>
  <c r="P27" i="8"/>
  <c r="Q27" i="8" s="1"/>
  <c r="N27" i="8"/>
  <c r="O27" i="8" s="1"/>
  <c r="L27" i="8"/>
  <c r="M27" i="8" s="1"/>
  <c r="J27" i="8"/>
  <c r="K27" i="8" s="1"/>
  <c r="H27" i="8"/>
  <c r="I27" i="8" s="1"/>
  <c r="F27" i="8"/>
  <c r="G27" i="8" s="1"/>
  <c r="D27" i="8"/>
  <c r="E27" i="8" s="1"/>
  <c r="V26" i="8"/>
  <c r="W26" i="8" s="1"/>
  <c r="T26" i="8"/>
  <c r="U26" i="8" s="1"/>
  <c r="R26" i="8"/>
  <c r="S26" i="8" s="1"/>
  <c r="P26" i="8"/>
  <c r="Q26" i="8" s="1"/>
  <c r="N26" i="8"/>
  <c r="O26" i="8" s="1"/>
  <c r="L26" i="8"/>
  <c r="M26" i="8" s="1"/>
  <c r="J26" i="8"/>
  <c r="K26" i="8" s="1"/>
  <c r="H26" i="8"/>
  <c r="I26" i="8" s="1"/>
  <c r="F26" i="8"/>
  <c r="G26" i="8" s="1"/>
  <c r="V25" i="8"/>
  <c r="W25" i="8" s="1"/>
  <c r="T25" i="8"/>
  <c r="U25" i="8" s="1"/>
  <c r="R25" i="8"/>
  <c r="S25" i="8" s="1"/>
  <c r="P25" i="8"/>
  <c r="Q25" i="8" s="1"/>
  <c r="N25" i="8"/>
  <c r="O25" i="8" s="1"/>
  <c r="L25" i="8"/>
  <c r="M25" i="8" s="1"/>
  <c r="J25" i="8"/>
  <c r="K25" i="8" s="1"/>
  <c r="H25" i="8"/>
  <c r="I25" i="8" s="1"/>
  <c r="F25" i="8"/>
  <c r="G25" i="8" s="1"/>
  <c r="D25" i="8"/>
  <c r="E25" i="8" s="1"/>
  <c r="V24" i="8"/>
  <c r="W24" i="8" s="1"/>
  <c r="T24" i="8"/>
  <c r="U24" i="8" s="1"/>
  <c r="R24" i="8"/>
  <c r="S24" i="8" s="1"/>
  <c r="P24" i="8"/>
  <c r="Q24" i="8" s="1"/>
  <c r="N24" i="8"/>
  <c r="O24" i="8" s="1"/>
  <c r="L24" i="8"/>
  <c r="M24" i="8" s="1"/>
  <c r="J24" i="8"/>
  <c r="K24" i="8" s="1"/>
  <c r="H24" i="8"/>
  <c r="I24" i="8" s="1"/>
  <c r="F24" i="8"/>
  <c r="G24" i="8" s="1"/>
  <c r="V23" i="8"/>
  <c r="W23" i="8" s="1"/>
  <c r="T23" i="8"/>
  <c r="U23" i="8" s="1"/>
  <c r="R23" i="8"/>
  <c r="S23" i="8" s="1"/>
  <c r="P23" i="8"/>
  <c r="Q23" i="8" s="1"/>
  <c r="N23" i="8"/>
  <c r="O23" i="8" s="1"/>
  <c r="L23" i="8"/>
  <c r="M23" i="8" s="1"/>
  <c r="J23" i="8"/>
  <c r="K23" i="8" s="1"/>
  <c r="H23" i="8"/>
  <c r="I23" i="8" s="1"/>
  <c r="F23" i="8"/>
  <c r="G23" i="8" s="1"/>
  <c r="V22" i="8"/>
  <c r="W22" i="8" s="1"/>
  <c r="T22" i="8"/>
  <c r="U22" i="8" s="1"/>
  <c r="R22" i="8"/>
  <c r="S22" i="8" s="1"/>
  <c r="P22" i="8"/>
  <c r="Q22" i="8" s="1"/>
  <c r="N22" i="8"/>
  <c r="O22" i="8" s="1"/>
  <c r="L22" i="8"/>
  <c r="M22" i="8" s="1"/>
  <c r="J22" i="8"/>
  <c r="K22" i="8" s="1"/>
  <c r="H22" i="8"/>
  <c r="I22" i="8" s="1"/>
  <c r="F22" i="8"/>
  <c r="G22" i="8" s="1"/>
  <c r="V21" i="8"/>
  <c r="W21" i="8" s="1"/>
  <c r="T21" i="8"/>
  <c r="U21" i="8" s="1"/>
  <c r="R21" i="8"/>
  <c r="S21" i="8" s="1"/>
  <c r="P21" i="8"/>
  <c r="Q21" i="8" s="1"/>
  <c r="N21" i="8"/>
  <c r="O21" i="8" s="1"/>
  <c r="L21" i="8"/>
  <c r="M21" i="8" s="1"/>
  <c r="J21" i="8"/>
  <c r="K21" i="8" s="1"/>
  <c r="H21" i="8"/>
  <c r="I21" i="8" s="1"/>
  <c r="F21" i="8"/>
  <c r="G21" i="8" s="1"/>
  <c r="D21" i="8"/>
  <c r="E21" i="8" s="1"/>
  <c r="V20" i="8"/>
  <c r="W20" i="8" s="1"/>
  <c r="T20" i="8"/>
  <c r="U20" i="8" s="1"/>
  <c r="R20" i="8"/>
  <c r="S20" i="8" s="1"/>
  <c r="P20" i="8"/>
  <c r="Q20" i="8" s="1"/>
  <c r="N20" i="8"/>
  <c r="O20" i="8" s="1"/>
  <c r="L20" i="8"/>
  <c r="M20" i="8" s="1"/>
  <c r="J20" i="8"/>
  <c r="K20" i="8" s="1"/>
  <c r="H20" i="8"/>
  <c r="I20" i="8" s="1"/>
  <c r="F20" i="8"/>
  <c r="G20" i="8" s="1"/>
  <c r="V19" i="8"/>
  <c r="W19" i="8" s="1"/>
  <c r="T19" i="8"/>
  <c r="U19" i="8" s="1"/>
  <c r="R19" i="8"/>
  <c r="S19" i="8" s="1"/>
  <c r="P19" i="8"/>
  <c r="Q19" i="8" s="1"/>
  <c r="N19" i="8"/>
  <c r="O19" i="8" s="1"/>
  <c r="L19" i="8"/>
  <c r="M19" i="8" s="1"/>
  <c r="J19" i="8"/>
  <c r="K19" i="8" s="1"/>
  <c r="H19" i="8"/>
  <c r="I19" i="8" s="1"/>
  <c r="F19" i="8"/>
  <c r="G19" i="8" s="1"/>
  <c r="V18" i="8"/>
  <c r="W18" i="8" s="1"/>
  <c r="T18" i="8"/>
  <c r="U18" i="8" s="1"/>
  <c r="R18" i="8"/>
  <c r="S18" i="8" s="1"/>
  <c r="P18" i="8"/>
  <c r="Q18" i="8" s="1"/>
  <c r="N18" i="8"/>
  <c r="O18" i="8" s="1"/>
  <c r="L18" i="8"/>
  <c r="M18" i="8" s="1"/>
  <c r="J18" i="8"/>
  <c r="K18" i="8" s="1"/>
  <c r="H18" i="8"/>
  <c r="I18" i="8" s="1"/>
  <c r="F18" i="8"/>
  <c r="G18" i="8" s="1"/>
  <c r="V17" i="8"/>
  <c r="W17" i="8" s="1"/>
  <c r="T17" i="8"/>
  <c r="U17" i="8" s="1"/>
  <c r="R17" i="8"/>
  <c r="S17" i="8" s="1"/>
  <c r="P17" i="8"/>
  <c r="Q17" i="8" s="1"/>
  <c r="N17" i="8"/>
  <c r="O17" i="8" s="1"/>
  <c r="L17" i="8"/>
  <c r="M17" i="8" s="1"/>
  <c r="J17" i="8"/>
  <c r="K17" i="8" s="1"/>
  <c r="H17" i="8"/>
  <c r="I17" i="8" s="1"/>
  <c r="F17" i="8"/>
  <c r="G17" i="8" s="1"/>
  <c r="D17" i="8"/>
  <c r="E17" i="8" s="1"/>
  <c r="V16" i="8"/>
  <c r="W16" i="8" s="1"/>
  <c r="T16" i="8"/>
  <c r="U16" i="8" s="1"/>
  <c r="R16" i="8"/>
  <c r="S16" i="8" s="1"/>
  <c r="P16" i="8"/>
  <c r="Q16" i="8" s="1"/>
  <c r="N16" i="8"/>
  <c r="O16" i="8" s="1"/>
  <c r="L16" i="8"/>
  <c r="M16" i="8" s="1"/>
  <c r="J16" i="8"/>
  <c r="K16" i="8" s="1"/>
  <c r="H16" i="8"/>
  <c r="I16" i="8" s="1"/>
  <c r="F16" i="8"/>
  <c r="G16" i="8" s="1"/>
  <c r="V15" i="8"/>
  <c r="W15" i="8" s="1"/>
  <c r="T15" i="8"/>
  <c r="U15" i="8" s="1"/>
  <c r="R15" i="8"/>
  <c r="S15" i="8" s="1"/>
  <c r="P15" i="8"/>
  <c r="Q15" i="8" s="1"/>
  <c r="N15" i="8"/>
  <c r="O15" i="8" s="1"/>
  <c r="L15" i="8"/>
  <c r="M15" i="8" s="1"/>
  <c r="J15" i="8"/>
  <c r="K15" i="8" s="1"/>
  <c r="I15" i="8"/>
  <c r="F15" i="8"/>
  <c r="G15" i="8" s="1"/>
  <c r="V14" i="8"/>
  <c r="W14" i="8" s="1"/>
  <c r="T14" i="8"/>
  <c r="U14" i="8" s="1"/>
  <c r="R14" i="8"/>
  <c r="S14" i="8" s="1"/>
  <c r="P14" i="8"/>
  <c r="Q14" i="8" s="1"/>
  <c r="N14" i="8"/>
  <c r="O14" i="8" s="1"/>
  <c r="L14" i="8"/>
  <c r="M14" i="8" s="1"/>
  <c r="J14" i="8"/>
  <c r="K14" i="8" s="1"/>
  <c r="H14" i="8"/>
  <c r="I14" i="8" s="1"/>
  <c r="F14" i="8"/>
  <c r="G14" i="8" s="1"/>
  <c r="V13" i="8"/>
  <c r="W13" i="8" s="1"/>
  <c r="T13" i="8"/>
  <c r="U13" i="8" s="1"/>
  <c r="R13" i="8"/>
  <c r="S13" i="8" s="1"/>
  <c r="P13" i="8"/>
  <c r="Q13" i="8" s="1"/>
  <c r="N13" i="8"/>
  <c r="O13" i="8" s="1"/>
  <c r="L13" i="8"/>
  <c r="M13" i="8" s="1"/>
  <c r="J13" i="8"/>
  <c r="K13" i="8" s="1"/>
  <c r="H13" i="8"/>
  <c r="I13" i="8" s="1"/>
  <c r="F13" i="8"/>
  <c r="G13" i="8" s="1"/>
  <c r="D13" i="8"/>
  <c r="E13" i="8" s="1"/>
  <c r="V12" i="8"/>
  <c r="W12" i="8" s="1"/>
  <c r="T12" i="8"/>
  <c r="U12" i="8" s="1"/>
  <c r="R12" i="8"/>
  <c r="S12" i="8" s="1"/>
  <c r="P12" i="8"/>
  <c r="Q12" i="8" s="1"/>
  <c r="N12" i="8"/>
  <c r="O12" i="8" s="1"/>
  <c r="L12" i="8"/>
  <c r="M12" i="8" s="1"/>
  <c r="J12" i="8"/>
  <c r="K12" i="8" s="1"/>
  <c r="H12" i="8"/>
  <c r="I12" i="8" s="1"/>
  <c r="F12" i="8"/>
  <c r="G12" i="8" s="1"/>
  <c r="D12" i="8"/>
  <c r="E12" i="8" s="1"/>
  <c r="V11" i="8"/>
  <c r="W11" i="8" s="1"/>
  <c r="T11" i="8"/>
  <c r="U11" i="8" s="1"/>
  <c r="R11" i="8"/>
  <c r="S11" i="8" s="1"/>
  <c r="P11" i="8"/>
  <c r="Q11" i="8" s="1"/>
  <c r="N11" i="8"/>
  <c r="O11" i="8" s="1"/>
  <c r="L11" i="8"/>
  <c r="M11" i="8" s="1"/>
  <c r="J11" i="8"/>
  <c r="K11" i="8" s="1"/>
  <c r="H11" i="8"/>
  <c r="I11" i="8" s="1"/>
  <c r="F11" i="8"/>
  <c r="G11" i="8" s="1"/>
  <c r="V10" i="8"/>
  <c r="V3" i="8" s="1"/>
  <c r="T10" i="8"/>
  <c r="U10" i="8" s="1"/>
  <c r="U3" i="8" s="1"/>
  <c r="R10" i="8"/>
  <c r="S10" i="8" s="1"/>
  <c r="S3" i="8" s="1"/>
  <c r="P10" i="8"/>
  <c r="Q10" i="8" s="1"/>
  <c r="Q3" i="8" s="1"/>
  <c r="N10" i="8"/>
  <c r="O10" i="8" s="1"/>
  <c r="O3" i="8" s="1"/>
  <c r="L10" i="8"/>
  <c r="M10" i="8" s="1"/>
  <c r="M3" i="8" s="1"/>
  <c r="J10" i="8"/>
  <c r="K10" i="8" s="1"/>
  <c r="K3" i="8" s="1"/>
  <c r="H10" i="8"/>
  <c r="I10" i="8" s="1"/>
  <c r="I3" i="8" s="1"/>
  <c r="F10" i="8"/>
  <c r="G10" i="8" s="1"/>
  <c r="G3" i="8" s="1"/>
  <c r="V9" i="8"/>
  <c r="W9" i="8" s="1"/>
  <c r="T9" i="8"/>
  <c r="U9" i="8" s="1"/>
  <c r="R9" i="8"/>
  <c r="S9" i="8" s="1"/>
  <c r="P9" i="8"/>
  <c r="Q9" i="8" s="1"/>
  <c r="N9" i="8"/>
  <c r="O9" i="8" s="1"/>
  <c r="L9" i="8"/>
  <c r="M9" i="8" s="1"/>
  <c r="J9" i="8"/>
  <c r="K9" i="8" s="1"/>
  <c r="H9" i="8"/>
  <c r="I9" i="8" s="1"/>
  <c r="F9" i="8"/>
  <c r="G9" i="8" s="1"/>
  <c r="V8" i="8"/>
  <c r="W8" i="8" s="1"/>
  <c r="T8" i="8"/>
  <c r="U8" i="8" s="1"/>
  <c r="R8" i="8"/>
  <c r="S8" i="8" s="1"/>
  <c r="P8" i="8"/>
  <c r="Q8" i="8" s="1"/>
  <c r="N8" i="8"/>
  <c r="O8" i="8" s="1"/>
  <c r="L8" i="8"/>
  <c r="M8" i="8" s="1"/>
  <c r="J8" i="8"/>
  <c r="K8" i="8" s="1"/>
  <c r="H8" i="8"/>
  <c r="I8" i="8" s="1"/>
  <c r="F8" i="8"/>
  <c r="G8" i="8" s="1"/>
  <c r="V7" i="8"/>
  <c r="W7" i="8" s="1"/>
  <c r="T7" i="8"/>
  <c r="U7" i="8" s="1"/>
  <c r="R7" i="8"/>
  <c r="S7" i="8" s="1"/>
  <c r="P7" i="8"/>
  <c r="Q7" i="8" s="1"/>
  <c r="N7" i="8"/>
  <c r="O7" i="8" s="1"/>
  <c r="L7" i="8"/>
  <c r="M7" i="8" s="1"/>
  <c r="J7" i="8"/>
  <c r="K7" i="8" s="1"/>
  <c r="H7" i="8"/>
  <c r="I7" i="8" s="1"/>
  <c r="F7" i="8"/>
  <c r="G7" i="8" s="1"/>
  <c r="W277" i="5"/>
  <c r="R194" i="5"/>
  <c r="G106" i="5"/>
  <c r="F106" i="5"/>
  <c r="H38" i="5"/>
  <c r="N14" i="5"/>
  <c r="L44" i="5"/>
  <c r="L22" i="5"/>
  <c r="F91" i="5"/>
  <c r="E52" i="5"/>
  <c r="E96" i="5"/>
  <c r="E95" i="5"/>
  <c r="E94" i="5"/>
  <c r="E93" i="5"/>
  <c r="E92" i="5"/>
  <c r="E91" i="5"/>
  <c r="E90" i="5"/>
  <c r="E89" i="5"/>
  <c r="E88" i="5"/>
  <c r="E87" i="5"/>
  <c r="E86" i="5"/>
  <c r="E83" i="5"/>
  <c r="E84" i="5"/>
  <c r="E85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F90" i="5"/>
  <c r="F93" i="5"/>
  <c r="F96" i="5"/>
  <c r="F95" i="5"/>
  <c r="F94" i="5"/>
  <c r="F92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65" i="5"/>
  <c r="F66" i="5"/>
  <c r="F67" i="5"/>
  <c r="F68" i="5"/>
  <c r="F69" i="5"/>
  <c r="F70" i="5"/>
  <c r="F71" i="5"/>
  <c r="F72" i="5"/>
  <c r="F73" i="5"/>
  <c r="F74" i="5"/>
  <c r="F75" i="5"/>
  <c r="G90" i="5"/>
  <c r="G83" i="5"/>
  <c r="G81" i="5"/>
  <c r="G96" i="5"/>
  <c r="G95" i="5"/>
  <c r="G94" i="5"/>
  <c r="G93" i="5"/>
  <c r="G92" i="5"/>
  <c r="G91" i="5"/>
  <c r="G89" i="5"/>
  <c r="G88" i="5"/>
  <c r="G87" i="5"/>
  <c r="G86" i="5"/>
  <c r="G85" i="5"/>
  <c r="G84" i="5"/>
  <c r="G82" i="5"/>
  <c r="G80" i="5"/>
  <c r="G79" i="5"/>
  <c r="G78" i="5"/>
  <c r="G77" i="5"/>
  <c r="G76" i="5"/>
  <c r="G75" i="5"/>
  <c r="G74" i="5"/>
  <c r="G73" i="5"/>
  <c r="G72" i="5"/>
  <c r="G71" i="5"/>
  <c r="G70" i="5"/>
  <c r="G69" i="5"/>
  <c r="G65" i="5"/>
  <c r="G66" i="5"/>
  <c r="G67" i="5"/>
  <c r="G68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I88" i="5"/>
  <c r="I83" i="5"/>
  <c r="I96" i="5"/>
  <c r="I95" i="5"/>
  <c r="I94" i="5"/>
  <c r="I93" i="5"/>
  <c r="I92" i="5"/>
  <c r="I91" i="5"/>
  <c r="I90" i="5"/>
  <c r="I89" i="5"/>
  <c r="I87" i="5"/>
  <c r="I86" i="5"/>
  <c r="I85" i="5"/>
  <c r="I84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5" i="5"/>
  <c r="I66" i="5"/>
  <c r="I67" i="5"/>
  <c r="I68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6" i="5"/>
  <c r="J67" i="5"/>
  <c r="J65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M93" i="5"/>
  <c r="M91" i="5"/>
  <c r="M95" i="5"/>
  <c r="M94" i="5"/>
  <c r="M86" i="5"/>
  <c r="M96" i="5"/>
  <c r="M92" i="5"/>
  <c r="M90" i="5"/>
  <c r="M89" i="5"/>
  <c r="M88" i="5"/>
  <c r="M87" i="5"/>
  <c r="M85" i="5"/>
  <c r="M84" i="5"/>
  <c r="M83" i="5"/>
  <c r="M82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4" i="5"/>
  <c r="M45" i="5"/>
  <c r="M46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K52" i="5"/>
  <c r="K64" i="5"/>
  <c r="K63" i="5"/>
  <c r="K62" i="5"/>
  <c r="K61" i="5"/>
  <c r="K60" i="5"/>
  <c r="K59" i="5"/>
  <c r="K56" i="5"/>
  <c r="K58" i="5"/>
  <c r="K57" i="5"/>
  <c r="K55" i="5"/>
  <c r="K54" i="5"/>
  <c r="K53" i="5"/>
  <c r="K39" i="5"/>
  <c r="K51" i="5"/>
  <c r="K50" i="5"/>
  <c r="K49" i="5"/>
  <c r="K48" i="5"/>
  <c r="K47" i="5"/>
  <c r="K46" i="5"/>
  <c r="K45" i="5"/>
  <c r="K44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E64" i="5"/>
  <c r="E63" i="5"/>
  <c r="E62" i="5"/>
  <c r="E61" i="5"/>
  <c r="E60" i="5"/>
  <c r="E59" i="5"/>
  <c r="E58" i="5"/>
  <c r="E57" i="5"/>
  <c r="E56" i="5"/>
  <c r="E55" i="5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54" i="5"/>
  <c r="E53" i="5"/>
  <c r="F51" i="5"/>
  <c r="F50" i="5"/>
  <c r="F49" i="5"/>
  <c r="F48" i="5"/>
  <c r="F47" i="5"/>
  <c r="E51" i="5"/>
  <c r="E50" i="5"/>
  <c r="E49" i="5"/>
  <c r="E48" i="5"/>
  <c r="E47" i="5"/>
  <c r="E46" i="5"/>
  <c r="E45" i="5"/>
  <c r="F46" i="5"/>
  <c r="F44" i="5"/>
  <c r="F45" i="5"/>
  <c r="E44" i="5"/>
  <c r="M40" i="5"/>
  <c r="M41" i="5"/>
  <c r="M42" i="5"/>
  <c r="M43" i="5"/>
  <c r="M39" i="5"/>
  <c r="N37" i="5"/>
  <c r="N38" i="5"/>
  <c r="N39" i="5"/>
  <c r="N40" i="5"/>
  <c r="N41" i="5"/>
  <c r="N42" i="5"/>
  <c r="N43" i="5"/>
  <c r="N35" i="5"/>
  <c r="N36" i="5"/>
  <c r="M38" i="5"/>
  <c r="M37" i="5"/>
  <c r="M36" i="5"/>
  <c r="M35" i="5"/>
  <c r="J43" i="5"/>
  <c r="K43" i="5"/>
  <c r="L43" i="5"/>
  <c r="L42" i="5"/>
  <c r="L41" i="5"/>
  <c r="L40" i="5"/>
  <c r="L39" i="5"/>
  <c r="L38" i="5"/>
  <c r="L35" i="5"/>
  <c r="L36" i="5"/>
  <c r="L37" i="5"/>
  <c r="L33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G43" i="5"/>
  <c r="G41" i="5"/>
  <c r="G36" i="5"/>
  <c r="G42" i="5"/>
  <c r="G40" i="5"/>
  <c r="G39" i="5"/>
  <c r="G38" i="5"/>
  <c r="G37" i="5"/>
  <c r="G35" i="5"/>
  <c r="G34" i="5"/>
  <c r="G33" i="5"/>
  <c r="G32" i="5"/>
  <c r="G31" i="5"/>
  <c r="I43" i="5"/>
  <c r="H41" i="5"/>
  <c r="H42" i="5"/>
  <c r="H43" i="5"/>
  <c r="I41" i="5"/>
  <c r="I42" i="5"/>
  <c r="J42" i="5"/>
  <c r="J41" i="5"/>
  <c r="K42" i="5"/>
  <c r="K41" i="5"/>
  <c r="K40" i="5"/>
  <c r="K38" i="5"/>
  <c r="K37" i="5"/>
  <c r="K36" i="5"/>
  <c r="H40" i="5"/>
  <c r="H39" i="5"/>
  <c r="I32" i="5"/>
  <c r="I33" i="5"/>
  <c r="I34" i="5"/>
  <c r="I35" i="5"/>
  <c r="I36" i="5"/>
  <c r="I37" i="5"/>
  <c r="I38" i="5"/>
  <c r="I39" i="5"/>
  <c r="I40" i="5"/>
  <c r="J38" i="5"/>
  <c r="J37" i="5"/>
  <c r="J36" i="5"/>
  <c r="J33" i="5"/>
  <c r="J40" i="5"/>
  <c r="J39" i="5"/>
  <c r="J35" i="5"/>
  <c r="J34" i="5"/>
  <c r="J32" i="5"/>
  <c r="J31" i="5"/>
  <c r="K34" i="5"/>
  <c r="K35" i="5"/>
  <c r="K33" i="5"/>
  <c r="L34" i="5"/>
  <c r="M34" i="5"/>
  <c r="M33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M31" i="5"/>
  <c r="M28" i="5"/>
  <c r="M32" i="5"/>
  <c r="M30" i="5"/>
  <c r="M29" i="5"/>
  <c r="M27" i="5"/>
  <c r="M26" i="5"/>
  <c r="M25" i="5"/>
  <c r="L32" i="5"/>
  <c r="L31" i="5"/>
  <c r="L30" i="5"/>
  <c r="L29" i="5"/>
  <c r="L28" i="5"/>
  <c r="L27" i="5"/>
  <c r="L26" i="5"/>
  <c r="L25" i="5"/>
  <c r="L24" i="5"/>
  <c r="L23" i="5"/>
  <c r="L21" i="5"/>
  <c r="L20" i="5"/>
  <c r="M21" i="5"/>
  <c r="M22" i="5"/>
  <c r="M23" i="5"/>
  <c r="M24" i="5"/>
  <c r="M20" i="5"/>
  <c r="M19" i="5"/>
  <c r="M18" i="5"/>
  <c r="M17" i="5"/>
  <c r="M16" i="5"/>
  <c r="L16" i="5"/>
  <c r="L17" i="5"/>
  <c r="L18" i="5"/>
  <c r="L19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G30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G16" i="5"/>
  <c r="F16" i="5"/>
  <c r="E16" i="5"/>
  <c r="E15" i="5"/>
  <c r="E14" i="5"/>
  <c r="F14" i="5"/>
  <c r="F15" i="5"/>
  <c r="H14" i="5"/>
  <c r="H15" i="5"/>
  <c r="G14" i="5"/>
  <c r="G15" i="5"/>
  <c r="I14" i="5"/>
  <c r="I15" i="5"/>
  <c r="J14" i="5"/>
  <c r="J15" i="5"/>
  <c r="N15" i="5"/>
  <c r="M15" i="5"/>
  <c r="L15" i="5"/>
  <c r="M14" i="5"/>
  <c r="L14" i="5"/>
  <c r="K14" i="5"/>
  <c r="K15" i="5"/>
  <c r="K13" i="5"/>
  <c r="J13" i="5"/>
  <c r="I13" i="5"/>
  <c r="H13" i="5"/>
  <c r="G13" i="5"/>
  <c r="F13" i="5"/>
  <c r="E12" i="5"/>
  <c r="E13" i="5"/>
  <c r="F11" i="5"/>
  <c r="F12" i="5"/>
  <c r="G12" i="5"/>
  <c r="G11" i="5"/>
  <c r="H11" i="5"/>
  <c r="H12" i="5"/>
  <c r="I11" i="5"/>
  <c r="I12" i="5"/>
  <c r="J12" i="5"/>
  <c r="J11" i="5"/>
  <c r="K12" i="5"/>
  <c r="K11" i="5"/>
  <c r="L11" i="5"/>
  <c r="L12" i="5"/>
  <c r="L13" i="5"/>
  <c r="M11" i="5"/>
  <c r="M12" i="5"/>
  <c r="M13" i="5"/>
  <c r="N11" i="5"/>
  <c r="N12" i="5"/>
  <c r="N13" i="5"/>
  <c r="N7" i="5"/>
  <c r="N8" i="5"/>
  <c r="N9" i="5"/>
  <c r="N10" i="5"/>
  <c r="M7" i="5"/>
  <c r="M8" i="5"/>
  <c r="M9" i="5"/>
  <c r="M10" i="5"/>
  <c r="L7" i="5"/>
  <c r="L8" i="5"/>
  <c r="L9" i="5"/>
  <c r="L10" i="5"/>
  <c r="K10" i="5"/>
  <c r="J10" i="5"/>
  <c r="I10" i="5"/>
  <c r="H10" i="5"/>
  <c r="G10" i="5"/>
  <c r="F10" i="5"/>
  <c r="E11" i="5"/>
  <c r="E10" i="5"/>
  <c r="K9" i="5"/>
  <c r="K8" i="5"/>
  <c r="E9" i="5"/>
  <c r="E6" i="5"/>
  <c r="E7" i="5"/>
  <c r="F7" i="5"/>
  <c r="F8" i="5"/>
  <c r="F9" i="5"/>
  <c r="G7" i="5"/>
  <c r="G8" i="5"/>
  <c r="G9" i="5"/>
  <c r="H7" i="5"/>
  <c r="H8" i="5"/>
  <c r="H9" i="5"/>
  <c r="I7" i="5"/>
  <c r="I8" i="5"/>
  <c r="I9" i="5"/>
  <c r="J8" i="5"/>
  <c r="J9" i="5"/>
  <c r="J7" i="5"/>
  <c r="K7" i="5"/>
  <c r="N6" i="5"/>
  <c r="M6" i="5"/>
  <c r="L6" i="5"/>
  <c r="K6" i="5"/>
  <c r="K5" i="5"/>
  <c r="J6" i="5"/>
  <c r="J4" i="5"/>
  <c r="I6" i="5"/>
  <c r="H6" i="5"/>
  <c r="G6" i="5"/>
  <c r="F6" i="5"/>
  <c r="F5" i="5"/>
  <c r="N5" i="5"/>
  <c r="M5" i="5"/>
  <c r="L5" i="5"/>
  <c r="J5" i="5"/>
  <c r="I5" i="5"/>
  <c r="I4" i="5"/>
  <c r="H5" i="5"/>
  <c r="G5" i="5"/>
  <c r="E5" i="5"/>
  <c r="N4" i="5"/>
  <c r="M4" i="5"/>
  <c r="L4" i="5"/>
  <c r="K4" i="5"/>
  <c r="H4" i="5"/>
  <c r="G4" i="5"/>
  <c r="W249" i="5" s="1"/>
  <c r="F4" i="5"/>
  <c r="E4" i="5"/>
  <c r="B85" i="5"/>
  <c r="B64" i="5"/>
  <c r="B12" i="5"/>
  <c r="B96" i="5"/>
  <c r="B95" i="5"/>
  <c r="B94" i="5"/>
  <c r="B93" i="5"/>
  <c r="B92" i="5"/>
  <c r="B91" i="5"/>
  <c r="B90" i="5"/>
  <c r="B89" i="5"/>
  <c r="B88" i="5"/>
  <c r="B87" i="5"/>
  <c r="B86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8" i="5"/>
  <c r="A7" i="2"/>
  <c r="A8" i="2"/>
  <c r="A9" i="2"/>
  <c r="A10" i="2"/>
  <c r="A15" i="2"/>
  <c r="A14" i="2"/>
  <c r="A13" i="2"/>
  <c r="A12" i="2"/>
  <c r="A11" i="2"/>
  <c r="D106" i="3"/>
  <c r="C106" i="3"/>
  <c r="B106" i="3"/>
  <c r="D105" i="3"/>
  <c r="C105" i="3"/>
  <c r="B105" i="3"/>
  <c r="D104" i="3"/>
  <c r="C104" i="3"/>
  <c r="B104" i="3"/>
  <c r="D103" i="3"/>
  <c r="C103" i="3"/>
  <c r="B103" i="3"/>
  <c r="C102" i="3"/>
  <c r="B102" i="3"/>
  <c r="C101" i="3"/>
  <c r="B101" i="3"/>
  <c r="C100" i="3"/>
  <c r="B100" i="3"/>
  <c r="D99" i="3"/>
  <c r="C99" i="3"/>
  <c r="B99" i="3"/>
  <c r="C98" i="3"/>
  <c r="B98" i="3"/>
  <c r="D97" i="3"/>
  <c r="C97" i="3"/>
  <c r="B97" i="3"/>
  <c r="D96" i="3"/>
  <c r="C96" i="3"/>
  <c r="B96" i="3"/>
  <c r="C95" i="3"/>
  <c r="B95" i="3"/>
  <c r="C94" i="3"/>
  <c r="B94" i="3"/>
  <c r="C93" i="3"/>
  <c r="B93" i="3"/>
  <c r="C92" i="3"/>
  <c r="B92" i="3"/>
  <c r="C91" i="3"/>
  <c r="B91" i="3"/>
  <c r="D90" i="3"/>
  <c r="C90" i="3"/>
  <c r="B90" i="3"/>
  <c r="C89" i="3"/>
  <c r="B89" i="3"/>
  <c r="C88" i="3"/>
  <c r="B88" i="3"/>
  <c r="D87" i="3"/>
  <c r="C87" i="3"/>
  <c r="B87" i="3"/>
  <c r="C86" i="3"/>
  <c r="B86" i="3"/>
  <c r="D85" i="3"/>
  <c r="C85" i="3"/>
  <c r="B85" i="3"/>
  <c r="D84" i="3"/>
  <c r="C84" i="3"/>
  <c r="B84" i="3"/>
  <c r="D83" i="3"/>
  <c r="C83" i="3"/>
  <c r="B83" i="3"/>
  <c r="C82" i="3"/>
  <c r="B82" i="3"/>
  <c r="C81" i="3"/>
  <c r="B81" i="3"/>
  <c r="D80" i="3"/>
  <c r="C80" i="3"/>
  <c r="B80" i="3"/>
  <c r="C79" i="3"/>
  <c r="B79" i="3"/>
  <c r="D78" i="3"/>
  <c r="C78" i="3"/>
  <c r="B78" i="3"/>
  <c r="C77" i="3"/>
  <c r="B77" i="3"/>
  <c r="C76" i="3"/>
  <c r="B76" i="3"/>
  <c r="C75" i="3"/>
  <c r="B75" i="3"/>
  <c r="C74" i="3"/>
  <c r="B74" i="3"/>
  <c r="D73" i="3"/>
  <c r="C73" i="3"/>
  <c r="B73" i="3"/>
  <c r="D70" i="3"/>
  <c r="D72" i="3"/>
  <c r="C72" i="3"/>
  <c r="B72" i="3"/>
  <c r="C71" i="3"/>
  <c r="B71" i="3"/>
  <c r="C70" i="3"/>
  <c r="B70" i="3"/>
  <c r="C69" i="3"/>
  <c r="B69" i="3"/>
  <c r="C68" i="3"/>
  <c r="B68" i="3"/>
  <c r="E14" i="1"/>
  <c r="B14" i="1"/>
  <c r="D24" i="3"/>
  <c r="E10" i="1"/>
  <c r="B10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D61" i="3"/>
  <c r="D60" i="3"/>
  <c r="D59" i="3"/>
  <c r="D58" i="3"/>
  <c r="D57" i="3"/>
  <c r="D56" i="3"/>
  <c r="D54" i="3"/>
  <c r="D53" i="3"/>
  <c r="D52" i="3"/>
  <c r="D51" i="3"/>
  <c r="D50" i="3"/>
  <c r="D49" i="3"/>
  <c r="D48" i="3"/>
  <c r="D47" i="3"/>
  <c r="D45" i="3"/>
  <c r="D44" i="3"/>
  <c r="D43" i="3"/>
  <c r="D42" i="3"/>
  <c r="D41" i="3"/>
  <c r="D40" i="3"/>
  <c r="D38" i="3"/>
  <c r="D35" i="3"/>
  <c r="D34" i="3"/>
  <c r="D33" i="3"/>
  <c r="D32" i="3"/>
  <c r="D31" i="3"/>
  <c r="D29" i="3"/>
  <c r="D28" i="3"/>
  <c r="D26" i="3"/>
  <c r="D25" i="3"/>
  <c r="D22" i="3"/>
  <c r="D21" i="3"/>
  <c r="D20" i="3"/>
  <c r="D19" i="3"/>
  <c r="D18" i="3"/>
  <c r="J8" i="3"/>
  <c r="H8" i="3"/>
  <c r="D17" i="3"/>
  <c r="D16" i="3"/>
  <c r="D15" i="3"/>
  <c r="D14" i="3"/>
  <c r="D13" i="3"/>
  <c r="J7" i="3"/>
  <c r="H7" i="3"/>
  <c r="D12" i="3"/>
  <c r="D10" i="3"/>
  <c r="J6" i="3"/>
  <c r="H6" i="3"/>
  <c r="D8" i="3"/>
  <c r="D7" i="3"/>
  <c r="D6" i="3"/>
  <c r="R4" i="9" l="1"/>
  <c r="J3" i="9"/>
  <c r="L4" i="9"/>
  <c r="T4" i="9"/>
  <c r="P3" i="9"/>
  <c r="N4" i="9"/>
  <c r="R3" i="9"/>
  <c r="E3" i="9"/>
  <c r="X12" i="9" s="1"/>
  <c r="H3" i="9"/>
  <c r="J4" i="9"/>
  <c r="V3" i="9"/>
  <c r="N3" i="9"/>
  <c r="F3" i="9"/>
  <c r="E4" i="9"/>
  <c r="Y14" i="9" s="1"/>
  <c r="P4" i="9"/>
  <c r="H4" i="9"/>
  <c r="T3" i="9"/>
  <c r="L3" i="9"/>
  <c r="V4" i="9"/>
  <c r="F4" i="9"/>
  <c r="V4" i="8"/>
  <c r="W30" i="8"/>
  <c r="W4" i="8" s="1"/>
  <c r="W10" i="8"/>
  <c r="W3" i="8" s="1"/>
  <c r="X99" i="8" s="1"/>
  <c r="R105" i="1"/>
  <c r="X35" i="8"/>
  <c r="X74" i="8"/>
  <c r="X25" i="8"/>
  <c r="X27" i="8"/>
  <c r="X41" i="8"/>
  <c r="X90" i="8"/>
  <c r="X34" i="8"/>
  <c r="X52" i="8"/>
  <c r="X19" i="8"/>
  <c r="X84" i="8"/>
  <c r="X98" i="8"/>
  <c r="X83" i="8"/>
  <c r="X65" i="8"/>
  <c r="X58" i="8"/>
  <c r="X66" i="8"/>
  <c r="X75" i="8"/>
  <c r="X18" i="8"/>
  <c r="X16" i="8"/>
  <c r="X88" i="8"/>
  <c r="X64" i="8"/>
  <c r="X56" i="8"/>
  <c r="X7" i="8"/>
  <c r="X71" i="8"/>
  <c r="X63" i="8"/>
  <c r="X55" i="8"/>
  <c r="X86" i="8"/>
  <c r="X78" i="8"/>
  <c r="X70" i="8"/>
  <c r="X54" i="8"/>
  <c r="X46" i="8"/>
  <c r="X14" i="8"/>
  <c r="X85" i="8"/>
  <c r="X77" i="8"/>
  <c r="X69" i="8"/>
  <c r="X21" i="8"/>
  <c r="X13" i="8"/>
  <c r="X92" i="8"/>
  <c r="X68" i="8"/>
  <c r="X60" i="8"/>
  <c r="X28" i="8"/>
  <c r="X12" i="8"/>
  <c r="X10" i="8"/>
  <c r="U262" i="5"/>
  <c r="V292" i="5"/>
  <c r="AC291" i="5"/>
  <c r="U246" i="5"/>
  <c r="AC280" i="5"/>
  <c r="E323" i="5"/>
  <c r="M136" i="5"/>
  <c r="O129" i="5"/>
  <c r="AD287" i="5"/>
  <c r="F322" i="5"/>
  <c r="M139" i="5"/>
  <c r="E331" i="5"/>
  <c r="V266" i="5"/>
  <c r="N288" i="5"/>
  <c r="M135" i="5"/>
  <c r="W279" i="5"/>
  <c r="AE277" i="5" s="1"/>
  <c r="M117" i="5"/>
  <c r="O134" i="5"/>
  <c r="AE288" i="5"/>
  <c r="L4" i="8"/>
  <c r="N116" i="5"/>
  <c r="V246" i="5"/>
  <c r="AK280" i="5"/>
  <c r="AC288" i="5"/>
  <c r="AL279" i="5"/>
  <c r="N131" i="5"/>
  <c r="M131" i="5"/>
  <c r="U284" i="5"/>
  <c r="N258" i="5"/>
  <c r="U253" i="5"/>
  <c r="U287" i="5"/>
  <c r="O287" i="5"/>
  <c r="AL283" i="5"/>
  <c r="O247" i="5"/>
  <c r="W243" i="5" s="1"/>
  <c r="N279" i="5"/>
  <c r="W283" i="5"/>
  <c r="V258" i="5"/>
  <c r="G30" i="8"/>
  <c r="G4" i="8" s="1"/>
  <c r="F4" i="8"/>
  <c r="N125" i="5"/>
  <c r="O296" i="5"/>
  <c r="M113" i="5"/>
  <c r="M114" i="5" s="1"/>
  <c r="E330" i="5"/>
  <c r="M292" i="5"/>
  <c r="M283" i="5"/>
  <c r="O295" i="5"/>
  <c r="W288" i="5"/>
  <c r="U283" i="5"/>
  <c r="AE284" i="5"/>
  <c r="AE287" i="5"/>
  <c r="AE290" i="5"/>
  <c r="AK279" i="5"/>
  <c r="AK281" i="5" s="1"/>
  <c r="O109" i="5"/>
  <c r="M121" i="5"/>
  <c r="M134" i="5"/>
  <c r="U266" i="5"/>
  <c r="V253" i="5"/>
  <c r="U257" i="5"/>
  <c r="N292" i="5"/>
  <c r="N283" i="5"/>
  <c r="M296" i="5"/>
  <c r="U277" i="5" s="1"/>
  <c r="V288" i="5"/>
  <c r="U291" i="5"/>
  <c r="M116" i="5"/>
  <c r="N120" i="5"/>
  <c r="W253" i="5"/>
  <c r="W292" i="5"/>
  <c r="AD283" i="5"/>
  <c r="AL288" i="5"/>
  <c r="AM287" i="5"/>
  <c r="N108" i="5"/>
  <c r="O126" i="5"/>
  <c r="M130" i="5"/>
  <c r="N134" i="5"/>
  <c r="P134" i="5" s="1"/>
  <c r="W265" i="5"/>
  <c r="V265" i="5"/>
  <c r="U265" i="5"/>
  <c r="O139" i="5"/>
  <c r="E316" i="5"/>
  <c r="N271" i="5"/>
  <c r="AM291" i="5"/>
  <c r="W295" i="5"/>
  <c r="M300" i="5"/>
  <c r="O140" i="5"/>
  <c r="AK291" i="5"/>
  <c r="AD291" i="5"/>
  <c r="U295" i="5"/>
  <c r="AL291" i="5"/>
  <c r="AE291" i="5"/>
  <c r="V295" i="5"/>
  <c r="G322" i="5"/>
  <c r="M295" i="5"/>
  <c r="O135" i="5"/>
  <c r="U292" i="5"/>
  <c r="N109" i="5"/>
  <c r="N135" i="5"/>
  <c r="V261" i="5"/>
  <c r="W257" i="5"/>
  <c r="AD280" i="5"/>
  <c r="N297" i="5"/>
  <c r="U263" i="5"/>
  <c r="AM280" i="5"/>
  <c r="W280" i="5"/>
  <c r="M297" i="5"/>
  <c r="M280" i="5"/>
  <c r="W246" i="5"/>
  <c r="M263" i="5"/>
  <c r="U258" i="5"/>
  <c r="N254" i="5"/>
  <c r="V249" i="5"/>
  <c r="AE279" i="5"/>
  <c r="U249" i="5"/>
  <c r="AD279" i="5"/>
  <c r="AC279" i="5"/>
  <c r="F330" i="5"/>
  <c r="O292" i="5"/>
  <c r="O283" i="5"/>
  <c r="M299" i="5"/>
  <c r="U288" i="5"/>
  <c r="U289" i="5" s="1"/>
  <c r="AD288" i="5"/>
  <c r="U294" i="5"/>
  <c r="AL280" i="5"/>
  <c r="AM279" i="5"/>
  <c r="O120" i="5"/>
  <c r="M140" i="5"/>
  <c r="W250" i="5"/>
  <c r="W251" i="5" s="1"/>
  <c r="W266" i="5"/>
  <c r="V257" i="5"/>
  <c r="O246" i="5"/>
  <c r="O277" i="5" s="1"/>
  <c r="N112" i="5"/>
  <c r="N114" i="5" s="1"/>
  <c r="M112" i="5"/>
  <c r="O250" i="5"/>
  <c r="V245" i="5"/>
  <c r="N259" i="5"/>
  <c r="N117" i="5"/>
  <c r="AL284" i="5"/>
  <c r="AC284" i="5"/>
  <c r="M288" i="5"/>
  <c r="W254" i="5"/>
  <c r="O117" i="5"/>
  <c r="AK284" i="5"/>
  <c r="V254" i="5"/>
  <c r="E326" i="5"/>
  <c r="O288" i="5"/>
  <c r="O279" i="5"/>
  <c r="N295" i="5"/>
  <c r="V283" i="5"/>
  <c r="AD284" i="5"/>
  <c r="AD290" i="5"/>
  <c r="AL290" i="5"/>
  <c r="O112" i="5"/>
  <c r="O114" i="5" s="1"/>
  <c r="M120" i="5"/>
  <c r="E322" i="5"/>
  <c r="G330" i="5"/>
  <c r="H330" i="5" s="1"/>
  <c r="N300" i="5"/>
  <c r="M287" i="5"/>
  <c r="N299" i="5"/>
  <c r="W287" i="5"/>
  <c r="W289" i="5" s="1"/>
  <c r="V279" i="5"/>
  <c r="AD277" i="5" s="1"/>
  <c r="V294" i="5"/>
  <c r="AM284" i="5"/>
  <c r="AK283" i="5"/>
  <c r="M108" i="5"/>
  <c r="M129" i="5"/>
  <c r="N129" i="5"/>
  <c r="N139" i="5"/>
  <c r="P139" i="5" s="1"/>
  <c r="U245" i="5"/>
  <c r="W261" i="5"/>
  <c r="O259" i="5"/>
  <c r="W258" i="5"/>
  <c r="E303" i="5"/>
  <c r="E320" i="5" s="1"/>
  <c r="M270" i="5"/>
  <c r="M267" i="5"/>
  <c r="M126" i="5"/>
  <c r="N126" i="5"/>
  <c r="O130" i="5"/>
  <c r="O116" i="5"/>
  <c r="M284" i="5"/>
  <c r="O300" i="5"/>
  <c r="N287" i="5"/>
  <c r="O299" i="5"/>
  <c r="V287" i="5"/>
  <c r="V289" i="5" s="1"/>
  <c r="U279" i="5"/>
  <c r="AC277" i="5" s="1"/>
  <c r="AC283" i="5"/>
  <c r="W294" i="5"/>
  <c r="AK288" i="5"/>
  <c r="AM283" i="5"/>
  <c r="M109" i="5"/>
  <c r="O125" i="5"/>
  <c r="N130" i="5"/>
  <c r="N140" i="5"/>
  <c r="W245" i="5"/>
  <c r="V262" i="5"/>
  <c r="N284" i="5"/>
  <c r="N285" i="5" s="1"/>
  <c r="M279" i="5"/>
  <c r="O291" i="5"/>
  <c r="O293" i="5" s="1"/>
  <c r="W262" i="5"/>
  <c r="M124" i="5"/>
  <c r="N124" i="5"/>
  <c r="O136" i="5"/>
  <c r="N136" i="5"/>
  <c r="AE283" i="5"/>
  <c r="AE285" i="5" s="1"/>
  <c r="AC290" i="5"/>
  <c r="AM288" i="5"/>
  <c r="AK290" i="5"/>
  <c r="O108" i="5"/>
  <c r="O124" i="5"/>
  <c r="O131" i="5"/>
  <c r="U254" i="5"/>
  <c r="U30" i="8"/>
  <c r="U4" i="8" s="1"/>
  <c r="T4" i="8"/>
  <c r="N4" i="8"/>
  <c r="O268" i="5"/>
  <c r="G311" i="5"/>
  <c r="G284" i="5"/>
  <c r="O251" i="5"/>
  <c r="F326" i="5"/>
  <c r="O284" i="5"/>
  <c r="O297" i="5"/>
  <c r="N280" i="5"/>
  <c r="N281" i="5" s="1"/>
  <c r="M291" i="5"/>
  <c r="M293" i="5" s="1"/>
  <c r="N296" i="5"/>
  <c r="V277" i="5" s="1"/>
  <c r="W291" i="5"/>
  <c r="W284" i="5"/>
  <c r="V280" i="5"/>
  <c r="AL277" i="5" s="1"/>
  <c r="AE280" i="5"/>
  <c r="AK287" i="5"/>
  <c r="M125" i="5"/>
  <c r="U250" i="5"/>
  <c r="R4" i="8"/>
  <c r="J4" i="8"/>
  <c r="O266" i="5"/>
  <c r="M247" i="5"/>
  <c r="U243" i="5" s="1"/>
  <c r="O262" i="5"/>
  <c r="G327" i="5"/>
  <c r="O245" i="5"/>
  <c r="G326" i="5"/>
  <c r="O280" i="5"/>
  <c r="AM277" i="5" s="1"/>
  <c r="N291" i="5"/>
  <c r="N293" i="5" s="1"/>
  <c r="V291" i="5"/>
  <c r="V284" i="5"/>
  <c r="U280" i="5"/>
  <c r="AK277" i="5" s="1"/>
  <c r="AC287" i="5"/>
  <c r="AL287" i="5"/>
  <c r="V250" i="5"/>
  <c r="U261" i="5"/>
  <c r="P4" i="8"/>
  <c r="H4" i="8"/>
  <c r="T3" i="8"/>
  <c r="L3" i="8"/>
  <c r="R3" i="8"/>
  <c r="J3" i="8"/>
  <c r="P3" i="8"/>
  <c r="H3" i="8"/>
  <c r="N3" i="8"/>
  <c r="F3" i="8"/>
  <c r="N110" i="5"/>
  <c r="U285" i="5"/>
  <c r="X283" i="5"/>
  <c r="W281" i="5"/>
  <c r="M245" i="5"/>
  <c r="E304" i="5"/>
  <c r="E308" i="5"/>
  <c r="N245" i="5"/>
  <c r="N250" i="5"/>
  <c r="M255" i="5"/>
  <c r="M262" i="5"/>
  <c r="M268" i="5"/>
  <c r="N270" i="5"/>
  <c r="F304" i="5"/>
  <c r="E311" i="5"/>
  <c r="N255" i="5"/>
  <c r="N262" i="5"/>
  <c r="O227" i="5"/>
  <c r="O270" i="5"/>
  <c r="O254" i="5"/>
  <c r="G304" i="5"/>
  <c r="F311" i="5"/>
  <c r="M246" i="5"/>
  <c r="M277" i="5" s="1"/>
  <c r="M251" i="5"/>
  <c r="O255" i="5"/>
  <c r="N268" i="5"/>
  <c r="F331" i="5"/>
  <c r="F303" i="5"/>
  <c r="F320" i="5" s="1"/>
  <c r="N246" i="5"/>
  <c r="N277" i="5" s="1"/>
  <c r="N251" i="5"/>
  <c r="M258" i="5"/>
  <c r="E327" i="5"/>
  <c r="G331" i="5"/>
  <c r="M250" i="5"/>
  <c r="G303" i="5"/>
  <c r="E315" i="5"/>
  <c r="M266" i="5"/>
  <c r="M271" i="5"/>
  <c r="F327" i="5"/>
  <c r="G307" i="5"/>
  <c r="E307" i="5"/>
  <c r="F315" i="5"/>
  <c r="N247" i="5"/>
  <c r="M254" i="5"/>
  <c r="M259" i="5"/>
  <c r="N266" i="5"/>
  <c r="O271" i="5"/>
  <c r="F307" i="5"/>
  <c r="M235" i="5"/>
  <c r="O191" i="5"/>
  <c r="F316" i="5"/>
  <c r="O160" i="5"/>
  <c r="O159" i="5"/>
  <c r="E288" i="5"/>
  <c r="M190" i="5"/>
  <c r="G312" i="5"/>
  <c r="N230" i="5"/>
  <c r="N243" i="5" s="1"/>
  <c r="O267" i="5"/>
  <c r="N210" i="5"/>
  <c r="N236" i="5"/>
  <c r="M179" i="5"/>
  <c r="M181" i="5"/>
  <c r="N225" i="5"/>
  <c r="M221" i="5"/>
  <c r="E312" i="5"/>
  <c r="O158" i="5"/>
  <c r="M231" i="5"/>
  <c r="O180" i="5"/>
  <c r="O202" i="5" s="1"/>
  <c r="G287" i="5"/>
  <c r="O179" i="5"/>
  <c r="O171" i="5"/>
  <c r="E284" i="5"/>
  <c r="M175" i="5"/>
  <c r="M195" i="5"/>
  <c r="O206" i="5"/>
  <c r="M226" i="5"/>
  <c r="E279" i="5"/>
  <c r="E301" i="5" s="1"/>
  <c r="E287" i="5"/>
  <c r="F292" i="5"/>
  <c r="F296" i="5"/>
  <c r="N159" i="5"/>
  <c r="N164" i="5"/>
  <c r="O168" i="5"/>
  <c r="N181" i="5"/>
  <c r="N185" i="5"/>
  <c r="O189" i="5"/>
  <c r="M194" i="5"/>
  <c r="M236" i="5"/>
  <c r="O205" i="5"/>
  <c r="O210" i="5"/>
  <c r="N221" i="5"/>
  <c r="O225" i="5"/>
  <c r="M232" i="5"/>
  <c r="N235" i="5"/>
  <c r="F312" i="5"/>
  <c r="G296" i="5"/>
  <c r="O164" i="5"/>
  <c r="O181" i="5"/>
  <c r="O185" i="5"/>
  <c r="O221" i="5"/>
  <c r="G280" i="5"/>
  <c r="F283" i="5"/>
  <c r="F287" i="5"/>
  <c r="F291" i="5"/>
  <c r="F295" i="5"/>
  <c r="N160" i="5"/>
  <c r="M171" i="5"/>
  <c r="M176" i="5"/>
  <c r="N179" i="5"/>
  <c r="M186" i="5"/>
  <c r="N190" i="5"/>
  <c r="N194" i="5"/>
  <c r="O236" i="5"/>
  <c r="N206" i="5"/>
  <c r="M213" i="5"/>
  <c r="M217" i="5"/>
  <c r="M222" i="5"/>
  <c r="M227" i="5"/>
  <c r="N232" i="5"/>
  <c r="G283" i="5"/>
  <c r="G320" i="5" s="1"/>
  <c r="G291" i="5"/>
  <c r="G295" i="5"/>
  <c r="M158" i="5"/>
  <c r="M167" i="5"/>
  <c r="M172" i="5"/>
  <c r="N175" i="5"/>
  <c r="N186" i="5"/>
  <c r="O190" i="5"/>
  <c r="O194" i="5"/>
  <c r="N218" i="5"/>
  <c r="M204" i="5"/>
  <c r="M209" i="5"/>
  <c r="N213" i="5"/>
  <c r="M218" i="5"/>
  <c r="N222" i="5"/>
  <c r="N226" i="5"/>
  <c r="N231" i="5"/>
  <c r="G292" i="5"/>
  <c r="M159" i="5"/>
  <c r="M163" i="5"/>
  <c r="M168" i="5"/>
  <c r="N172" i="5"/>
  <c r="O175" i="5"/>
  <c r="M180" i="5"/>
  <c r="M202" i="5" s="1"/>
  <c r="M184" i="5"/>
  <c r="O186" i="5"/>
  <c r="M191" i="5"/>
  <c r="O218" i="5"/>
  <c r="N204" i="5"/>
  <c r="N209" i="5"/>
  <c r="O213" i="5"/>
  <c r="N217" i="5"/>
  <c r="O222" i="5"/>
  <c r="O226" i="5"/>
  <c r="O231" i="5"/>
  <c r="O258" i="5"/>
  <c r="G315" i="5"/>
  <c r="F284" i="5"/>
  <c r="M160" i="5"/>
  <c r="M164" i="5"/>
  <c r="N167" i="5"/>
  <c r="O172" i="5"/>
  <c r="N184" i="5"/>
  <c r="N191" i="5"/>
  <c r="N195" i="5"/>
  <c r="N227" i="5"/>
  <c r="O204" i="5"/>
  <c r="O209" i="5"/>
  <c r="M214" i="5"/>
  <c r="O217" i="5"/>
  <c r="O232" i="5"/>
  <c r="E280" i="5"/>
  <c r="E291" i="5"/>
  <c r="E295" i="5"/>
  <c r="N158" i="5"/>
  <c r="N163" i="5"/>
  <c r="O167" i="5"/>
  <c r="N171" i="5"/>
  <c r="N176" i="5"/>
  <c r="N180" i="5"/>
  <c r="O184" i="5"/>
  <c r="M189" i="5"/>
  <c r="O195" i="5"/>
  <c r="M205" i="5"/>
  <c r="M210" i="5"/>
  <c r="N214" i="5"/>
  <c r="M225" i="5"/>
  <c r="M230" i="5"/>
  <c r="M243" i="5" s="1"/>
  <c r="O230" i="5"/>
  <c r="O243" i="5" s="1"/>
  <c r="N263" i="5"/>
  <c r="N267" i="5"/>
  <c r="M206" i="5"/>
  <c r="O235" i="5"/>
  <c r="F279" i="5"/>
  <c r="F301" i="5" s="1"/>
  <c r="E292" i="5"/>
  <c r="E296" i="5"/>
  <c r="O163" i="5"/>
  <c r="N168" i="5"/>
  <c r="O176" i="5"/>
  <c r="O177" i="5" s="1"/>
  <c r="M185" i="5"/>
  <c r="N189" i="5"/>
  <c r="N205" i="5"/>
  <c r="O214" i="5"/>
  <c r="O252" i="5"/>
  <c r="O263" i="5"/>
  <c r="G316" i="5"/>
  <c r="E262" i="5"/>
  <c r="E263" i="5"/>
  <c r="E277" i="5" s="1"/>
  <c r="E254" i="5"/>
  <c r="E245" i="5"/>
  <c r="G279" i="5"/>
  <c r="E272" i="5"/>
  <c r="F280" i="5"/>
  <c r="F257" i="5"/>
  <c r="E261" i="5"/>
  <c r="G253" i="5"/>
  <c r="F249" i="5"/>
  <c r="G250" i="5"/>
  <c r="E283" i="5"/>
  <c r="G271" i="5"/>
  <c r="G246" i="5"/>
  <c r="E253" i="5"/>
  <c r="G194" i="5"/>
  <c r="F221" i="5"/>
  <c r="G189" i="5"/>
  <c r="G185" i="5"/>
  <c r="G186" i="5"/>
  <c r="G216" i="5"/>
  <c r="F209" i="5"/>
  <c r="G205" i="5"/>
  <c r="F246" i="5"/>
  <c r="F250" i="5"/>
  <c r="F254" i="5"/>
  <c r="G257" i="5"/>
  <c r="F262" i="5"/>
  <c r="F266" i="5"/>
  <c r="F271" i="5"/>
  <c r="G181" i="5"/>
  <c r="F184" i="5"/>
  <c r="E217" i="5"/>
  <c r="G245" i="5"/>
  <c r="G249" i="5"/>
  <c r="F253" i="5"/>
  <c r="F263" i="5"/>
  <c r="G266" i="5"/>
  <c r="G263" i="5"/>
  <c r="G277" i="5" s="1"/>
  <c r="G301" i="5" s="1"/>
  <c r="G190" i="5"/>
  <c r="F180" i="5"/>
  <c r="F267" i="5"/>
  <c r="F222" i="5"/>
  <c r="G226" i="5"/>
  <c r="G212" i="5"/>
  <c r="G267" i="5"/>
  <c r="G220" i="5"/>
  <c r="G243" i="5" s="1"/>
  <c r="G232" i="5"/>
  <c r="E227" i="5"/>
  <c r="E226" i="5"/>
  <c r="F236" i="5"/>
  <c r="E249" i="5"/>
  <c r="E257" i="5"/>
  <c r="G262" i="5"/>
  <c r="E266" i="5"/>
  <c r="E191" i="5"/>
  <c r="G230" i="5"/>
  <c r="F235" i="5"/>
  <c r="G191" i="5"/>
  <c r="E246" i="5"/>
  <c r="E250" i="5"/>
  <c r="E258" i="5"/>
  <c r="G261" i="5"/>
  <c r="E267" i="5"/>
  <c r="E271" i="5"/>
  <c r="G231" i="5"/>
  <c r="G208" i="5"/>
  <c r="F204" i="5"/>
  <c r="F245" i="5"/>
  <c r="G254" i="5"/>
  <c r="F261" i="5"/>
  <c r="E268" i="5"/>
  <c r="E171" i="5"/>
  <c r="E159" i="5"/>
  <c r="M106" i="5" s="1"/>
  <c r="G180" i="5"/>
  <c r="G184" i="5"/>
  <c r="E184" i="5"/>
  <c r="F191" i="5"/>
  <c r="F205" i="5"/>
  <c r="G209" i="5"/>
  <c r="F212" i="5"/>
  <c r="G221" i="5"/>
  <c r="F225" i="5"/>
  <c r="E230" i="5"/>
  <c r="G235" i="5"/>
  <c r="G160" i="5"/>
  <c r="G202" i="5" s="1"/>
  <c r="E160" i="5"/>
  <c r="E202" i="5" s="1"/>
  <c r="F172" i="5"/>
  <c r="E181" i="5"/>
  <c r="E185" i="5"/>
  <c r="E189" i="5"/>
  <c r="G204" i="5"/>
  <c r="F208" i="5"/>
  <c r="G222" i="5"/>
  <c r="F226" i="5"/>
  <c r="E231" i="5"/>
  <c r="G236" i="5"/>
  <c r="E172" i="5"/>
  <c r="F181" i="5"/>
  <c r="F185" i="5"/>
  <c r="E190" i="5"/>
  <c r="E194" i="5"/>
  <c r="E221" i="5"/>
  <c r="G225" i="5"/>
  <c r="F231" i="5"/>
  <c r="G168" i="5"/>
  <c r="G164" i="5"/>
  <c r="F194" i="5"/>
  <c r="E208" i="5"/>
  <c r="E222" i="5"/>
  <c r="F227" i="5"/>
  <c r="F230" i="5"/>
  <c r="E232" i="5"/>
  <c r="F158" i="5"/>
  <c r="F179" i="5"/>
  <c r="E186" i="5"/>
  <c r="F189" i="5"/>
  <c r="E212" i="5"/>
  <c r="E216" i="5"/>
  <c r="F220" i="5"/>
  <c r="E220" i="5"/>
  <c r="G227" i="5"/>
  <c r="F232" i="5"/>
  <c r="E235" i="5"/>
  <c r="E176" i="5"/>
  <c r="G167" i="5"/>
  <c r="G179" i="5"/>
  <c r="F186" i="5"/>
  <c r="E195" i="5"/>
  <c r="E204" i="5"/>
  <c r="E213" i="5"/>
  <c r="E236" i="5"/>
  <c r="E180" i="5"/>
  <c r="E179" i="5"/>
  <c r="F190" i="5"/>
  <c r="F195" i="5"/>
  <c r="E205" i="5"/>
  <c r="E209" i="5"/>
  <c r="F213" i="5"/>
  <c r="F216" i="5"/>
  <c r="E225" i="5"/>
  <c r="G163" i="5"/>
  <c r="E167" i="5"/>
  <c r="G195" i="5"/>
  <c r="G213" i="5"/>
  <c r="G129" i="5"/>
  <c r="O156" i="5" s="1"/>
  <c r="G113" i="5"/>
  <c r="F159" i="5"/>
  <c r="N106" i="5" s="1"/>
  <c r="E163" i="5"/>
  <c r="G159" i="5"/>
  <c r="O106" i="5" s="1"/>
  <c r="G133" i="5"/>
  <c r="E125" i="5"/>
  <c r="F163" i="5"/>
  <c r="E168" i="5"/>
  <c r="F113" i="5"/>
  <c r="E144" i="5"/>
  <c r="F145" i="5"/>
  <c r="G126" i="5"/>
  <c r="F118" i="5"/>
  <c r="F176" i="5"/>
  <c r="F160" i="5"/>
  <c r="F202" i="5" s="1"/>
  <c r="E164" i="5"/>
  <c r="F168" i="5"/>
  <c r="F171" i="5"/>
  <c r="F175" i="5"/>
  <c r="G144" i="5"/>
  <c r="G176" i="5"/>
  <c r="G158" i="5"/>
  <c r="F164" i="5"/>
  <c r="F167" i="5"/>
  <c r="G171" i="5"/>
  <c r="G175" i="5"/>
  <c r="G118" i="5"/>
  <c r="G145" i="5"/>
  <c r="E134" i="5"/>
  <c r="E126" i="5"/>
  <c r="F135" i="5"/>
  <c r="E143" i="5"/>
  <c r="G149" i="5"/>
  <c r="E158" i="5"/>
  <c r="E175" i="5"/>
  <c r="F121" i="5"/>
  <c r="E122" i="5"/>
  <c r="G172" i="5"/>
  <c r="G114" i="5"/>
  <c r="F139" i="5"/>
  <c r="F122" i="5"/>
  <c r="F126" i="5"/>
  <c r="F134" i="5"/>
  <c r="G139" i="5"/>
  <c r="F143" i="5"/>
  <c r="E145" i="5"/>
  <c r="E148" i="5"/>
  <c r="G109" i="5"/>
  <c r="E118" i="5"/>
  <c r="G121" i="5"/>
  <c r="F148" i="5"/>
  <c r="E113" i="5"/>
  <c r="G122" i="5"/>
  <c r="E130" i="5"/>
  <c r="E156" i="5" s="1"/>
  <c r="G134" i="5"/>
  <c r="F140" i="5"/>
  <c r="G143" i="5"/>
  <c r="G148" i="5"/>
  <c r="E110" i="5"/>
  <c r="E138" i="5"/>
  <c r="G140" i="5"/>
  <c r="E149" i="5"/>
  <c r="F130" i="5"/>
  <c r="F156" i="5" s="1"/>
  <c r="E133" i="5"/>
  <c r="G135" i="5"/>
  <c r="E139" i="5"/>
  <c r="F149" i="5"/>
  <c r="F108" i="5"/>
  <c r="F110" i="5"/>
  <c r="E114" i="5"/>
  <c r="E117" i="5"/>
  <c r="E121" i="5"/>
  <c r="G125" i="5"/>
  <c r="G130" i="5"/>
  <c r="E140" i="5"/>
  <c r="F144" i="5"/>
  <c r="G110" i="5"/>
  <c r="F117" i="5"/>
  <c r="F125" i="5"/>
  <c r="E129" i="5"/>
  <c r="E135" i="5"/>
  <c r="F138" i="5"/>
  <c r="F114" i="5"/>
  <c r="G117" i="5"/>
  <c r="F129" i="5"/>
  <c r="N156" i="5" s="1"/>
  <c r="F133" i="5"/>
  <c r="G138" i="5"/>
  <c r="E108" i="5"/>
  <c r="G108" i="5"/>
  <c r="E109" i="5"/>
  <c r="F109" i="5"/>
  <c r="H106" i="5"/>
  <c r="AN279" i="5" l="1"/>
  <c r="AF287" i="5"/>
  <c r="M281" i="5"/>
  <c r="W285" i="5"/>
  <c r="X257" i="5"/>
  <c r="AL281" i="5"/>
  <c r="U247" i="5"/>
  <c r="M132" i="5"/>
  <c r="N137" i="5"/>
  <c r="AC285" i="5"/>
  <c r="P131" i="5"/>
  <c r="AD285" i="5"/>
  <c r="O127" i="5"/>
  <c r="O137" i="5"/>
  <c r="M285" i="5"/>
  <c r="AE281" i="5"/>
  <c r="AF283" i="5"/>
  <c r="X294" i="5"/>
  <c r="AF277" i="5"/>
  <c r="P124" i="5"/>
  <c r="AM281" i="5"/>
  <c r="X253" i="5"/>
  <c r="N289" i="5"/>
  <c r="AN283" i="5"/>
  <c r="AN290" i="5"/>
  <c r="V247" i="5"/>
  <c r="O285" i="5"/>
  <c r="V259" i="5"/>
  <c r="N260" i="5"/>
  <c r="AC281" i="5"/>
  <c r="U255" i="5"/>
  <c r="P120" i="5"/>
  <c r="M127" i="5"/>
  <c r="M289" i="5"/>
  <c r="AL285" i="5"/>
  <c r="P296" i="5"/>
  <c r="X277" i="5"/>
  <c r="Y282" i="5" s="1"/>
  <c r="AF290" i="5"/>
  <c r="AN287" i="5"/>
  <c r="M110" i="5"/>
  <c r="AK285" i="5"/>
  <c r="E305" i="5"/>
  <c r="P279" i="5"/>
  <c r="AF279" i="5"/>
  <c r="X291" i="5"/>
  <c r="W247" i="5"/>
  <c r="O110" i="5"/>
  <c r="V251" i="5"/>
  <c r="N132" i="5"/>
  <c r="X287" i="5"/>
  <c r="V285" i="5"/>
  <c r="P299" i="5"/>
  <c r="P280" i="5"/>
  <c r="AN277" i="5"/>
  <c r="P116" i="5"/>
  <c r="N256" i="5"/>
  <c r="P283" i="5"/>
  <c r="N127" i="5"/>
  <c r="Y7" i="9"/>
  <c r="X11" i="9"/>
  <c r="Y10" i="9"/>
  <c r="X14" i="9"/>
  <c r="Z14" i="9" s="1"/>
  <c r="X15" i="9"/>
  <c r="X8" i="9"/>
  <c r="X9" i="9"/>
  <c r="X16" i="9"/>
  <c r="Y13" i="9"/>
  <c r="X13" i="9"/>
  <c r="AA13" i="9" s="1"/>
  <c r="Y11" i="9"/>
  <c r="X7" i="9"/>
  <c r="Y12" i="9"/>
  <c r="Z12" i="9" s="1"/>
  <c r="Y8" i="9"/>
  <c r="Y16" i="9"/>
  <c r="Y9" i="9"/>
  <c r="X10" i="9"/>
  <c r="Y15" i="9"/>
  <c r="X76" i="8"/>
  <c r="X93" i="8"/>
  <c r="X47" i="8"/>
  <c r="X72" i="8"/>
  <c r="X33" i="8"/>
  <c r="X9" i="8"/>
  <c r="X95" i="8"/>
  <c r="X79" i="8"/>
  <c r="X20" i="8"/>
  <c r="X61" i="8"/>
  <c r="X62" i="8"/>
  <c r="X87" i="8"/>
  <c r="X89" i="8"/>
  <c r="X51" i="8"/>
  <c r="X80" i="8"/>
  <c r="X36" i="8"/>
  <c r="X45" i="8"/>
  <c r="X22" i="8"/>
  <c r="X94" i="8"/>
  <c r="X32" i="8"/>
  <c r="X43" i="8"/>
  <c r="X57" i="8"/>
  <c r="X24" i="8"/>
  <c r="X96" i="8"/>
  <c r="X67" i="8"/>
  <c r="X44" i="8"/>
  <c r="X53" i="8"/>
  <c r="X38" i="8"/>
  <c r="X8" i="8"/>
  <c r="X48" i="8"/>
  <c r="X81" i="8"/>
  <c r="X37" i="8"/>
  <c r="X49" i="8"/>
  <c r="X50" i="8"/>
  <c r="X59" i="8"/>
  <c r="X17" i="8"/>
  <c r="X29" i="8"/>
  <c r="X23" i="8"/>
  <c r="X15" i="8"/>
  <c r="X31" i="8"/>
  <c r="X40" i="8"/>
  <c r="X26" i="8"/>
  <c r="X97" i="8"/>
  <c r="X73" i="8"/>
  <c r="X82" i="8"/>
  <c r="X11" i="8"/>
  <c r="X39" i="8"/>
  <c r="Y154" i="8"/>
  <c r="X91" i="8"/>
  <c r="X42" i="8"/>
  <c r="Y204" i="8"/>
  <c r="Y140" i="8"/>
  <c r="Z7" i="9"/>
  <c r="AA14" i="9"/>
  <c r="Y199" i="8"/>
  <c r="Y173" i="8"/>
  <c r="Y155" i="8"/>
  <c r="Y172" i="8"/>
  <c r="Y194" i="8"/>
  <c r="Y143" i="8"/>
  <c r="Y142" i="8"/>
  <c r="Y129" i="8"/>
  <c r="Y195" i="8"/>
  <c r="Y136" i="8"/>
  <c r="Y134" i="8"/>
  <c r="Y179" i="8"/>
  <c r="Y196" i="8"/>
  <c r="Y191" i="8"/>
  <c r="Y183" i="8"/>
  <c r="Y169" i="8"/>
  <c r="Y145" i="8"/>
  <c r="Y121" i="8"/>
  <c r="Y132" i="8"/>
  <c r="Y147" i="8"/>
  <c r="Y128" i="8"/>
  <c r="Y135" i="8"/>
  <c r="Y146" i="8"/>
  <c r="Y126" i="8"/>
  <c r="Y192" i="8"/>
  <c r="Y187" i="8"/>
  <c r="Y178" i="8"/>
  <c r="Y182" i="8"/>
  <c r="Y165" i="8"/>
  <c r="Y125" i="8"/>
  <c r="Y124" i="8"/>
  <c r="Y139" i="8"/>
  <c r="Y120" i="8"/>
  <c r="Y127" i="8"/>
  <c r="Y138" i="8"/>
  <c r="Y206" i="8"/>
  <c r="Y201" i="8"/>
  <c r="Y116" i="8"/>
  <c r="Y119" i="8"/>
  <c r="Y176" i="8"/>
  <c r="Y198" i="8"/>
  <c r="Y184" i="8"/>
  <c r="Y175" i="8"/>
  <c r="Y170" i="8"/>
  <c r="Y200" i="8"/>
  <c r="Y186" i="8"/>
  <c r="Y157" i="8"/>
  <c r="Y160" i="8"/>
  <c r="Y123" i="8"/>
  <c r="Y164" i="8"/>
  <c r="Y118" i="8"/>
  <c r="Y168" i="8"/>
  <c r="Y188" i="8"/>
  <c r="Y174" i="8"/>
  <c r="Y161" i="8"/>
  <c r="Y197" i="8"/>
  <c r="Y131" i="8"/>
  <c r="Y130" i="8"/>
  <c r="Y13" i="8"/>
  <c r="AA13" i="8" s="1"/>
  <c r="Y193" i="8"/>
  <c r="Y180" i="8"/>
  <c r="Y171" i="8"/>
  <c r="Y166" i="8"/>
  <c r="Y190" i="8"/>
  <c r="Y149" i="8"/>
  <c r="Y153" i="8"/>
  <c r="Y115" i="8"/>
  <c r="Y158" i="8"/>
  <c r="Y181" i="8"/>
  <c r="Y189" i="8"/>
  <c r="Y203" i="8"/>
  <c r="Y167" i="8"/>
  <c r="Y162" i="8"/>
  <c r="Y185" i="8"/>
  <c r="Y141" i="8"/>
  <c r="Y137" i="8"/>
  <c r="Y156" i="8"/>
  <c r="Y152" i="8"/>
  <c r="Y150" i="8"/>
  <c r="Y205" i="8"/>
  <c r="Y202" i="8"/>
  <c r="Y163" i="8"/>
  <c r="Y159" i="8"/>
  <c r="Y177" i="8"/>
  <c r="Y117" i="8"/>
  <c r="Y133" i="8"/>
  <c r="Y148" i="8"/>
  <c r="Y144" i="8"/>
  <c r="Y151" i="8"/>
  <c r="Y122" i="8"/>
  <c r="Y38" i="8"/>
  <c r="Z38" i="8" s="1"/>
  <c r="Y25" i="8"/>
  <c r="AA25" i="8" s="1"/>
  <c r="Y62" i="8"/>
  <c r="Z62" i="8" s="1"/>
  <c r="Y78" i="8"/>
  <c r="Z78" i="8" s="1"/>
  <c r="Y54" i="8"/>
  <c r="AA54" i="8" s="1"/>
  <c r="Y41" i="8"/>
  <c r="AA41" i="8" s="1"/>
  <c r="Y11" i="8"/>
  <c r="Y94" i="8"/>
  <c r="Z94" i="8" s="1"/>
  <c r="Y46" i="8"/>
  <c r="AA46" i="8" s="1"/>
  <c r="Y7" i="8"/>
  <c r="AA7" i="8" s="1"/>
  <c r="Y30" i="8"/>
  <c r="Y49" i="8"/>
  <c r="AA49" i="8" s="1"/>
  <c r="Y19" i="8"/>
  <c r="AA19" i="8" s="1"/>
  <c r="Y83" i="8"/>
  <c r="AA83" i="8" s="1"/>
  <c r="Y44" i="8"/>
  <c r="AA44" i="8" s="1"/>
  <c r="Y45" i="8"/>
  <c r="Y69" i="8"/>
  <c r="AA69" i="8" s="1"/>
  <c r="Y21" i="8"/>
  <c r="Z21" i="8" s="1"/>
  <c r="Y8" i="8"/>
  <c r="AA8" i="8" s="1"/>
  <c r="Y80" i="8"/>
  <c r="AA80" i="8" s="1"/>
  <c r="Y96" i="8"/>
  <c r="AA96" i="8" s="1"/>
  <c r="Y60" i="8"/>
  <c r="AA60" i="8" s="1"/>
  <c r="Y37" i="8"/>
  <c r="AA37" i="8" s="1"/>
  <c r="X30" i="8"/>
  <c r="Y29" i="8"/>
  <c r="AA29" i="8" s="1"/>
  <c r="Y47" i="8"/>
  <c r="AA47" i="8" s="1"/>
  <c r="Y12" i="8"/>
  <c r="AA12" i="8" s="1"/>
  <c r="Y22" i="8"/>
  <c r="AA22" i="8" s="1"/>
  <c r="Y10" i="8"/>
  <c r="AA10" i="8" s="1"/>
  <c r="Y34" i="8"/>
  <c r="AA34" i="8" s="1"/>
  <c r="Y18" i="8"/>
  <c r="AA18" i="8" s="1"/>
  <c r="Y26" i="8"/>
  <c r="Y42" i="8"/>
  <c r="AA42" i="8" s="1"/>
  <c r="Y50" i="8"/>
  <c r="Y58" i="8"/>
  <c r="AA58" i="8" s="1"/>
  <c r="Y66" i="8"/>
  <c r="AA66" i="8" s="1"/>
  <c r="Y82" i="8"/>
  <c r="AA82" i="8" s="1"/>
  <c r="Y90" i="8"/>
  <c r="AA90" i="8" s="1"/>
  <c r="Y98" i="8"/>
  <c r="AA98" i="8" s="1"/>
  <c r="Y23" i="8"/>
  <c r="AA23" i="8" s="1"/>
  <c r="Y57" i="8"/>
  <c r="AA57" i="8" s="1"/>
  <c r="Y27" i="8"/>
  <c r="AA27" i="8" s="1"/>
  <c r="Y91" i="8"/>
  <c r="AA91" i="8" s="1"/>
  <c r="Y85" i="8"/>
  <c r="AA85" i="8" s="1"/>
  <c r="Y39" i="8"/>
  <c r="Y86" i="8"/>
  <c r="Z86" i="8" s="1"/>
  <c r="Y92" i="8"/>
  <c r="AA92" i="8" s="1"/>
  <c r="Y56" i="8"/>
  <c r="AA56" i="8" s="1"/>
  <c r="Y73" i="8"/>
  <c r="AA73" i="8" s="1"/>
  <c r="Y67" i="8"/>
  <c r="Y32" i="8"/>
  <c r="Y68" i="8"/>
  <c r="AA68" i="8" s="1"/>
  <c r="Y75" i="8"/>
  <c r="AA75" i="8" s="1"/>
  <c r="Y63" i="8"/>
  <c r="Z63" i="8" s="1"/>
  <c r="Y64" i="8"/>
  <c r="AA64" i="8" s="1"/>
  <c r="Y65" i="8"/>
  <c r="AA65" i="8" s="1"/>
  <c r="Y35" i="8"/>
  <c r="AA35" i="8" s="1"/>
  <c r="Y99" i="8"/>
  <c r="AA99" i="8" s="1"/>
  <c r="Y74" i="8"/>
  <c r="AA74" i="8" s="1"/>
  <c r="Y79" i="8"/>
  <c r="AA79" i="8" s="1"/>
  <c r="Y14" i="8"/>
  <c r="AA14" i="8" s="1"/>
  <c r="Y84" i="8"/>
  <c r="AA84" i="8" s="1"/>
  <c r="Y61" i="8"/>
  <c r="AA61" i="8" s="1"/>
  <c r="Y71" i="8"/>
  <c r="Z71" i="8" s="1"/>
  <c r="Y33" i="8"/>
  <c r="AA33" i="8" s="1"/>
  <c r="Y87" i="8"/>
  <c r="AA87" i="8" s="1"/>
  <c r="Y95" i="8"/>
  <c r="AA95" i="8" s="1"/>
  <c r="Y76" i="8"/>
  <c r="AA76" i="8" s="1"/>
  <c r="Y81" i="8"/>
  <c r="Y43" i="8"/>
  <c r="AA43" i="8" s="1"/>
  <c r="Y15" i="8"/>
  <c r="Y28" i="8"/>
  <c r="AA28" i="8" s="1"/>
  <c r="Y53" i="8"/>
  <c r="AA53" i="8" s="1"/>
  <c r="Y55" i="8"/>
  <c r="Z55" i="8" s="1"/>
  <c r="Y36" i="8"/>
  <c r="AA36" i="8" s="1"/>
  <c r="Y9" i="8"/>
  <c r="AA9" i="8" s="1"/>
  <c r="Y51" i="8"/>
  <c r="AA51" i="8" s="1"/>
  <c r="Y70" i="8"/>
  <c r="Z70" i="8" s="1"/>
  <c r="Y16" i="8"/>
  <c r="AA16" i="8" s="1"/>
  <c r="Y48" i="8"/>
  <c r="Z48" i="8" s="1"/>
  <c r="Y93" i="8"/>
  <c r="Z93" i="8" s="1"/>
  <c r="Y52" i="8"/>
  <c r="AA52" i="8" s="1"/>
  <c r="Y40" i="8"/>
  <c r="AA40" i="8" s="1"/>
  <c r="Y89" i="8"/>
  <c r="AA89" i="8" s="1"/>
  <c r="Y20" i="8"/>
  <c r="AA20" i="8" s="1"/>
  <c r="Y77" i="8"/>
  <c r="AA77" i="8" s="1"/>
  <c r="Y31" i="8"/>
  <c r="AA31" i="8" s="1"/>
  <c r="Y17" i="8"/>
  <c r="AA17" i="8" s="1"/>
  <c r="Y59" i="8"/>
  <c r="AA59" i="8" s="1"/>
  <c r="Y88" i="8"/>
  <c r="Z88" i="8" s="1"/>
  <c r="Y24" i="8"/>
  <c r="Y97" i="8"/>
  <c r="AA97" i="8" s="1"/>
  <c r="Y72" i="8"/>
  <c r="AA72" i="8" s="1"/>
  <c r="O260" i="5"/>
  <c r="O289" i="5"/>
  <c r="AD281" i="5"/>
  <c r="X279" i="5"/>
  <c r="P108" i="5"/>
  <c r="AM285" i="5"/>
  <c r="P291" i="5"/>
  <c r="X280" i="5"/>
  <c r="U281" i="5"/>
  <c r="O132" i="5"/>
  <c r="X245" i="5"/>
  <c r="X265" i="5"/>
  <c r="M137" i="5"/>
  <c r="P112" i="5"/>
  <c r="P106" i="5"/>
  <c r="O281" i="5"/>
  <c r="P287" i="5"/>
  <c r="Z25" i="8"/>
  <c r="W259" i="5"/>
  <c r="Z47" i="8"/>
  <c r="P247" i="5"/>
  <c r="V243" i="5"/>
  <c r="X243" i="5" s="1"/>
  <c r="V281" i="5"/>
  <c r="W255" i="5"/>
  <c r="U259" i="5"/>
  <c r="X249" i="5"/>
  <c r="U251" i="5"/>
  <c r="V255" i="5"/>
  <c r="N165" i="5"/>
  <c r="O211" i="5"/>
  <c r="P267" i="5"/>
  <c r="P210" i="5"/>
  <c r="N211" i="5"/>
  <c r="N223" i="5"/>
  <c r="O187" i="5"/>
  <c r="M252" i="5"/>
  <c r="N252" i="5"/>
  <c r="P277" i="5"/>
  <c r="G305" i="5"/>
  <c r="H320" i="5"/>
  <c r="H322" i="5"/>
  <c r="H326" i="5"/>
  <c r="F305" i="5"/>
  <c r="M219" i="5"/>
  <c r="O182" i="5"/>
  <c r="N161" i="5"/>
  <c r="N182" i="5"/>
  <c r="P160" i="5"/>
  <c r="O161" i="5"/>
  <c r="G187" i="5"/>
  <c r="H184" i="5"/>
  <c r="F182" i="5"/>
  <c r="N215" i="5"/>
  <c r="O169" i="5"/>
  <c r="M215" i="5"/>
  <c r="O223" i="5"/>
  <c r="M165" i="5"/>
  <c r="H113" i="5"/>
  <c r="O207" i="5"/>
  <c r="P213" i="5"/>
  <c r="O192" i="5"/>
  <c r="P194" i="5"/>
  <c r="P221" i="5"/>
  <c r="H287" i="5"/>
  <c r="H249" i="5"/>
  <c r="G141" i="5"/>
  <c r="N169" i="5"/>
  <c r="O173" i="5"/>
  <c r="P225" i="5"/>
  <c r="P175" i="5"/>
  <c r="P217" i="5"/>
  <c r="P159" i="5"/>
  <c r="M223" i="5"/>
  <c r="E119" i="5"/>
  <c r="O165" i="5"/>
  <c r="N228" i="5"/>
  <c r="P243" i="5"/>
  <c r="G182" i="5"/>
  <c r="M233" i="5"/>
  <c r="O215" i="5"/>
  <c r="M228" i="5"/>
  <c r="N177" i="5"/>
  <c r="O233" i="5"/>
  <c r="N187" i="5"/>
  <c r="M182" i="5"/>
  <c r="N233" i="5"/>
  <c r="N207" i="5"/>
  <c r="P171" i="5"/>
  <c r="O219" i="5"/>
  <c r="E228" i="5"/>
  <c r="P235" i="5"/>
  <c r="M161" i="5"/>
  <c r="O228" i="5"/>
  <c r="N173" i="5"/>
  <c r="M169" i="5"/>
  <c r="P167" i="5"/>
  <c r="P230" i="5"/>
  <c r="H257" i="5"/>
  <c r="P163" i="5"/>
  <c r="H194" i="5"/>
  <c r="G206" i="5"/>
  <c r="H253" i="5"/>
  <c r="P254" i="5"/>
  <c r="N192" i="5"/>
  <c r="P246" i="5"/>
  <c r="M192" i="5"/>
  <c r="O256" i="5"/>
  <c r="G150" i="5"/>
  <c r="G115" i="5"/>
  <c r="H204" i="5"/>
  <c r="G233" i="5"/>
  <c r="M187" i="5"/>
  <c r="P184" i="5"/>
  <c r="N219" i="5"/>
  <c r="H307" i="5"/>
  <c r="P251" i="5"/>
  <c r="P205" i="5"/>
  <c r="M211" i="5"/>
  <c r="H311" i="5"/>
  <c r="M264" i="5"/>
  <c r="H279" i="5"/>
  <c r="M207" i="5"/>
  <c r="P250" i="5"/>
  <c r="P270" i="5"/>
  <c r="N248" i="5"/>
  <c r="P266" i="5"/>
  <c r="N264" i="5"/>
  <c r="P262" i="5"/>
  <c r="P226" i="5"/>
  <c r="M260" i="5"/>
  <c r="M173" i="5"/>
  <c r="P258" i="5"/>
  <c r="P180" i="5"/>
  <c r="N202" i="5"/>
  <c r="P202" i="5" s="1"/>
  <c r="O248" i="5"/>
  <c r="O264" i="5"/>
  <c r="H295" i="5"/>
  <c r="M177" i="5"/>
  <c r="E131" i="5"/>
  <c r="M156" i="5"/>
  <c r="P156" i="5" s="1"/>
  <c r="P189" i="5"/>
  <c r="P209" i="5"/>
  <c r="M248" i="5"/>
  <c r="H291" i="5"/>
  <c r="H245" i="5"/>
  <c r="H303" i="5"/>
  <c r="M256" i="5"/>
  <c r="H315" i="5"/>
  <c r="H283" i="5"/>
  <c r="E141" i="5"/>
  <c r="F169" i="5"/>
  <c r="E210" i="5"/>
  <c r="H235" i="5"/>
  <c r="H208" i="5"/>
  <c r="G123" i="5"/>
  <c r="H227" i="5"/>
  <c r="F210" i="5"/>
  <c r="H263" i="5"/>
  <c r="F277" i="5"/>
  <c r="H301" i="5" s="1"/>
  <c r="H266" i="5"/>
  <c r="F206" i="5"/>
  <c r="H202" i="5"/>
  <c r="G223" i="5"/>
  <c r="H159" i="5"/>
  <c r="G161" i="5"/>
  <c r="G210" i="5"/>
  <c r="E223" i="5"/>
  <c r="E243" i="5"/>
  <c r="E182" i="5"/>
  <c r="H212" i="5"/>
  <c r="E173" i="5"/>
  <c r="H186" i="5"/>
  <c r="F223" i="5"/>
  <c r="F243" i="5"/>
  <c r="G228" i="5"/>
  <c r="E233" i="5"/>
  <c r="H163" i="5"/>
  <c r="G192" i="5"/>
  <c r="G169" i="5"/>
  <c r="E146" i="5"/>
  <c r="F123" i="5"/>
  <c r="H175" i="5"/>
  <c r="H216" i="5"/>
  <c r="F187" i="5"/>
  <c r="E161" i="5"/>
  <c r="E192" i="5"/>
  <c r="H271" i="5"/>
  <c r="H230" i="5"/>
  <c r="F233" i="5"/>
  <c r="H160" i="5"/>
  <c r="G165" i="5"/>
  <c r="F173" i="5"/>
  <c r="H110" i="5"/>
  <c r="E136" i="5"/>
  <c r="H171" i="5"/>
  <c r="F161" i="5"/>
  <c r="H220" i="5"/>
  <c r="H189" i="5"/>
  <c r="F192" i="5"/>
  <c r="E187" i="5"/>
  <c r="G127" i="5"/>
  <c r="E169" i="5"/>
  <c r="F228" i="5"/>
  <c r="E127" i="5"/>
  <c r="E206" i="5"/>
  <c r="G119" i="5"/>
  <c r="G111" i="5"/>
  <c r="H114" i="5"/>
  <c r="G146" i="5"/>
  <c r="G173" i="5"/>
  <c r="G131" i="5"/>
  <c r="G156" i="5"/>
  <c r="H156" i="5" s="1"/>
  <c r="G136" i="5"/>
  <c r="H179" i="5"/>
  <c r="H109" i="5"/>
  <c r="H121" i="5"/>
  <c r="I120" i="5" s="1"/>
  <c r="H167" i="5"/>
  <c r="F165" i="5"/>
  <c r="E165" i="5"/>
  <c r="F119" i="5"/>
  <c r="E123" i="5"/>
  <c r="F111" i="5"/>
  <c r="H143" i="5"/>
  <c r="F146" i="5"/>
  <c r="H125" i="5"/>
  <c r="I124" i="5" s="1"/>
  <c r="F127" i="5"/>
  <c r="E111" i="5"/>
  <c r="H133" i="5"/>
  <c r="F136" i="5"/>
  <c r="E115" i="5"/>
  <c r="H134" i="5"/>
  <c r="F131" i="5"/>
  <c r="H129" i="5"/>
  <c r="H148" i="5"/>
  <c r="I147" i="5" s="1"/>
  <c r="F150" i="5"/>
  <c r="H117" i="5"/>
  <c r="I116" i="5" s="1"/>
  <c r="H135" i="5"/>
  <c r="H144" i="5"/>
  <c r="H130" i="5"/>
  <c r="H138" i="5"/>
  <c r="F141" i="5"/>
  <c r="H140" i="5"/>
  <c r="E150" i="5"/>
  <c r="F115" i="5"/>
  <c r="AO278" i="5" l="1"/>
  <c r="AO289" i="5"/>
  <c r="Q123" i="5"/>
  <c r="AO282" i="5"/>
  <c r="AG278" i="5"/>
  <c r="AG282" i="5"/>
  <c r="Q216" i="5"/>
  <c r="AG286" i="5"/>
  <c r="AG289" i="5"/>
  <c r="Q286" i="5"/>
  <c r="AO286" i="5"/>
  <c r="Y293" i="5"/>
  <c r="Y290" i="5"/>
  <c r="Y286" i="5"/>
  <c r="Q128" i="5"/>
  <c r="Q138" i="5"/>
  <c r="Y278" i="5"/>
  <c r="AA15" i="9"/>
  <c r="AA7" i="9"/>
  <c r="AA12" i="9"/>
  <c r="AA9" i="9"/>
  <c r="Z8" i="9"/>
  <c r="Z13" i="9"/>
  <c r="Z9" i="9"/>
  <c r="Z16" i="9"/>
  <c r="Z15" i="9"/>
  <c r="AA8" i="9"/>
  <c r="AA11" i="9"/>
  <c r="Z10" i="9"/>
  <c r="AA10" i="9"/>
  <c r="AA16" i="9"/>
  <c r="AA18" i="9"/>
  <c r="I19" i="9" s="1"/>
  <c r="Z11" i="9"/>
  <c r="AA67" i="8"/>
  <c r="AA50" i="8"/>
  <c r="AA26" i="8"/>
  <c r="Z45" i="8"/>
  <c r="AA15" i="8"/>
  <c r="AA81" i="8"/>
  <c r="AA39" i="8"/>
  <c r="AA24" i="8"/>
  <c r="AA32" i="8"/>
  <c r="Z29" i="8"/>
  <c r="AA21" i="8"/>
  <c r="AA86" i="8"/>
  <c r="AA11" i="8"/>
  <c r="Z13" i="8"/>
  <c r="AA62" i="8"/>
  <c r="Z61" i="8"/>
  <c r="Z26" i="8"/>
  <c r="Z23" i="8"/>
  <c r="Z46" i="8"/>
  <c r="AA38" i="8"/>
  <c r="Z69" i="8"/>
  <c r="AA78" i="8"/>
  <c r="Z27" i="8"/>
  <c r="Z53" i="8"/>
  <c r="Z14" i="8"/>
  <c r="Z22" i="8"/>
  <c r="Z59" i="8"/>
  <c r="Z91" i="8"/>
  <c r="Z43" i="8"/>
  <c r="Z7" i="8"/>
  <c r="Z97" i="8"/>
  <c r="Z84" i="8"/>
  <c r="Z72" i="8"/>
  <c r="Z20" i="8"/>
  <c r="Z82" i="8"/>
  <c r="Z66" i="8"/>
  <c r="Z73" i="8"/>
  <c r="Z10" i="8"/>
  <c r="Z52" i="8"/>
  <c r="Z30" i="8"/>
  <c r="Z8" i="8"/>
  <c r="Z79" i="8"/>
  <c r="Z83" i="8"/>
  <c r="Z28" i="8"/>
  <c r="AA70" i="8"/>
  <c r="Z65" i="8"/>
  <c r="Z68" i="8"/>
  <c r="Z32" i="8"/>
  <c r="AA94" i="8"/>
  <c r="Z67" i="8"/>
  <c r="Z98" i="8"/>
  <c r="Z34" i="8"/>
  <c r="Z15" i="8"/>
  <c r="Z77" i="8"/>
  <c r="AA71" i="8"/>
  <c r="Z60" i="8"/>
  <c r="Z89" i="8"/>
  <c r="Z90" i="8"/>
  <c r="Z76" i="8"/>
  <c r="Z18" i="8"/>
  <c r="Z95" i="8"/>
  <c r="Z19" i="8"/>
  <c r="Z58" i="8"/>
  <c r="Z49" i="8"/>
  <c r="Z96" i="8"/>
  <c r="Z41" i="8"/>
  <c r="AA93" i="8"/>
  <c r="Z74" i="8"/>
  <c r="Z36" i="8"/>
  <c r="Z80" i="8"/>
  <c r="Z92" i="8"/>
  <c r="Z57" i="8"/>
  <c r="Z75" i="8"/>
  <c r="Z12" i="8"/>
  <c r="AA48" i="8"/>
  <c r="Z11" i="8"/>
  <c r="Z56" i="8"/>
  <c r="Z16" i="8"/>
  <c r="Z31" i="8"/>
  <c r="Z85" i="8"/>
  <c r="Z44" i="8"/>
  <c r="Z64" i="8"/>
  <c r="Z9" i="8"/>
  <c r="AA55" i="8"/>
  <c r="AA45" i="8"/>
  <c r="AA88" i="8"/>
  <c r="Z54" i="8"/>
  <c r="Z87" i="8"/>
  <c r="Z33" i="8"/>
  <c r="Z51" i="8"/>
  <c r="Z40" i="8"/>
  <c r="Z39" i="8"/>
  <c r="Z50" i="8"/>
  <c r="Z37" i="8"/>
  <c r="Z99" i="8"/>
  <c r="Z17" i="8"/>
  <c r="AA63" i="8"/>
  <c r="AA30" i="8"/>
  <c r="Z24" i="8"/>
  <c r="Z81" i="8"/>
  <c r="Z42" i="8"/>
  <c r="Z35" i="8"/>
  <c r="Q257" i="5"/>
  <c r="Q115" i="5"/>
  <c r="Q119" i="5"/>
  <c r="Q111" i="5"/>
  <c r="Q107" i="5"/>
  <c r="Q133" i="5"/>
  <c r="Y248" i="5"/>
  <c r="Y260" i="5"/>
  <c r="Y252" i="5"/>
  <c r="Y256" i="5"/>
  <c r="Y264" i="5"/>
  <c r="Y244" i="5"/>
  <c r="Q278" i="5"/>
  <c r="Q298" i="5"/>
  <c r="Q282" i="5"/>
  <c r="Q294" i="5"/>
  <c r="Q290" i="5"/>
  <c r="I329" i="5"/>
  <c r="I325" i="5"/>
  <c r="I321" i="5"/>
  <c r="I314" i="5"/>
  <c r="I310" i="5"/>
  <c r="I306" i="5"/>
  <c r="Q265" i="5"/>
  <c r="I302" i="5"/>
  <c r="I112" i="5"/>
  <c r="Q249" i="5"/>
  <c r="Q269" i="5"/>
  <c r="Q253" i="5"/>
  <c r="Q244" i="5"/>
  <c r="Q261" i="5"/>
  <c r="Q229" i="5"/>
  <c r="H277" i="5"/>
  <c r="H243" i="5"/>
  <c r="I248" i="5" s="1"/>
  <c r="Q234" i="5"/>
  <c r="Q212" i="5"/>
  <c r="Q220" i="5"/>
  <c r="Q224" i="5"/>
  <c r="Q203" i="5"/>
  <c r="Q193" i="5"/>
  <c r="Q188" i="5"/>
  <c r="Q183" i="5"/>
  <c r="Q178" i="5"/>
  <c r="Q157" i="5"/>
  <c r="Q162" i="5"/>
  <c r="Q166" i="5"/>
  <c r="Q174" i="5"/>
  <c r="Q170" i="5"/>
  <c r="Q208" i="5"/>
  <c r="I207" i="5"/>
  <c r="I137" i="5"/>
  <c r="I203" i="5"/>
  <c r="I224" i="5"/>
  <c r="I211" i="5"/>
  <c r="I219" i="5"/>
  <c r="I234" i="5"/>
  <c r="I260" i="5"/>
  <c r="I270" i="5"/>
  <c r="I215" i="5"/>
  <c r="I229" i="5"/>
  <c r="I265" i="5"/>
  <c r="I128" i="5"/>
  <c r="I142" i="5"/>
  <c r="I157" i="5"/>
  <c r="I188" i="5"/>
  <c r="I193" i="5"/>
  <c r="I183" i="5"/>
  <c r="I174" i="5"/>
  <c r="I178" i="5"/>
  <c r="I132" i="5"/>
  <c r="I166" i="5"/>
  <c r="I107" i="5"/>
  <c r="I162" i="5"/>
  <c r="I170" i="5"/>
  <c r="I151" i="5" l="1"/>
  <c r="S19" i="9"/>
  <c r="R19" i="9"/>
  <c r="F19" i="9"/>
  <c r="E19" i="9"/>
  <c r="P19" i="9"/>
  <c r="AA19" i="9"/>
  <c r="H20" i="9" s="1"/>
  <c r="U19" i="9"/>
  <c r="L19" i="9"/>
  <c r="V19" i="9"/>
  <c r="J19" i="9"/>
  <c r="N19" i="9"/>
  <c r="K19" i="9"/>
  <c r="H19" i="9"/>
  <c r="W19" i="9"/>
  <c r="O19" i="9"/>
  <c r="G19" i="9"/>
  <c r="M19" i="9"/>
  <c r="Q19" i="9"/>
  <c r="T19" i="9"/>
  <c r="L110" i="8"/>
  <c r="P110" i="8"/>
  <c r="I110" i="8"/>
  <c r="H110" i="8"/>
  <c r="U110" i="8"/>
  <c r="F110" i="8"/>
  <c r="K110" i="8"/>
  <c r="E110" i="8"/>
  <c r="S110" i="8"/>
  <c r="H109" i="8"/>
  <c r="Q109" i="8"/>
  <c r="J109" i="8"/>
  <c r="R109" i="8"/>
  <c r="K109" i="8"/>
  <c r="S109" i="8"/>
  <c r="L109" i="8"/>
  <c r="T109" i="8"/>
  <c r="M109" i="8"/>
  <c r="U109" i="8"/>
  <c r="N109" i="8"/>
  <c r="V109" i="8"/>
  <c r="O109" i="8"/>
  <c r="P109" i="8"/>
  <c r="W109" i="8"/>
  <c r="E109" i="8"/>
  <c r="F109" i="8"/>
  <c r="G109" i="8"/>
  <c r="I109" i="8"/>
  <c r="O110" i="8"/>
  <c r="J110" i="8"/>
  <c r="W110" i="8"/>
  <c r="R110" i="8"/>
  <c r="T110" i="8"/>
  <c r="N110" i="8"/>
  <c r="Q110" i="8"/>
  <c r="V110" i="8"/>
  <c r="G110" i="8"/>
  <c r="M110" i="8"/>
  <c r="X107" i="8"/>
  <c r="X106" i="8"/>
  <c r="Q142" i="5"/>
  <c r="Y268" i="5"/>
  <c r="I332" i="5"/>
  <c r="Q273" i="5"/>
  <c r="Q302" i="5" s="1"/>
  <c r="Q238" i="5"/>
  <c r="Q197" i="5"/>
  <c r="I294" i="5"/>
  <c r="I282" i="5"/>
  <c r="I278" i="5"/>
  <c r="I252" i="5"/>
  <c r="I286" i="5"/>
  <c r="I290" i="5"/>
  <c r="I244" i="5"/>
  <c r="I256" i="5"/>
  <c r="I238" i="5"/>
  <c r="I197" i="5"/>
  <c r="J20" i="9" l="1"/>
  <c r="S20" i="9"/>
  <c r="G20" i="9"/>
  <c r="P20" i="9"/>
  <c r="K20" i="9"/>
  <c r="N20" i="9"/>
  <c r="I20" i="9"/>
  <c r="O20" i="9"/>
  <c r="M20" i="9"/>
  <c r="E20" i="9"/>
  <c r="L20" i="9"/>
  <c r="R20" i="9"/>
  <c r="U20" i="9"/>
  <c r="Q20" i="9"/>
  <c r="T20" i="9"/>
  <c r="V20" i="9"/>
  <c r="F20" i="9"/>
  <c r="W20" i="9"/>
  <c r="X31" i="9"/>
  <c r="X24" i="9"/>
  <c r="X26" i="9"/>
  <c r="X23" i="9"/>
  <c r="X27" i="9"/>
  <c r="X29" i="9"/>
  <c r="X25" i="9"/>
  <c r="X30" i="9"/>
  <c r="X32" i="9"/>
  <c r="X28" i="9"/>
  <c r="X125" i="8"/>
  <c r="X159" i="8"/>
  <c r="X168" i="8"/>
  <c r="X138" i="8"/>
  <c r="X132" i="8"/>
  <c r="X195" i="8"/>
  <c r="X148" i="8"/>
  <c r="X203" i="8"/>
  <c r="X158" i="8"/>
  <c r="X117" i="8"/>
  <c r="X162" i="8"/>
  <c r="X174" i="8"/>
  <c r="X144" i="8"/>
  <c r="X127" i="8"/>
  <c r="X177" i="8"/>
  <c r="X115" i="8"/>
  <c r="X152" i="8"/>
  <c r="X116" i="8"/>
  <c r="X193" i="8"/>
  <c r="X123" i="8"/>
  <c r="X129" i="8"/>
  <c r="X133" i="8"/>
  <c r="X186" i="8"/>
  <c r="X139" i="8"/>
  <c r="X171" i="8"/>
  <c r="X120" i="8"/>
  <c r="X119" i="8"/>
  <c r="X172" i="8"/>
  <c r="X150" i="8"/>
  <c r="X201" i="8"/>
  <c r="X204" i="8"/>
  <c r="X182" i="8"/>
  <c r="X185" i="8"/>
  <c r="X141" i="8"/>
  <c r="X179" i="8"/>
  <c r="X147" i="8"/>
  <c r="X145" i="8"/>
  <c r="X206" i="8"/>
  <c r="X198" i="8"/>
  <c r="X170" i="8"/>
  <c r="X191" i="8"/>
  <c r="X140" i="8"/>
  <c r="X169" i="8"/>
  <c r="X130" i="8"/>
  <c r="X197" i="8"/>
  <c r="X142" i="8"/>
  <c r="X163" i="8"/>
  <c r="X178" i="8"/>
  <c r="X135" i="8"/>
  <c r="X155" i="8"/>
  <c r="X146" i="8"/>
  <c r="X194" i="8"/>
  <c r="X121" i="8"/>
  <c r="X156" i="8"/>
  <c r="X196" i="8"/>
  <c r="X151" i="8"/>
  <c r="X189" i="8"/>
  <c r="X181" i="8"/>
  <c r="X184" i="8"/>
  <c r="X175" i="8"/>
  <c r="X200" i="8"/>
  <c r="X124" i="8"/>
  <c r="X202" i="8"/>
  <c r="X157" i="8"/>
  <c r="X118" i="8"/>
  <c r="X161" i="8"/>
  <c r="X190" i="8"/>
  <c r="X166" i="8"/>
  <c r="X128" i="8"/>
  <c r="X153" i="8"/>
  <c r="X136" i="8"/>
  <c r="X173" i="8"/>
  <c r="X154" i="8"/>
  <c r="X149" i="8"/>
  <c r="X143" i="8"/>
  <c r="X131" i="8"/>
  <c r="X160" i="8"/>
  <c r="X188" i="8"/>
  <c r="X187" i="8"/>
  <c r="X126" i="8"/>
  <c r="X137" i="8"/>
  <c r="X183" i="8"/>
  <c r="X122" i="8"/>
  <c r="X205" i="8"/>
  <c r="X180" i="8"/>
  <c r="X192" i="8"/>
  <c r="X199" i="8"/>
  <c r="X167" i="8"/>
  <c r="X114" i="8"/>
  <c r="X176" i="8"/>
  <c r="X165" i="8"/>
  <c r="X164" i="8"/>
  <c r="X134" i="8"/>
  <c r="Y114" i="8"/>
  <c r="X314" i="8"/>
  <c r="X108" i="8"/>
  <c r="I274" i="5"/>
  <c r="I297" i="5"/>
  <c r="I317" i="5"/>
  <c r="Y24" i="9" l="1"/>
  <c r="Z24" i="9" s="1"/>
  <c r="Y28" i="9"/>
  <c r="AA28" i="9" s="1"/>
  <c r="Y29" i="9"/>
  <c r="AA29" i="9" s="1"/>
  <c r="Y30" i="9"/>
  <c r="AA30" i="9" s="1"/>
  <c r="Y23" i="9"/>
  <c r="AA23" i="9" s="1"/>
  <c r="Y32" i="9"/>
  <c r="Z32" i="9" s="1"/>
  <c r="Y31" i="9"/>
  <c r="Z31" i="9" s="1"/>
  <c r="Y26" i="9"/>
  <c r="AA26" i="9" s="1"/>
  <c r="Y27" i="9"/>
  <c r="AA27" i="9" s="1"/>
  <c r="Y25" i="9"/>
  <c r="Z25" i="9" s="1"/>
  <c r="Z30" i="9"/>
  <c r="AA32" i="9"/>
  <c r="AA24" i="9"/>
  <c r="Z28" i="9"/>
  <c r="Z183" i="8"/>
  <c r="AA183" i="8"/>
  <c r="Z181" i="8"/>
  <c r="AA181" i="8"/>
  <c r="Z141" i="8"/>
  <c r="AA141" i="8"/>
  <c r="Z159" i="8"/>
  <c r="AA159" i="8"/>
  <c r="Z167" i="8"/>
  <c r="AA167" i="8"/>
  <c r="AA126" i="8"/>
  <c r="Z126" i="8"/>
  <c r="AA173" i="8"/>
  <c r="Z173" i="8"/>
  <c r="Z157" i="8"/>
  <c r="AA157" i="8"/>
  <c r="Z151" i="8"/>
  <c r="AA151" i="8"/>
  <c r="Z178" i="8"/>
  <c r="AA178" i="8"/>
  <c r="Z170" i="8"/>
  <c r="AA170" i="8"/>
  <c r="Z182" i="8"/>
  <c r="AA182" i="8"/>
  <c r="Z139" i="8"/>
  <c r="AA139" i="8"/>
  <c r="AA115" i="8"/>
  <c r="Z115" i="8"/>
  <c r="AA203" i="8"/>
  <c r="Z203" i="8"/>
  <c r="AA176" i="8"/>
  <c r="Z176" i="8"/>
  <c r="AA161" i="8"/>
  <c r="Z161" i="8"/>
  <c r="AA140" i="8"/>
  <c r="Z140" i="8"/>
  <c r="AA116" i="8"/>
  <c r="Z116" i="8"/>
  <c r="Z199" i="8"/>
  <c r="AA199" i="8"/>
  <c r="AA187" i="8"/>
  <c r="Z187" i="8"/>
  <c r="Z136" i="8"/>
  <c r="AA136" i="8"/>
  <c r="Z202" i="8"/>
  <c r="AA202" i="8"/>
  <c r="Z196" i="8"/>
  <c r="AA196" i="8"/>
  <c r="AA163" i="8"/>
  <c r="Z163" i="8"/>
  <c r="Z198" i="8"/>
  <c r="AA198" i="8"/>
  <c r="AA204" i="8"/>
  <c r="Z204" i="8"/>
  <c r="Z186" i="8"/>
  <c r="AA186" i="8"/>
  <c r="Z177" i="8"/>
  <c r="AA177" i="8"/>
  <c r="AA148" i="8"/>
  <c r="Z148" i="8"/>
  <c r="Z188" i="8"/>
  <c r="AA188" i="8"/>
  <c r="Z156" i="8"/>
  <c r="AA156" i="8"/>
  <c r="AA201" i="8"/>
  <c r="Z201" i="8"/>
  <c r="Z127" i="8"/>
  <c r="AA127" i="8"/>
  <c r="Z134" i="8"/>
  <c r="AA134" i="8"/>
  <c r="Z180" i="8"/>
  <c r="AA180" i="8"/>
  <c r="AA160" i="8"/>
  <c r="Z160" i="8"/>
  <c r="AA128" i="8"/>
  <c r="Z128" i="8"/>
  <c r="AA200" i="8"/>
  <c r="Z200" i="8"/>
  <c r="Z121" i="8"/>
  <c r="AA121" i="8"/>
  <c r="Z197" i="8"/>
  <c r="AA197" i="8"/>
  <c r="Z145" i="8"/>
  <c r="AA145" i="8"/>
  <c r="Z150" i="8"/>
  <c r="AA150" i="8"/>
  <c r="Z129" i="8"/>
  <c r="AA129" i="8"/>
  <c r="Z144" i="8"/>
  <c r="AA144" i="8"/>
  <c r="Z132" i="8"/>
  <c r="AA132" i="8"/>
  <c r="Z192" i="8"/>
  <c r="AA192" i="8"/>
  <c r="Z124" i="8"/>
  <c r="AA124" i="8"/>
  <c r="AA206" i="8"/>
  <c r="Z206" i="8"/>
  <c r="AA195" i="8"/>
  <c r="Z195" i="8"/>
  <c r="AA164" i="8"/>
  <c r="Z164" i="8"/>
  <c r="AA205" i="8"/>
  <c r="Z205" i="8"/>
  <c r="Z131" i="8"/>
  <c r="AA131" i="8"/>
  <c r="Z166" i="8"/>
  <c r="AA166" i="8"/>
  <c r="AA175" i="8"/>
  <c r="Z175" i="8"/>
  <c r="Z194" i="8"/>
  <c r="AA194" i="8"/>
  <c r="AA130" i="8"/>
  <c r="Z130" i="8"/>
  <c r="Z147" i="8"/>
  <c r="AA147" i="8"/>
  <c r="Z172" i="8"/>
  <c r="AA172" i="8"/>
  <c r="Z123" i="8"/>
  <c r="AA123" i="8"/>
  <c r="Z174" i="8"/>
  <c r="AA174" i="8"/>
  <c r="Z138" i="8"/>
  <c r="AA138" i="8"/>
  <c r="AA153" i="8"/>
  <c r="Z153" i="8"/>
  <c r="AA142" i="8"/>
  <c r="Z142" i="8"/>
  <c r="Z133" i="8"/>
  <c r="AA133" i="8"/>
  <c r="Z165" i="8"/>
  <c r="AA165" i="8"/>
  <c r="AA122" i="8"/>
  <c r="Z122" i="8"/>
  <c r="AA143" i="8"/>
  <c r="Z143" i="8"/>
  <c r="Z190" i="8"/>
  <c r="AA190" i="8"/>
  <c r="AA184" i="8"/>
  <c r="Z184" i="8"/>
  <c r="Z146" i="8"/>
  <c r="AA146" i="8"/>
  <c r="Z169" i="8"/>
  <c r="AA169" i="8"/>
  <c r="AA179" i="8"/>
  <c r="Z179" i="8"/>
  <c r="AA119" i="8"/>
  <c r="Z119" i="8"/>
  <c r="AA193" i="8"/>
  <c r="Z193" i="8"/>
  <c r="Z162" i="8"/>
  <c r="AA162" i="8"/>
  <c r="Z168" i="8"/>
  <c r="AA168" i="8"/>
  <c r="Z149" i="8"/>
  <c r="AA149" i="8"/>
  <c r="AA155" i="8"/>
  <c r="Z155" i="8"/>
  <c r="AA120" i="8"/>
  <c r="Z120" i="8"/>
  <c r="Z117" i="8"/>
  <c r="AA117" i="8"/>
  <c r="AA114" i="8"/>
  <c r="Z114" i="8"/>
  <c r="Z137" i="8"/>
  <c r="AA137" i="8"/>
  <c r="Z154" i="8"/>
  <c r="AA154" i="8"/>
  <c r="Z118" i="8"/>
  <c r="AA118" i="8"/>
  <c r="AA189" i="8"/>
  <c r="Z189" i="8"/>
  <c r="AA135" i="8"/>
  <c r="Z135" i="8"/>
  <c r="Z191" i="8"/>
  <c r="AA191" i="8"/>
  <c r="Z185" i="8"/>
  <c r="AA185" i="8"/>
  <c r="AA171" i="8"/>
  <c r="Z171" i="8"/>
  <c r="AA152" i="8"/>
  <c r="Z152" i="8"/>
  <c r="Z158" i="8"/>
  <c r="AA158" i="8"/>
  <c r="Z125" i="8"/>
  <c r="AA125" i="8"/>
  <c r="Z26" i="9" l="1"/>
  <c r="Z23" i="9"/>
  <c r="AA31" i="9"/>
  <c r="AB38" i="9" s="1"/>
  <c r="Z29" i="9"/>
  <c r="Z27" i="9"/>
  <c r="AA25" i="9"/>
  <c r="AA37" i="9"/>
  <c r="O217" i="8"/>
  <c r="R217" i="8"/>
  <c r="W217" i="8"/>
  <c r="K217" i="8"/>
  <c r="M217" i="8"/>
  <c r="H217" i="8"/>
  <c r="S217" i="8"/>
  <c r="P217" i="8"/>
  <c r="L217" i="8"/>
  <c r="F217" i="8"/>
  <c r="U217" i="8"/>
  <c r="I217" i="8"/>
  <c r="T217" i="8"/>
  <c r="N217" i="8"/>
  <c r="Q217" i="8"/>
  <c r="V217" i="8"/>
  <c r="E217" i="8"/>
  <c r="Z213" i="8"/>
  <c r="G217" i="8"/>
  <c r="J217" i="8"/>
  <c r="R218" i="8"/>
  <c r="O218" i="8"/>
  <c r="E218" i="8"/>
  <c r="W218" i="8"/>
  <c r="K218" i="8"/>
  <c r="V218" i="8"/>
  <c r="H218" i="8"/>
  <c r="S218" i="8"/>
  <c r="P218" i="8"/>
  <c r="L218" i="8"/>
  <c r="I218" i="8"/>
  <c r="T218" i="8"/>
  <c r="Q218" i="8"/>
  <c r="M218" i="8"/>
  <c r="Z214" i="8"/>
  <c r="J218" i="8"/>
  <c r="U218" i="8"/>
  <c r="G218" i="8"/>
  <c r="F218" i="8"/>
  <c r="N218" i="8"/>
  <c r="AB37" i="9" l="1"/>
  <c r="AA40" i="9" s="1"/>
  <c r="Y302" i="8"/>
  <c r="Y288" i="8"/>
  <c r="Y284" i="8"/>
  <c r="Y247" i="8"/>
  <c r="Y307" i="8"/>
  <c r="Y275" i="8"/>
  <c r="Y234" i="8"/>
  <c r="Y235" i="8"/>
  <c r="Y253" i="8"/>
  <c r="Y287" i="8"/>
  <c r="Y222" i="8"/>
  <c r="Y279" i="8"/>
  <c r="Y224" i="8"/>
  <c r="Y308" i="8"/>
  <c r="Y242" i="8"/>
  <c r="Y266" i="8"/>
  <c r="Y306" i="8"/>
  <c r="Y244" i="8"/>
  <c r="Y299" i="8"/>
  <c r="Y229" i="8"/>
  <c r="Y223" i="8"/>
  <c r="Y243" i="8"/>
  <c r="Y296" i="8"/>
  <c r="Y260" i="8"/>
  <c r="Y252" i="8"/>
  <c r="Y298" i="8"/>
  <c r="Y277" i="8"/>
  <c r="Y292" i="8"/>
  <c r="Y255" i="8"/>
  <c r="Y251" i="8"/>
  <c r="Y304" i="8"/>
  <c r="Y274" i="8"/>
  <c r="Y271" i="8"/>
  <c r="Y263" i="8"/>
  <c r="Y297" i="8"/>
  <c r="Y291" i="8"/>
  <c r="Y240" i="8"/>
  <c r="Y283" i="8"/>
  <c r="Y294" i="8"/>
  <c r="Y293" i="8"/>
  <c r="Y278" i="8"/>
  <c r="Y246" i="8"/>
  <c r="Y230" i="8"/>
  <c r="Y227" i="8"/>
  <c r="Y314" i="8"/>
  <c r="Y273" i="8"/>
  <c r="Y241" i="8"/>
  <c r="Y301" i="8"/>
  <c r="Y265" i="8"/>
  <c r="Y290" i="8"/>
  <c r="Y272" i="8"/>
  <c r="Y232" i="8"/>
  <c r="Y262" i="8"/>
  <c r="Y276" i="8"/>
  <c r="Y237" i="8"/>
  <c r="Y228" i="8"/>
  <c r="Y282" i="8"/>
  <c r="Y305" i="8"/>
  <c r="Y233" i="8"/>
  <c r="Y267" i="8"/>
  <c r="Y259" i="8"/>
  <c r="Y313" i="8"/>
  <c r="Y261" i="8"/>
  <c r="Y264" i="8"/>
  <c r="Y250" i="8"/>
  <c r="Y238" i="8"/>
  <c r="Y285" i="8"/>
  <c r="Y310" i="8"/>
  <c r="Y258" i="8"/>
  <c r="Y249" i="8"/>
  <c r="Y300" i="8"/>
  <c r="Y289" i="8"/>
  <c r="Y281" i="8"/>
  <c r="Y286" i="8"/>
  <c r="Y256" i="8"/>
  <c r="Y245" i="8"/>
  <c r="Y295" i="8"/>
  <c r="Y257" i="8"/>
  <c r="Y239" i="8"/>
  <c r="Y248" i="8"/>
  <c r="Y226" i="8"/>
  <c r="Y270" i="8"/>
  <c r="Y280" i="8"/>
  <c r="Y254" i="8"/>
  <c r="Y303" i="8"/>
  <c r="Y236" i="8"/>
  <c r="Y268" i="8"/>
  <c r="Y231" i="8"/>
  <c r="Y225" i="8"/>
  <c r="Y309" i="8"/>
  <c r="Y312" i="8"/>
  <c r="Y311" i="8"/>
  <c r="Y269" i="8"/>
  <c r="Z215" i="8"/>
  <c r="X249" i="8"/>
  <c r="X260" i="8"/>
  <c r="X223" i="8"/>
  <c r="X261" i="8"/>
  <c r="X302" i="8"/>
  <c r="X276" i="8"/>
  <c r="X309" i="8"/>
  <c r="X300" i="8"/>
  <c r="X280" i="8"/>
  <c r="X259" i="8"/>
  <c r="X270" i="8"/>
  <c r="X245" i="8"/>
  <c r="X283" i="8"/>
  <c r="X248" i="8"/>
  <c r="X273" i="8"/>
  <c r="X313" i="8"/>
  <c r="X239" i="8"/>
  <c r="X275" i="8"/>
  <c r="X262" i="8"/>
  <c r="X307" i="8"/>
  <c r="X236" i="8"/>
  <c r="X278" i="8"/>
  <c r="X269" i="8"/>
  <c r="X247" i="8"/>
  <c r="X234" i="8"/>
  <c r="X256" i="8"/>
  <c r="X286" i="8"/>
  <c r="X274" i="8"/>
  <c r="X279" i="8"/>
  <c r="X289" i="8"/>
  <c r="X294" i="8"/>
  <c r="X312" i="8"/>
  <c r="X254" i="8"/>
  <c r="X241" i="8"/>
  <c r="X267" i="8"/>
  <c r="X229" i="8"/>
  <c r="X242" i="8"/>
  <c r="X292" i="8"/>
  <c r="X243" i="8"/>
  <c r="X310" i="8"/>
  <c r="X251" i="8"/>
  <c r="X240" i="8"/>
  <c r="X232" i="8"/>
  <c r="X226" i="8"/>
  <c r="X287" i="8"/>
  <c r="X301" i="8"/>
  <c r="X308" i="8"/>
  <c r="X246" i="8"/>
  <c r="X293" i="8"/>
  <c r="X233" i="8"/>
  <c r="X263" i="8"/>
  <c r="X268" i="8"/>
  <c r="X266" i="8"/>
  <c r="X230" i="8"/>
  <c r="X244" i="8"/>
  <c r="X298" i="8"/>
  <c r="X290" i="8"/>
  <c r="X255" i="8"/>
  <c r="X238" i="8"/>
  <c r="X227" i="8"/>
  <c r="X224" i="8"/>
  <c r="X291" i="8"/>
  <c r="X264" i="8"/>
  <c r="X296" i="8"/>
  <c r="X299" i="8"/>
  <c r="X311" i="8"/>
  <c r="X288" i="8"/>
  <c r="X297" i="8"/>
  <c r="X237" i="8"/>
  <c r="X252" i="8"/>
  <c r="X306" i="8"/>
  <c r="X303" i="8"/>
  <c r="X250" i="8"/>
  <c r="X231" i="8"/>
  <c r="X304" i="8"/>
  <c r="X271" i="8"/>
  <c r="X277" i="8"/>
  <c r="X295" i="8"/>
  <c r="X235" i="8"/>
  <c r="X272" i="8"/>
  <c r="X305" i="8"/>
  <c r="X258" i="8"/>
  <c r="X225" i="8"/>
  <c r="X265" i="8"/>
  <c r="X282" i="8"/>
  <c r="X257" i="8"/>
  <c r="X285" i="8"/>
  <c r="X284" i="8"/>
  <c r="X228" i="8"/>
  <c r="X222" i="8"/>
  <c r="X253" i="8"/>
  <c r="X281" i="8"/>
  <c r="AA283" i="8" l="1"/>
  <c r="Z304" i="8"/>
  <c r="AA311" i="8"/>
  <c r="Z311" i="8"/>
  <c r="AA241" i="8"/>
  <c r="Z241" i="8"/>
  <c r="AA260" i="8"/>
  <c r="Z260" i="8"/>
  <c r="Z228" i="8"/>
  <c r="AA228" i="8"/>
  <c r="AA305" i="8"/>
  <c r="Z305" i="8"/>
  <c r="AA250" i="8"/>
  <c r="Z250" i="8"/>
  <c r="Z299" i="8"/>
  <c r="AA299" i="8"/>
  <c r="Z290" i="8"/>
  <c r="AA290" i="8"/>
  <c r="AA293" i="8"/>
  <c r="Z293" i="8"/>
  <c r="Z251" i="8"/>
  <c r="AA251" i="8"/>
  <c r="AA254" i="8"/>
  <c r="Z254" i="8"/>
  <c r="Z234" i="8"/>
  <c r="AA234" i="8"/>
  <c r="AA239" i="8"/>
  <c r="Z239" i="8"/>
  <c r="Z280" i="8"/>
  <c r="AA280" i="8"/>
  <c r="AA249" i="8"/>
  <c r="Z249" i="8"/>
  <c r="AA304" i="8"/>
  <c r="AA255" i="8"/>
  <c r="Z255" i="8"/>
  <c r="AA256" i="8"/>
  <c r="Z256" i="8"/>
  <c r="Z284" i="8"/>
  <c r="AA284" i="8"/>
  <c r="AA272" i="8"/>
  <c r="Z272" i="8"/>
  <c r="AA303" i="8"/>
  <c r="Z303" i="8"/>
  <c r="AA296" i="8"/>
  <c r="Z296" i="8"/>
  <c r="Z298" i="8"/>
  <c r="AA298" i="8"/>
  <c r="Z246" i="8"/>
  <c r="AA246" i="8"/>
  <c r="AA310" i="8"/>
  <c r="Z310" i="8"/>
  <c r="Z312" i="8"/>
  <c r="AA312" i="8"/>
  <c r="AA247" i="8"/>
  <c r="Z247" i="8"/>
  <c r="AA313" i="8"/>
  <c r="Z313" i="8"/>
  <c r="Z300" i="8"/>
  <c r="AA300" i="8"/>
  <c r="Z283" i="8"/>
  <c r="AA233" i="8"/>
  <c r="Z233" i="8"/>
  <c r="Z275" i="8"/>
  <c r="AA275" i="8"/>
  <c r="Z285" i="8"/>
  <c r="AA285" i="8"/>
  <c r="Z306" i="8"/>
  <c r="AA306" i="8"/>
  <c r="Z244" i="8"/>
  <c r="AA244" i="8"/>
  <c r="Z243" i="8"/>
  <c r="AA243" i="8"/>
  <c r="AA294" i="8"/>
  <c r="Z294" i="8"/>
  <c r="Z273" i="8"/>
  <c r="AA273" i="8"/>
  <c r="AA309" i="8"/>
  <c r="Z309" i="8"/>
  <c r="AA314" i="8"/>
  <c r="Z314" i="8"/>
  <c r="AA240" i="8"/>
  <c r="Z240" i="8"/>
  <c r="Z259" i="8"/>
  <c r="AA259" i="8"/>
  <c r="AA235" i="8"/>
  <c r="Z235" i="8"/>
  <c r="Z264" i="8"/>
  <c r="AA264" i="8"/>
  <c r="AA308" i="8"/>
  <c r="Z308" i="8"/>
  <c r="Z269" i="8"/>
  <c r="AA269" i="8"/>
  <c r="AA257" i="8"/>
  <c r="Z257" i="8"/>
  <c r="Z295" i="8"/>
  <c r="AA295" i="8"/>
  <c r="AA252" i="8"/>
  <c r="Z252" i="8"/>
  <c r="AA291" i="8"/>
  <c r="Z291" i="8"/>
  <c r="Z230" i="8"/>
  <c r="AA230" i="8"/>
  <c r="AA301" i="8"/>
  <c r="Z301" i="8"/>
  <c r="Z292" i="8"/>
  <c r="AA292" i="8"/>
  <c r="AA289" i="8"/>
  <c r="Z289" i="8"/>
  <c r="AA278" i="8"/>
  <c r="Z278" i="8"/>
  <c r="AA248" i="8"/>
  <c r="Z248" i="8"/>
  <c r="Z276" i="8"/>
  <c r="AA276" i="8"/>
  <c r="AA222" i="8"/>
  <c r="Z222" i="8"/>
  <c r="Z237" i="8"/>
  <c r="AA237" i="8"/>
  <c r="Z287" i="8"/>
  <c r="AA287" i="8"/>
  <c r="Z279" i="8"/>
  <c r="AA279" i="8"/>
  <c r="AA302" i="8"/>
  <c r="Z302" i="8"/>
  <c r="Z231" i="8"/>
  <c r="AA231" i="8"/>
  <c r="AA277" i="8"/>
  <c r="Z277" i="8"/>
  <c r="Z266" i="8"/>
  <c r="AA266" i="8"/>
  <c r="AA242" i="8"/>
  <c r="Z242" i="8"/>
  <c r="AA236" i="8"/>
  <c r="Z236" i="8"/>
  <c r="AA281" i="8"/>
  <c r="Z281" i="8"/>
  <c r="AA265" i="8"/>
  <c r="Z265" i="8"/>
  <c r="AA271" i="8"/>
  <c r="Z271" i="8"/>
  <c r="Z297" i="8"/>
  <c r="AA297" i="8"/>
  <c r="AA227" i="8"/>
  <c r="Z227" i="8"/>
  <c r="AA268" i="8"/>
  <c r="Z268" i="8"/>
  <c r="AA226" i="8"/>
  <c r="Z226" i="8"/>
  <c r="Z229" i="8"/>
  <c r="AA229" i="8"/>
  <c r="AA274" i="8"/>
  <c r="Z274" i="8"/>
  <c r="AA307" i="8"/>
  <c r="Z307" i="8"/>
  <c r="Z245" i="8"/>
  <c r="AA245" i="8"/>
  <c r="AA261" i="8"/>
  <c r="Z261" i="8"/>
  <c r="Z258" i="8"/>
  <c r="AA258" i="8"/>
  <c r="AA282" i="8"/>
  <c r="Z282" i="8"/>
  <c r="Z224" i="8"/>
  <c r="AA224" i="8"/>
  <c r="AA253" i="8"/>
  <c r="Z253" i="8"/>
  <c r="AA225" i="8"/>
  <c r="Z225" i="8"/>
  <c r="AA288" i="8"/>
  <c r="Z288" i="8"/>
  <c r="Z238" i="8"/>
  <c r="AA238" i="8"/>
  <c r="AA263" i="8"/>
  <c r="Z263" i="8"/>
  <c r="AA232" i="8"/>
  <c r="Z232" i="8"/>
  <c r="AA267" i="8"/>
  <c r="Z267" i="8"/>
  <c r="AA286" i="8"/>
  <c r="Z286" i="8"/>
  <c r="AA262" i="8"/>
  <c r="Z262" i="8"/>
  <c r="Z270" i="8"/>
  <c r="AA270" i="8"/>
  <c r="AA223" i="8"/>
  <c r="Z223" i="8"/>
  <c r="I323" i="8" l="1"/>
  <c r="M323" i="8"/>
  <c r="Q323" i="8"/>
  <c r="U323" i="8"/>
  <c r="G323" i="8"/>
  <c r="AA321" i="8"/>
  <c r="J323" i="8"/>
  <c r="O323" i="8"/>
  <c r="R323" i="8"/>
  <c r="F323" i="8"/>
  <c r="W323" i="8"/>
  <c r="K323" i="8"/>
  <c r="N323" i="8"/>
  <c r="E323" i="8"/>
  <c r="H323" i="8"/>
  <c r="S323" i="8"/>
  <c r="V323" i="8"/>
  <c r="P323" i="8"/>
  <c r="L323" i="8"/>
  <c r="T323" i="8"/>
  <c r="M322" i="8"/>
  <c r="H322" i="8"/>
  <c r="K322" i="8"/>
  <c r="U322" i="8"/>
  <c r="P322" i="8"/>
  <c r="S322" i="8"/>
  <c r="F322" i="8"/>
  <c r="E322" i="8"/>
  <c r="T322" i="8"/>
  <c r="R322" i="8"/>
  <c r="N322" i="8"/>
  <c r="I322" i="8"/>
  <c r="V322" i="8"/>
  <c r="Q322" i="8"/>
  <c r="G322" i="8"/>
  <c r="AA320" i="8"/>
  <c r="L322" i="8"/>
  <c r="O322" i="8"/>
  <c r="J322" i="8"/>
  <c r="W322" i="8"/>
  <c r="Y333" i="8" l="1"/>
  <c r="Y403" i="8"/>
  <c r="Y350" i="8"/>
  <c r="Y347" i="8"/>
  <c r="Y387" i="8"/>
  <c r="Y329" i="8"/>
  <c r="Y383" i="8"/>
  <c r="Y402" i="8"/>
  <c r="Y404" i="8"/>
  <c r="Y374" i="8"/>
  <c r="Y344" i="8"/>
  <c r="Y346" i="8"/>
  <c r="Y362" i="8"/>
  <c r="Y345" i="8"/>
  <c r="Y386" i="8"/>
  <c r="Y415" i="8"/>
  <c r="Y336" i="8"/>
  <c r="Y405" i="8"/>
  <c r="Y399" i="8"/>
  <c r="Y418" i="8"/>
  <c r="Y389" i="8"/>
  <c r="Y400" i="8"/>
  <c r="Y335" i="8"/>
  <c r="Y337" i="8"/>
  <c r="Y376" i="8"/>
  <c r="Y359" i="8"/>
  <c r="Y378" i="8"/>
  <c r="Y342" i="8"/>
  <c r="Y328" i="8"/>
  <c r="Y392" i="8"/>
  <c r="Y351" i="8"/>
  <c r="Y370" i="8"/>
  <c r="Y338" i="8"/>
  <c r="Y330" i="8"/>
  <c r="Y354" i="8"/>
  <c r="Y326" i="8"/>
  <c r="Y390" i="8"/>
  <c r="Y361" i="8"/>
  <c r="Y363" i="8"/>
  <c r="Y365" i="8"/>
  <c r="Y352" i="8"/>
  <c r="Y401" i="8"/>
  <c r="Y388" i="8"/>
  <c r="Y343" i="8"/>
  <c r="Y393" i="8"/>
  <c r="Y372" i="8"/>
  <c r="Y406" i="8"/>
  <c r="Y377" i="8"/>
  <c r="Y356" i="8"/>
  <c r="Y408" i="8"/>
  <c r="Y375" i="8"/>
  <c r="Y394" i="8"/>
  <c r="Y396" i="8"/>
  <c r="Y366" i="8"/>
  <c r="Y340" i="8"/>
  <c r="Y358" i="8"/>
  <c r="Y332" i="8"/>
  <c r="Y395" i="8"/>
  <c r="Y341" i="8"/>
  <c r="Y339" i="8"/>
  <c r="Y379" i="8"/>
  <c r="Y381" i="8"/>
  <c r="Y384" i="8"/>
  <c r="Y417" i="8"/>
  <c r="Y327" i="8"/>
  <c r="Y360" i="8"/>
  <c r="Y334" i="8"/>
  <c r="Y416" i="8"/>
  <c r="Y413" i="8"/>
  <c r="Y407" i="8"/>
  <c r="Y331" i="8"/>
  <c r="Y397" i="8"/>
  <c r="Y391" i="8"/>
  <c r="Y410" i="8"/>
  <c r="Y412" i="8"/>
  <c r="Y382" i="8"/>
  <c r="Y353" i="8"/>
  <c r="Y355" i="8"/>
  <c r="Y357" i="8"/>
  <c r="Y367" i="8"/>
  <c r="Y349" i="8"/>
  <c r="Y380" i="8"/>
  <c r="Y414" i="8"/>
  <c r="Y385" i="8"/>
  <c r="Y364" i="8"/>
  <c r="Y398" i="8"/>
  <c r="Y369" i="8"/>
  <c r="Y371" i="8"/>
  <c r="Y373" i="8"/>
  <c r="Y368" i="8"/>
  <c r="Y409" i="8"/>
  <c r="Y411" i="8"/>
  <c r="Y348" i="8"/>
  <c r="X357" i="8"/>
  <c r="X334" i="8"/>
  <c r="X398" i="8"/>
  <c r="X375" i="8"/>
  <c r="X344" i="8"/>
  <c r="X408" i="8"/>
  <c r="X377" i="8"/>
  <c r="X346" i="8"/>
  <c r="X410" i="8"/>
  <c r="X379" i="8"/>
  <c r="X348" i="8"/>
  <c r="X412" i="8"/>
  <c r="X359" i="8"/>
  <c r="X330" i="8"/>
  <c r="X365" i="8"/>
  <c r="X342" i="8"/>
  <c r="X406" i="8"/>
  <c r="X383" i="8"/>
  <c r="X352" i="8"/>
  <c r="X416" i="8"/>
  <c r="X385" i="8"/>
  <c r="X354" i="8"/>
  <c r="X418" i="8"/>
  <c r="X387" i="8"/>
  <c r="X356" i="8"/>
  <c r="X326" i="8"/>
  <c r="X382" i="8"/>
  <c r="X361" i="8"/>
  <c r="X396" i="8"/>
  <c r="X373" i="8"/>
  <c r="X350" i="8"/>
  <c r="X414" i="8"/>
  <c r="X391" i="8"/>
  <c r="X360" i="8"/>
  <c r="X329" i="8"/>
  <c r="X393" i="8"/>
  <c r="X362" i="8"/>
  <c r="X331" i="8"/>
  <c r="X395" i="8"/>
  <c r="X364" i="8"/>
  <c r="X363" i="8"/>
  <c r="X381" i="8"/>
  <c r="X358" i="8"/>
  <c r="X335" i="8"/>
  <c r="X399" i="8"/>
  <c r="X368" i="8"/>
  <c r="X337" i="8"/>
  <c r="X401" i="8"/>
  <c r="X370" i="8"/>
  <c r="X339" i="8"/>
  <c r="X403" i="8"/>
  <c r="X372" i="8"/>
  <c r="X341" i="8"/>
  <c r="X332" i="8"/>
  <c r="X389" i="8"/>
  <c r="X366" i="8"/>
  <c r="X343" i="8"/>
  <c r="X407" i="8"/>
  <c r="X376" i="8"/>
  <c r="X345" i="8"/>
  <c r="X409" i="8"/>
  <c r="X378" i="8"/>
  <c r="X347" i="8"/>
  <c r="X411" i="8"/>
  <c r="X380" i="8"/>
  <c r="X328" i="8"/>
  <c r="X333" i="8"/>
  <c r="X397" i="8"/>
  <c r="X374" i="8"/>
  <c r="X351" i="8"/>
  <c r="X415" i="8"/>
  <c r="X384" i="8"/>
  <c r="X353" i="8"/>
  <c r="X417" i="8"/>
  <c r="X386" i="8"/>
  <c r="X355" i="8"/>
  <c r="X327" i="8"/>
  <c r="X388" i="8"/>
  <c r="X394" i="8"/>
  <c r="X405" i="8"/>
  <c r="X349" i="8"/>
  <c r="X413" i="8"/>
  <c r="X390" i="8"/>
  <c r="X367" i="8"/>
  <c r="X336" i="8"/>
  <c r="X400" i="8"/>
  <c r="X369" i="8"/>
  <c r="X338" i="8"/>
  <c r="X402" i="8"/>
  <c r="X371" i="8"/>
  <c r="X340" i="8"/>
  <c r="X404" i="8"/>
  <c r="X392" i="8"/>
  <c r="AA405" i="8" l="1"/>
  <c r="Z405" i="8"/>
  <c r="AA347" i="8"/>
  <c r="Z347" i="8"/>
  <c r="Z400" i="8"/>
  <c r="AA400" i="8"/>
  <c r="Z332" i="8"/>
  <c r="AA332" i="8"/>
  <c r="Z331" i="8"/>
  <c r="AA331" i="8"/>
  <c r="AA374" i="8"/>
  <c r="Z374" i="8"/>
  <c r="AA399" i="8"/>
  <c r="Z399" i="8"/>
  <c r="AA385" i="8"/>
  <c r="Z385" i="8"/>
  <c r="AA367" i="8"/>
  <c r="Z367" i="8"/>
  <c r="Z345" i="8"/>
  <c r="AA345" i="8"/>
  <c r="AA335" i="8"/>
  <c r="Z335" i="8"/>
  <c r="Z416" i="8"/>
  <c r="AA416" i="8"/>
  <c r="Z412" i="8"/>
  <c r="AA412" i="8"/>
  <c r="Z340" i="8"/>
  <c r="AA340" i="8"/>
  <c r="AA390" i="8"/>
  <c r="Z390" i="8"/>
  <c r="AA386" i="8"/>
  <c r="Z386" i="8"/>
  <c r="AA333" i="8"/>
  <c r="Z333" i="8"/>
  <c r="AA376" i="8"/>
  <c r="Z376" i="8"/>
  <c r="AA403" i="8"/>
  <c r="Z403" i="8"/>
  <c r="AA358" i="8"/>
  <c r="Z358" i="8"/>
  <c r="AA329" i="8"/>
  <c r="Z329" i="8"/>
  <c r="Z382" i="8"/>
  <c r="AA382" i="8"/>
  <c r="AA352" i="8"/>
  <c r="Z352" i="8"/>
  <c r="Z348" i="8"/>
  <c r="AA348" i="8"/>
  <c r="Z398" i="8"/>
  <c r="AA398" i="8"/>
  <c r="Z353" i="8"/>
  <c r="AA353" i="8"/>
  <c r="AA369" i="8"/>
  <c r="Z369" i="8"/>
  <c r="Z389" i="8"/>
  <c r="AA389" i="8"/>
  <c r="Z388" i="8"/>
  <c r="AA388" i="8"/>
  <c r="AA368" i="8"/>
  <c r="Z368" i="8"/>
  <c r="Z330" i="8"/>
  <c r="AA330" i="8"/>
  <c r="AA336" i="8"/>
  <c r="Z336" i="8"/>
  <c r="AA409" i="8"/>
  <c r="Z409" i="8"/>
  <c r="Z362" i="8"/>
  <c r="AA362" i="8"/>
  <c r="Z359" i="8"/>
  <c r="AA359" i="8"/>
  <c r="AA404" i="8"/>
  <c r="Z404" i="8"/>
  <c r="Z355" i="8"/>
  <c r="AA355" i="8"/>
  <c r="AA372" i="8"/>
  <c r="Z372" i="8"/>
  <c r="Z361" i="8"/>
  <c r="AA361" i="8"/>
  <c r="Z371" i="8"/>
  <c r="AA371" i="8"/>
  <c r="Z413" i="8"/>
  <c r="AA413" i="8"/>
  <c r="Z417" i="8"/>
  <c r="AA417" i="8"/>
  <c r="Z328" i="8"/>
  <c r="AA328" i="8"/>
  <c r="AA407" i="8"/>
  <c r="Z407" i="8"/>
  <c r="Z339" i="8"/>
  <c r="AA339" i="8"/>
  <c r="AA381" i="8"/>
  <c r="Z381" i="8"/>
  <c r="AA360" i="8"/>
  <c r="Z360" i="8"/>
  <c r="AA326" i="8"/>
  <c r="Z326" i="8"/>
  <c r="AA383" i="8"/>
  <c r="Z383" i="8"/>
  <c r="AA379" i="8"/>
  <c r="Z379" i="8"/>
  <c r="AA334" i="8"/>
  <c r="Z334" i="8"/>
  <c r="Z343" i="8"/>
  <c r="AA343" i="8"/>
  <c r="AA370" i="8"/>
  <c r="Z370" i="8"/>
  <c r="Z363" i="8"/>
  <c r="AA363" i="8"/>
  <c r="AA391" i="8"/>
  <c r="Z391" i="8"/>
  <c r="AA356" i="8"/>
  <c r="Z356" i="8"/>
  <c r="Z406" i="8"/>
  <c r="AA406" i="8"/>
  <c r="Z410" i="8"/>
  <c r="AA410" i="8"/>
  <c r="Z357" i="8"/>
  <c r="AA357" i="8"/>
  <c r="AA380" i="8"/>
  <c r="Z380" i="8"/>
  <c r="AA384" i="8"/>
  <c r="Z384" i="8"/>
  <c r="Z411" i="8"/>
  <c r="AA411" i="8"/>
  <c r="Z366" i="8"/>
  <c r="AA366" i="8"/>
  <c r="AA401" i="8"/>
  <c r="Z401" i="8"/>
  <c r="AA364" i="8"/>
  <c r="Z364" i="8"/>
  <c r="AA414" i="8"/>
  <c r="Z414" i="8"/>
  <c r="AA387" i="8"/>
  <c r="Z387" i="8"/>
  <c r="Z342" i="8"/>
  <c r="AA342" i="8"/>
  <c r="AA346" i="8"/>
  <c r="Z346" i="8"/>
  <c r="AA402" i="8"/>
  <c r="Z402" i="8"/>
  <c r="AA415" i="8"/>
  <c r="Z415" i="8"/>
  <c r="AA337" i="8"/>
  <c r="Z337" i="8"/>
  <c r="Z350" i="8"/>
  <c r="AA350" i="8"/>
  <c r="Z418" i="8"/>
  <c r="AA418" i="8"/>
  <c r="Z365" i="8"/>
  <c r="AA365" i="8"/>
  <c r="Z377" i="8"/>
  <c r="AA377" i="8"/>
  <c r="Z351" i="8"/>
  <c r="AA351" i="8"/>
  <c r="Z373" i="8"/>
  <c r="AA373" i="8"/>
  <c r="AA408" i="8"/>
  <c r="Z408" i="8"/>
  <c r="Z338" i="8"/>
  <c r="AA338" i="8"/>
  <c r="AA349" i="8"/>
  <c r="Z349" i="8"/>
  <c r="AA394" i="8"/>
  <c r="Z394" i="8"/>
  <c r="AA395" i="8"/>
  <c r="Z395" i="8"/>
  <c r="AA378" i="8"/>
  <c r="Z378" i="8"/>
  <c r="Z354" i="8"/>
  <c r="AA354" i="8"/>
  <c r="Z392" i="8"/>
  <c r="AA392" i="8"/>
  <c r="Z327" i="8"/>
  <c r="AA327" i="8"/>
  <c r="Z341" i="8"/>
  <c r="AA341" i="8"/>
  <c r="Z396" i="8"/>
  <c r="AA396" i="8"/>
  <c r="Z344" i="8"/>
  <c r="AA344" i="8"/>
  <c r="AA397" i="8"/>
  <c r="Z397" i="8"/>
  <c r="AA393" i="8"/>
  <c r="Z393" i="8"/>
  <c r="Z375" i="8"/>
  <c r="AA375" i="8"/>
  <c r="AA425" i="8" l="1"/>
  <c r="O429" i="8"/>
  <c r="I429" i="8"/>
  <c r="R429" i="8"/>
  <c r="K429" i="8"/>
  <c r="L429" i="8"/>
  <c r="W429" i="8"/>
  <c r="M429" i="8"/>
  <c r="P429" i="8"/>
  <c r="J429" i="8"/>
  <c r="Q429" i="8"/>
  <c r="V429" i="8"/>
  <c r="T429" i="8"/>
  <c r="U429" i="8"/>
  <c r="N429" i="8"/>
  <c r="H429" i="8"/>
  <c r="AA426" i="8"/>
  <c r="E429" i="8" s="1"/>
  <c r="F429" i="8"/>
  <c r="G429" i="8"/>
  <c r="S429" i="8"/>
  <c r="Y506" i="8" l="1"/>
  <c r="Y503" i="8"/>
  <c r="Y457" i="8"/>
  <c r="Y489" i="8"/>
  <c r="Y509" i="8"/>
  <c r="Y437" i="8"/>
  <c r="Y466" i="8"/>
  <c r="Y483" i="8"/>
  <c r="Y450" i="8"/>
  <c r="Y508" i="8"/>
  <c r="Y480" i="8"/>
  <c r="Y433" i="8"/>
  <c r="Y492" i="8"/>
  <c r="Y521" i="8"/>
  <c r="Y455" i="8"/>
  <c r="Y512" i="8"/>
  <c r="Y514" i="8"/>
  <c r="Y498" i="8"/>
  <c r="Y523" i="8"/>
  <c r="Y463" i="8"/>
  <c r="Y444" i="8"/>
  <c r="Y436" i="8"/>
  <c r="Y491" i="8"/>
  <c r="Y449" i="8"/>
  <c r="Y494" i="8"/>
  <c r="Y432" i="8"/>
  <c r="Y482" i="8"/>
  <c r="Y496" i="8"/>
  <c r="Y481" i="8"/>
  <c r="Y475" i="8"/>
  <c r="Y459" i="8"/>
  <c r="Y501" i="8"/>
  <c r="Y453" i="8"/>
  <c r="Y484" i="8"/>
  <c r="Y487" i="8"/>
  <c r="Y445" i="8"/>
  <c r="Y470" i="8"/>
  <c r="Y452" i="8"/>
  <c r="Y513" i="8"/>
  <c r="Y519" i="8"/>
  <c r="Y479" i="8"/>
  <c r="Y443" i="8"/>
  <c r="Y465" i="8"/>
  <c r="Y467" i="8"/>
  <c r="Y495" i="8"/>
  <c r="Y516" i="8"/>
  <c r="Y507" i="8"/>
  <c r="Y524" i="8"/>
  <c r="Y478" i="8"/>
  <c r="Y472" i="8"/>
  <c r="Y517" i="8"/>
  <c r="Y435" i="8"/>
  <c r="Y515" i="8"/>
  <c r="Y447" i="8"/>
  <c r="Y468" i="8"/>
  <c r="Y451" i="8"/>
  <c r="Y462" i="8"/>
  <c r="Y440" i="8"/>
  <c r="Y485" i="8"/>
  <c r="Y505" i="8"/>
  <c r="Y460" i="8"/>
  <c r="Y488" i="8"/>
  <c r="Y510" i="8"/>
  <c r="Y473" i="8"/>
  <c r="Y493" i="8"/>
  <c r="Y442" i="8"/>
  <c r="Y471" i="8"/>
  <c r="Y464" i="8"/>
  <c r="Y490" i="8"/>
  <c r="Y497" i="8"/>
  <c r="Y446" i="8"/>
  <c r="Y441" i="8"/>
  <c r="Y486" i="8"/>
  <c r="Y499" i="8"/>
  <c r="Y477" i="8"/>
  <c r="Y511" i="8"/>
  <c r="Y469" i="8"/>
  <c r="Y476" i="8"/>
  <c r="Y456" i="8"/>
  <c r="Y504" i="8"/>
  <c r="Y454" i="8"/>
  <c r="Y458" i="8"/>
  <c r="Y439" i="8"/>
  <c r="Y448" i="8"/>
  <c r="Y438" i="8"/>
  <c r="Y520" i="8"/>
  <c r="Y518" i="8"/>
  <c r="Y522" i="8"/>
  <c r="Y461" i="8"/>
  <c r="Y502" i="8"/>
  <c r="Y434" i="8"/>
  <c r="Y474" i="8"/>
  <c r="Y500" i="8"/>
  <c r="L428" i="8"/>
  <c r="Q428" i="8"/>
  <c r="O428" i="8"/>
  <c r="J428" i="8"/>
  <c r="M428" i="8"/>
  <c r="U428" i="8"/>
  <c r="V428" i="8"/>
  <c r="I428" i="8"/>
  <c r="H428" i="8"/>
  <c r="W428" i="8"/>
  <c r="K428" i="8"/>
  <c r="T428" i="8"/>
  <c r="AA427" i="8"/>
  <c r="R428" i="8"/>
  <c r="S428" i="8"/>
  <c r="P428" i="8"/>
  <c r="N428" i="8"/>
  <c r="G428" i="8"/>
  <c r="E428" i="8"/>
  <c r="F428" i="8"/>
  <c r="X436" i="8" l="1"/>
  <c r="X458" i="8"/>
  <c r="X460" i="8"/>
  <c r="X463" i="8"/>
  <c r="X473" i="8"/>
  <c r="X440" i="8"/>
  <c r="X505" i="8"/>
  <c r="X437" i="8"/>
  <c r="X482" i="8"/>
  <c r="X500" i="8"/>
  <c r="X470" i="8"/>
  <c r="X471" i="8"/>
  <c r="X446" i="8"/>
  <c r="X522" i="8"/>
  <c r="X472" i="8"/>
  <c r="X504" i="8"/>
  <c r="X524" i="8"/>
  <c r="X435" i="8"/>
  <c r="X481" i="8"/>
  <c r="X476" i="8"/>
  <c r="X469" i="8"/>
  <c r="X488" i="8"/>
  <c r="X512" i="8"/>
  <c r="X510" i="8"/>
  <c r="X483" i="8"/>
  <c r="X449" i="8"/>
  <c r="X459" i="8"/>
  <c r="X493" i="8"/>
  <c r="X501" i="8"/>
  <c r="X434" i="8"/>
  <c r="X445" i="8"/>
  <c r="X494" i="8"/>
  <c r="X511" i="8"/>
  <c r="X509" i="8"/>
  <c r="X438" i="8"/>
  <c r="X490" i="8"/>
  <c r="X450" i="8"/>
  <c r="X487" i="8"/>
  <c r="X452" i="8"/>
  <c r="X513" i="8"/>
  <c r="X462" i="8"/>
  <c r="X523" i="8"/>
  <c r="X456" i="8"/>
  <c r="X454" i="8"/>
  <c r="X515" i="8"/>
  <c r="X492" i="8"/>
  <c r="X502" i="8"/>
  <c r="X484" i="8"/>
  <c r="X514" i="8"/>
  <c r="X464" i="8"/>
  <c r="X516" i="8"/>
  <c r="X474" i="8"/>
  <c r="X489" i="8"/>
  <c r="X432" i="8"/>
  <c r="X465" i="8"/>
  <c r="X433" i="8"/>
  <c r="X478" i="8"/>
  <c r="X442" i="8"/>
  <c r="X479" i="8"/>
  <c r="X486" i="8"/>
  <c r="X475" i="8"/>
  <c r="X441" i="8"/>
  <c r="X485" i="8"/>
  <c r="X499" i="8"/>
  <c r="X466" i="8"/>
  <c r="X503" i="8"/>
  <c r="X451" i="8"/>
  <c r="X448" i="8"/>
  <c r="X455" i="8"/>
  <c r="X480" i="8"/>
  <c r="X467" i="8"/>
  <c r="X520" i="8"/>
  <c r="X498" i="8"/>
  <c r="X508" i="8"/>
  <c r="X468" i="8"/>
  <c r="X518" i="8"/>
  <c r="X447" i="8"/>
  <c r="X491" i="8"/>
  <c r="X457" i="8"/>
  <c r="X517" i="8"/>
  <c r="X443" i="8"/>
  <c r="X496" i="8"/>
  <c r="X497" i="8"/>
  <c r="X461" i="8"/>
  <c r="X477" i="8"/>
  <c r="X495" i="8"/>
  <c r="X453" i="8"/>
  <c r="X521" i="8"/>
  <c r="X507" i="8"/>
  <c r="X506" i="8"/>
  <c r="X444" i="8"/>
  <c r="X439" i="8"/>
  <c r="X519" i="8"/>
  <c r="AA508" i="8" l="1"/>
  <c r="Z508" i="8"/>
  <c r="AA507" i="8"/>
  <c r="Z507" i="8"/>
  <c r="AA466" i="8"/>
  <c r="Z466" i="8"/>
  <c r="AA514" i="8"/>
  <c r="Z514" i="8"/>
  <c r="Z483" i="8"/>
  <c r="AA483" i="8"/>
  <c r="AA521" i="8"/>
  <c r="Z521" i="8"/>
  <c r="AA520" i="8"/>
  <c r="Z520" i="8"/>
  <c r="AA499" i="8"/>
  <c r="Z499" i="8"/>
  <c r="Z433" i="8"/>
  <c r="AA433" i="8"/>
  <c r="AA484" i="8"/>
  <c r="Z484" i="8"/>
  <c r="Z513" i="8"/>
  <c r="AA513" i="8"/>
  <c r="AA494" i="8"/>
  <c r="Z494" i="8"/>
  <c r="Z510" i="8"/>
  <c r="AA510" i="8"/>
  <c r="Z504" i="8"/>
  <c r="AA504" i="8"/>
  <c r="Z437" i="8"/>
  <c r="AA437" i="8"/>
  <c r="Z503" i="8"/>
  <c r="AA503" i="8"/>
  <c r="Z443" i="8"/>
  <c r="AA443" i="8"/>
  <c r="Z498" i="8"/>
  <c r="AA498" i="8"/>
  <c r="AA478" i="8"/>
  <c r="Z478" i="8"/>
  <c r="AA462" i="8"/>
  <c r="Z462" i="8"/>
  <c r="Z524" i="8"/>
  <c r="AA524" i="8"/>
  <c r="Z517" i="8"/>
  <c r="AA517" i="8"/>
  <c r="Z453" i="8"/>
  <c r="AA453" i="8"/>
  <c r="Z457" i="8"/>
  <c r="AA457" i="8"/>
  <c r="AA467" i="8"/>
  <c r="Z467" i="8"/>
  <c r="AA485" i="8"/>
  <c r="Z485" i="8"/>
  <c r="AA465" i="8"/>
  <c r="Z465" i="8"/>
  <c r="Z502" i="8"/>
  <c r="AA502" i="8"/>
  <c r="Z452" i="8"/>
  <c r="AA452" i="8"/>
  <c r="AA445" i="8"/>
  <c r="Z445" i="8"/>
  <c r="Z512" i="8"/>
  <c r="AA512" i="8"/>
  <c r="AA472" i="8"/>
  <c r="Z472" i="8"/>
  <c r="Z505" i="8"/>
  <c r="AA505" i="8"/>
  <c r="Z480" i="8"/>
  <c r="AA480" i="8"/>
  <c r="AA432" i="8"/>
  <c r="Z432" i="8"/>
  <c r="Z487" i="8"/>
  <c r="AA487" i="8"/>
  <c r="AA434" i="8"/>
  <c r="Z434" i="8"/>
  <c r="AA488" i="8"/>
  <c r="Z488" i="8"/>
  <c r="Z522" i="8"/>
  <c r="AA522" i="8"/>
  <c r="AA440" i="8"/>
  <c r="Z440" i="8"/>
  <c r="Z495" i="8"/>
  <c r="AA495" i="8"/>
  <c r="Z441" i="8"/>
  <c r="AA441" i="8"/>
  <c r="AA492" i="8"/>
  <c r="Z492" i="8"/>
  <c r="Z519" i="8"/>
  <c r="AA519" i="8"/>
  <c r="Z477" i="8"/>
  <c r="AA477" i="8"/>
  <c r="AA447" i="8"/>
  <c r="Z447" i="8"/>
  <c r="Z455" i="8"/>
  <c r="AA455" i="8"/>
  <c r="Z475" i="8"/>
  <c r="AA475" i="8"/>
  <c r="AA489" i="8"/>
  <c r="Z489" i="8"/>
  <c r="AA515" i="8"/>
  <c r="Z515" i="8"/>
  <c r="AA450" i="8"/>
  <c r="Z450" i="8"/>
  <c r="Z501" i="8"/>
  <c r="AA501" i="8"/>
  <c r="AA469" i="8"/>
  <c r="Z469" i="8"/>
  <c r="Z446" i="8"/>
  <c r="AA446" i="8"/>
  <c r="Z473" i="8"/>
  <c r="AA473" i="8"/>
  <c r="AA439" i="8"/>
  <c r="Z439" i="8"/>
  <c r="AA448" i="8"/>
  <c r="Z448" i="8"/>
  <c r="AA474" i="8"/>
  <c r="Z474" i="8"/>
  <c r="AA490" i="8"/>
  <c r="Z490" i="8"/>
  <c r="Z476" i="8"/>
  <c r="AA476" i="8"/>
  <c r="Z463" i="8"/>
  <c r="AA463" i="8"/>
  <c r="AA491" i="8"/>
  <c r="Z491" i="8"/>
  <c r="Z461" i="8"/>
  <c r="AA461" i="8"/>
  <c r="Z518" i="8"/>
  <c r="AA518" i="8"/>
  <c r="Z486" i="8"/>
  <c r="AA486" i="8"/>
  <c r="AA454" i="8"/>
  <c r="Z454" i="8"/>
  <c r="AA493" i="8"/>
  <c r="Z493" i="8"/>
  <c r="Z471" i="8"/>
  <c r="AA471" i="8"/>
  <c r="AA444" i="8"/>
  <c r="Z444" i="8"/>
  <c r="AA497" i="8"/>
  <c r="Z497" i="8"/>
  <c r="AA468" i="8"/>
  <c r="Z468" i="8"/>
  <c r="Z451" i="8"/>
  <c r="AA451" i="8"/>
  <c r="Z479" i="8"/>
  <c r="AA479" i="8"/>
  <c r="Z516" i="8"/>
  <c r="AA516" i="8"/>
  <c r="AA456" i="8"/>
  <c r="Z456" i="8"/>
  <c r="AA438" i="8"/>
  <c r="Z438" i="8"/>
  <c r="Z459" i="8"/>
  <c r="AA459" i="8"/>
  <c r="Z481" i="8"/>
  <c r="AA481" i="8"/>
  <c r="Z470" i="8"/>
  <c r="AA470" i="8"/>
  <c r="Z460" i="8"/>
  <c r="AA460" i="8"/>
  <c r="AA496" i="8"/>
  <c r="Z496" i="8"/>
  <c r="AA464" i="8"/>
  <c r="Z464" i="8"/>
  <c r="AA523" i="8"/>
  <c r="Z523" i="8"/>
  <c r="AA509" i="8"/>
  <c r="Z509" i="8"/>
  <c r="Z449" i="8"/>
  <c r="AA449" i="8"/>
  <c r="AA435" i="8"/>
  <c r="Z435" i="8"/>
  <c r="Z500" i="8"/>
  <c r="AA500" i="8"/>
  <c r="AA458" i="8"/>
  <c r="Z458" i="8"/>
  <c r="AA506" i="8"/>
  <c r="Z506" i="8"/>
  <c r="Z442" i="8"/>
  <c r="AA442" i="8"/>
  <c r="Z511" i="8"/>
  <c r="AA511" i="8"/>
  <c r="Z482" i="8"/>
  <c r="AA482" i="8"/>
  <c r="Z436" i="8"/>
  <c r="AA436" i="8"/>
  <c r="AA527" i="8" l="1"/>
  <c r="Q530" i="8" s="1"/>
  <c r="AA528" i="8"/>
  <c r="M531" i="8" s="1"/>
  <c r="G531" i="8" l="1"/>
  <c r="S531" i="8"/>
  <c r="U530" i="8"/>
  <c r="J530" i="8"/>
  <c r="T531" i="8"/>
  <c r="K530" i="8"/>
  <c r="O531" i="8"/>
  <c r="F530" i="8"/>
  <c r="G530" i="8"/>
  <c r="V531" i="8"/>
  <c r="K531" i="8"/>
  <c r="M530" i="8"/>
  <c r="AA529" i="8"/>
  <c r="L530" i="8"/>
  <c r="H530" i="8"/>
  <c r="W531" i="8"/>
  <c r="N530" i="8"/>
  <c r="O530" i="8"/>
  <c r="L531" i="8"/>
  <c r="R530" i="8"/>
  <c r="Q531" i="8"/>
  <c r="I531" i="8"/>
  <c r="N531" i="8"/>
  <c r="R531" i="8"/>
  <c r="E530" i="8"/>
  <c r="I530" i="8"/>
  <c r="E531" i="8"/>
  <c r="F531" i="8"/>
  <c r="J531" i="8"/>
  <c r="T530" i="8"/>
  <c r="P530" i="8"/>
  <c r="P531" i="8"/>
  <c r="U531" i="8"/>
  <c r="H531" i="8"/>
  <c r="V530" i="8"/>
  <c r="S530" i="8"/>
  <c r="W530" i="8"/>
  <c r="X611" i="8" l="1"/>
  <c r="X547" i="8"/>
  <c r="X602" i="8"/>
  <c r="X538" i="8"/>
  <c r="X593" i="8"/>
  <c r="X604" i="8"/>
  <c r="X584" i="8"/>
  <c r="X596" i="8"/>
  <c r="X575" i="8"/>
  <c r="X598" i="8"/>
  <c r="X621" i="8"/>
  <c r="X557" i="8"/>
  <c r="X563" i="8"/>
  <c r="X554" i="8"/>
  <c r="X545" i="8"/>
  <c r="X550" i="8"/>
  <c r="X603" i="8"/>
  <c r="X539" i="8"/>
  <c r="X594" i="8"/>
  <c r="X612" i="8"/>
  <c r="X585" i="8"/>
  <c r="X572" i="8"/>
  <c r="X576" i="8"/>
  <c r="X548" i="8"/>
  <c r="X567" i="8"/>
  <c r="X590" i="8"/>
  <c r="X613" i="8"/>
  <c r="X549" i="8"/>
  <c r="X591" i="8"/>
  <c r="X595" i="8"/>
  <c r="X620" i="8"/>
  <c r="X586" i="8"/>
  <c r="X588" i="8"/>
  <c r="X577" i="8"/>
  <c r="X564" i="8"/>
  <c r="X568" i="8"/>
  <c r="X623" i="8"/>
  <c r="X559" i="8"/>
  <c r="X582" i="8"/>
  <c r="X605" i="8"/>
  <c r="X600" i="8"/>
  <c r="X587" i="8"/>
  <c r="X580" i="8"/>
  <c r="X578" i="8"/>
  <c r="X556" i="8"/>
  <c r="X569" i="8"/>
  <c r="X624" i="8"/>
  <c r="X560" i="8"/>
  <c r="X615" i="8"/>
  <c r="X551" i="8"/>
  <c r="X574" i="8"/>
  <c r="X597" i="8"/>
  <c r="X579" i="8"/>
  <c r="X540" i="8"/>
  <c r="X570" i="8"/>
  <c r="X625" i="8"/>
  <c r="X561" i="8"/>
  <c r="X616" i="8"/>
  <c r="X552" i="8"/>
  <c r="X607" i="8"/>
  <c r="X543" i="8"/>
  <c r="X566" i="8"/>
  <c r="X589" i="8"/>
  <c r="X573" i="8"/>
  <c r="X571" i="8"/>
  <c r="X626" i="8"/>
  <c r="X562" i="8"/>
  <c r="X617" i="8"/>
  <c r="X553" i="8"/>
  <c r="X608" i="8"/>
  <c r="X544" i="8"/>
  <c r="X599" i="8"/>
  <c r="X622" i="8"/>
  <c r="X558" i="8"/>
  <c r="X581" i="8"/>
  <c r="X535" i="8"/>
  <c r="X618" i="8"/>
  <c r="X609" i="8"/>
  <c r="X614" i="8"/>
  <c r="X619" i="8"/>
  <c r="X555" i="8"/>
  <c r="X610" i="8"/>
  <c r="X546" i="8"/>
  <c r="X601" i="8"/>
  <c r="X537" i="8"/>
  <c r="X592" i="8"/>
  <c r="X534" i="8"/>
  <c r="X583" i="8"/>
  <c r="X606" i="8"/>
  <c r="X542" i="8"/>
  <c r="X565" i="8"/>
  <c r="X536" i="8"/>
  <c r="X541" i="8"/>
  <c r="Y614" i="8"/>
  <c r="Y622" i="8"/>
  <c r="Y567" i="8"/>
  <c r="Y599" i="8"/>
  <c r="Y543" i="8"/>
  <c r="Y607" i="8"/>
  <c r="Y559" i="8"/>
  <c r="Y623" i="8"/>
  <c r="Y551" i="8"/>
  <c r="Y615" i="8"/>
  <c r="Y537" i="8"/>
  <c r="Y582" i="8"/>
  <c r="Y605" i="8"/>
  <c r="Y611" i="8"/>
  <c r="Y578" i="8"/>
  <c r="Y581" i="8"/>
  <c r="Y565" i="8"/>
  <c r="Y624" i="8"/>
  <c r="Y552" i="8"/>
  <c r="Y618" i="8"/>
  <c r="Y568" i="8"/>
  <c r="Y617" i="8"/>
  <c r="Y602" i="8"/>
  <c r="Y542" i="8"/>
  <c r="Y592" i="8"/>
  <c r="Y583" i="8"/>
  <c r="Y613" i="8"/>
  <c r="Y616" i="8"/>
  <c r="Y594" i="8"/>
  <c r="Y584" i="8"/>
  <c r="Y590" i="8"/>
  <c r="Y539" i="8"/>
  <c r="Y563" i="8"/>
  <c r="Y621" i="8"/>
  <c r="Y588" i="8"/>
  <c r="Y547" i="8"/>
  <c r="Y595" i="8"/>
  <c r="Y535" i="8"/>
  <c r="Y553" i="8"/>
  <c r="Y619" i="8"/>
  <c r="Y598" i="8"/>
  <c r="Y587" i="8"/>
  <c r="Y593" i="8"/>
  <c r="Y541" i="8"/>
  <c r="Y566" i="8"/>
  <c r="Y625" i="8"/>
  <c r="Y579" i="8"/>
  <c r="Y550" i="8"/>
  <c r="Y600" i="8"/>
  <c r="Y544" i="8"/>
  <c r="Y564" i="8"/>
  <c r="Y538" i="8"/>
  <c r="Y609" i="8"/>
  <c r="Y612" i="8"/>
  <c r="Y597" i="8"/>
  <c r="Y569" i="8"/>
  <c r="Y571" i="8"/>
  <c r="Y562" i="8"/>
  <c r="Y555" i="8"/>
  <c r="Y603" i="8"/>
  <c r="Y561" i="8"/>
  <c r="Y570" i="8"/>
  <c r="Y540" i="8"/>
  <c r="Y548" i="8"/>
  <c r="Y536" i="8"/>
  <c r="Y601" i="8"/>
  <c r="Y580" i="8"/>
  <c r="Y574" i="8"/>
  <c r="Y626" i="8"/>
  <c r="Y557" i="8"/>
  <c r="Y608" i="8"/>
  <c r="Y577" i="8"/>
  <c r="Y585" i="8"/>
  <c r="Y545" i="8"/>
  <c r="Y560" i="8"/>
  <c r="Y554" i="8"/>
  <c r="Y604" i="8"/>
  <c r="Y596" i="8"/>
  <c r="Y586" i="8"/>
  <c r="Y534" i="8"/>
  <c r="Y572" i="8"/>
  <c r="Y546" i="8"/>
  <c r="Y575" i="8"/>
  <c r="Y591" i="8"/>
  <c r="Y589" i="8"/>
  <c r="Y606" i="8"/>
  <c r="Y576" i="8"/>
  <c r="Y573" i="8"/>
  <c r="Y558" i="8"/>
  <c r="Y620" i="8"/>
  <c r="Y549" i="8"/>
  <c r="Y610" i="8"/>
  <c r="Y556" i="8"/>
  <c r="Z536" i="8" l="1"/>
  <c r="AA536" i="8"/>
  <c r="Z546" i="8"/>
  <c r="AA546" i="8"/>
  <c r="AA583" i="8"/>
  <c r="Z583" i="8"/>
  <c r="AA619" i="8"/>
  <c r="Z619" i="8"/>
  <c r="AA599" i="8"/>
  <c r="Z599" i="8"/>
  <c r="Z573" i="8"/>
  <c r="AA573" i="8"/>
  <c r="Z625" i="8"/>
  <c r="AA625" i="8"/>
  <c r="AA560" i="8"/>
  <c r="Z560" i="8"/>
  <c r="Z605" i="8"/>
  <c r="AA605" i="8"/>
  <c r="AA586" i="8"/>
  <c r="Z586" i="8"/>
  <c r="AA548" i="8"/>
  <c r="Z548" i="8"/>
  <c r="AA550" i="8"/>
  <c r="Z550" i="8"/>
  <c r="AA596" i="8"/>
  <c r="Z596" i="8"/>
  <c r="Z601" i="8"/>
  <c r="AA601" i="8"/>
  <c r="AA552" i="8"/>
  <c r="Z552" i="8"/>
  <c r="AA534" i="8"/>
  <c r="Z534" i="8"/>
  <c r="AA614" i="8"/>
  <c r="Z614" i="8"/>
  <c r="Z544" i="8"/>
  <c r="AA544" i="8"/>
  <c r="Z589" i="8"/>
  <c r="AA589" i="8"/>
  <c r="Z570" i="8"/>
  <c r="AA570" i="8"/>
  <c r="Z624" i="8"/>
  <c r="AA624" i="8"/>
  <c r="AA582" i="8"/>
  <c r="Z582" i="8"/>
  <c r="AA620" i="8"/>
  <c r="Z620" i="8"/>
  <c r="AA576" i="8"/>
  <c r="Z576" i="8"/>
  <c r="Z545" i="8"/>
  <c r="AA545" i="8"/>
  <c r="AA584" i="8"/>
  <c r="Z584" i="8"/>
  <c r="AA592" i="8"/>
  <c r="Z592" i="8"/>
  <c r="Z609" i="8"/>
  <c r="AA609" i="8"/>
  <c r="AA608" i="8"/>
  <c r="Z608" i="8"/>
  <c r="AA566" i="8"/>
  <c r="Z566" i="8"/>
  <c r="AA540" i="8"/>
  <c r="Z540" i="8"/>
  <c r="AA569" i="8"/>
  <c r="Z569" i="8"/>
  <c r="AA559" i="8"/>
  <c r="Z559" i="8"/>
  <c r="Z595" i="8"/>
  <c r="AA595" i="8"/>
  <c r="AA572" i="8"/>
  <c r="Z572" i="8"/>
  <c r="AA554" i="8"/>
  <c r="Z554" i="8"/>
  <c r="Z604" i="8"/>
  <c r="AA604" i="8"/>
  <c r="AA541" i="8"/>
  <c r="Z541" i="8"/>
  <c r="AA537" i="8"/>
  <c r="Z537" i="8"/>
  <c r="AA618" i="8"/>
  <c r="Z618" i="8"/>
  <c r="AA553" i="8"/>
  <c r="Z553" i="8"/>
  <c r="AA543" i="8"/>
  <c r="Z543" i="8"/>
  <c r="Z579" i="8"/>
  <c r="AA579" i="8"/>
  <c r="AA556" i="8"/>
  <c r="Z556" i="8"/>
  <c r="AA623" i="8"/>
  <c r="Z623" i="8"/>
  <c r="AA591" i="8"/>
  <c r="Z591" i="8"/>
  <c r="Z585" i="8"/>
  <c r="AA585" i="8"/>
  <c r="AA563" i="8"/>
  <c r="Z563" i="8"/>
  <c r="AA593" i="8"/>
  <c r="Z593" i="8"/>
  <c r="AA535" i="8"/>
  <c r="Z535" i="8"/>
  <c r="Z617" i="8"/>
  <c r="AA617" i="8"/>
  <c r="AA607" i="8"/>
  <c r="Z607" i="8"/>
  <c r="Z597" i="8"/>
  <c r="AA597" i="8"/>
  <c r="Z578" i="8"/>
  <c r="AA578" i="8"/>
  <c r="AA568" i="8"/>
  <c r="Z568" i="8"/>
  <c r="AA549" i="8"/>
  <c r="Z549" i="8"/>
  <c r="Z612" i="8"/>
  <c r="AA612" i="8"/>
  <c r="AA557" i="8"/>
  <c r="Z557" i="8"/>
  <c r="Z538" i="8"/>
  <c r="AA538" i="8"/>
  <c r="AA581" i="8"/>
  <c r="Z581" i="8"/>
  <c r="Z574" i="8"/>
  <c r="AA574" i="8"/>
  <c r="AA580" i="8"/>
  <c r="Z580" i="8"/>
  <c r="Z564" i="8"/>
  <c r="AA564" i="8"/>
  <c r="AA613" i="8"/>
  <c r="Z613" i="8"/>
  <c r="AA594" i="8"/>
  <c r="Z594" i="8"/>
  <c r="AA621" i="8"/>
  <c r="Z621" i="8"/>
  <c r="AA602" i="8"/>
  <c r="Z602" i="8"/>
  <c r="Z565" i="8"/>
  <c r="AA565" i="8"/>
  <c r="Z542" i="8"/>
  <c r="AA542" i="8"/>
  <c r="AA610" i="8"/>
  <c r="Z610" i="8"/>
  <c r="Z558" i="8"/>
  <c r="AA558" i="8"/>
  <c r="AA626" i="8"/>
  <c r="Z626" i="8"/>
  <c r="AA616" i="8"/>
  <c r="Z616" i="8"/>
  <c r="Z551" i="8"/>
  <c r="AA551" i="8"/>
  <c r="AA587" i="8"/>
  <c r="Z587" i="8"/>
  <c r="Z577" i="8"/>
  <c r="AA577" i="8"/>
  <c r="AA590" i="8"/>
  <c r="Z590" i="8"/>
  <c r="Z539" i="8"/>
  <c r="AA539" i="8"/>
  <c r="Z598" i="8"/>
  <c r="AA598" i="8"/>
  <c r="AA547" i="8"/>
  <c r="Z547" i="8"/>
  <c r="AA562" i="8"/>
  <c r="Z562" i="8"/>
  <c r="AA606" i="8"/>
  <c r="Z606" i="8"/>
  <c r="AA555" i="8"/>
  <c r="Z555" i="8"/>
  <c r="Z622" i="8"/>
  <c r="AA622" i="8"/>
  <c r="AA571" i="8"/>
  <c r="Z571" i="8"/>
  <c r="AA561" i="8"/>
  <c r="Z561" i="8"/>
  <c r="AA615" i="8"/>
  <c r="Z615" i="8"/>
  <c r="AA600" i="8"/>
  <c r="Z600" i="8"/>
  <c r="AA588" i="8"/>
  <c r="Z588" i="8"/>
  <c r="AA567" i="8"/>
  <c r="Z567" i="8"/>
  <c r="AA603" i="8"/>
  <c r="Z603" i="8"/>
  <c r="AA575" i="8"/>
  <c r="Z575" i="8"/>
  <c r="AA611" i="8"/>
  <c r="Z611" i="8"/>
  <c r="AA628" i="8" l="1"/>
  <c r="AA629" i="8"/>
</calcChain>
</file>

<file path=xl/sharedStrings.xml><?xml version="1.0" encoding="utf-8"?>
<sst xmlns="http://schemas.openxmlformats.org/spreadsheetml/2006/main" count="4892" uniqueCount="446">
  <si>
    <t xml:space="preserve">No. </t>
  </si>
  <si>
    <t xml:space="preserve">No KK </t>
  </si>
  <si>
    <t xml:space="preserve">Nama Kepala Keluarga </t>
  </si>
  <si>
    <t>RT / RW</t>
  </si>
  <si>
    <t xml:space="preserve">Penghasilan </t>
  </si>
  <si>
    <t>Luas Rumah</t>
  </si>
  <si>
    <t xml:space="preserve">Status Kepemilikan Rumah </t>
  </si>
  <si>
    <t>ibu Hamil / menyusui</t>
  </si>
  <si>
    <t>lansia</t>
  </si>
  <si>
    <t>jenis dinding</t>
  </si>
  <si>
    <t xml:space="preserve">jenis lantai </t>
  </si>
  <si>
    <t>jenis atap</t>
  </si>
  <si>
    <t>MUHAMMAD ABIDIN</t>
  </si>
  <si>
    <t>01 / 05</t>
  </si>
  <si>
    <t>72 M2</t>
  </si>
  <si>
    <t>Milik Sendiri</t>
  </si>
  <si>
    <t xml:space="preserve">Tidak Ada </t>
  </si>
  <si>
    <t>Tidak Ada</t>
  </si>
  <si>
    <t>Tembok</t>
  </si>
  <si>
    <t>Keramik</t>
  </si>
  <si>
    <t>Genteng</t>
  </si>
  <si>
    <t>Sumber Air</t>
  </si>
  <si>
    <t>PDAM</t>
  </si>
  <si>
    <t>54 M2</t>
  </si>
  <si>
    <t>MULYONO</t>
  </si>
  <si>
    <t>jumlah tanggungan (Anak)</t>
  </si>
  <si>
    <t>CAMPUN</t>
  </si>
  <si>
    <t>SUNTONO</t>
  </si>
  <si>
    <t>55 M2</t>
  </si>
  <si>
    <t>56 M2</t>
  </si>
  <si>
    <t>Tidak ada</t>
  </si>
  <si>
    <t xml:space="preserve">DEDDY MUDHIATAMA </t>
  </si>
  <si>
    <t>IWAN SUGIYANTO</t>
  </si>
  <si>
    <t>90 M2</t>
  </si>
  <si>
    <t>MUNIR MUSTAQIM</t>
  </si>
  <si>
    <t>KASMINI</t>
  </si>
  <si>
    <t>MOKH YUSUF</t>
  </si>
  <si>
    <t>80 M2</t>
  </si>
  <si>
    <t>Menumpang</t>
  </si>
  <si>
    <t>TARNO</t>
  </si>
  <si>
    <t>MURSID</t>
  </si>
  <si>
    <t>Asbes / Seng</t>
  </si>
  <si>
    <t>Papan/ Kayu</t>
  </si>
  <si>
    <t>Semen</t>
  </si>
  <si>
    <t>ABDUL MAJID</t>
  </si>
  <si>
    <t>SUGENG WAHONO</t>
  </si>
  <si>
    <t>TAMIN</t>
  </si>
  <si>
    <t>48 M2</t>
  </si>
  <si>
    <t xml:space="preserve">ABDUH NAHLIAN </t>
  </si>
  <si>
    <t>TARMUDJI</t>
  </si>
  <si>
    <t>32 M2</t>
  </si>
  <si>
    <t>Papan/Bambu</t>
  </si>
  <si>
    <t>KASIMO</t>
  </si>
  <si>
    <t>45 M2</t>
  </si>
  <si>
    <t>Papan / kayu</t>
  </si>
  <si>
    <t>KASMINAH</t>
  </si>
  <si>
    <t>DIDIK PRIANTO</t>
  </si>
  <si>
    <t>DASMIATI</t>
  </si>
  <si>
    <t>42 M2</t>
  </si>
  <si>
    <t>IMAM KHOIRI</t>
  </si>
  <si>
    <t>54M2</t>
  </si>
  <si>
    <t>IMAM TOKO</t>
  </si>
  <si>
    <t>TUTIK</t>
  </si>
  <si>
    <t>40 M2</t>
  </si>
  <si>
    <t>RAKIJAH</t>
  </si>
  <si>
    <t>35 M2</t>
  </si>
  <si>
    <t>SARDI</t>
  </si>
  <si>
    <t>60 M2</t>
  </si>
  <si>
    <t>KASLIK</t>
  </si>
  <si>
    <t>TOTOK AGUSTARI</t>
  </si>
  <si>
    <t>WASIR</t>
  </si>
  <si>
    <t xml:space="preserve">SUDIRO </t>
  </si>
  <si>
    <t>Bambu</t>
  </si>
  <si>
    <t>Tanah</t>
  </si>
  <si>
    <t>SUYANTO</t>
  </si>
  <si>
    <t>24 M2</t>
  </si>
  <si>
    <t>SUWANDI</t>
  </si>
  <si>
    <t>52 M2</t>
  </si>
  <si>
    <t>Beton</t>
  </si>
  <si>
    <t>LIK DJOYO</t>
  </si>
  <si>
    <t>53 M2</t>
  </si>
  <si>
    <t>KARMADI</t>
  </si>
  <si>
    <t>50 M2</t>
  </si>
  <si>
    <t>WIBOWO SLAMET</t>
  </si>
  <si>
    <t>WINARTO</t>
  </si>
  <si>
    <t>HADI</t>
  </si>
  <si>
    <t>NGATOLAN</t>
  </si>
  <si>
    <t>KARSIYAH</t>
  </si>
  <si>
    <t>KARDIYONO</t>
  </si>
  <si>
    <t>LILIK</t>
  </si>
  <si>
    <t>81 M2</t>
  </si>
  <si>
    <t>WARIYANTO</t>
  </si>
  <si>
    <t xml:space="preserve">02 / 05 </t>
  </si>
  <si>
    <t>Sumur</t>
  </si>
  <si>
    <t>SUJONO</t>
  </si>
  <si>
    <t>02 / 05</t>
  </si>
  <si>
    <t>SUMIJAH</t>
  </si>
  <si>
    <t>12 M2</t>
  </si>
  <si>
    <t>SUPRAPTO</t>
  </si>
  <si>
    <t>SUHARTONO</t>
  </si>
  <si>
    <t>SUGIYONO</t>
  </si>
  <si>
    <t>MARSILAN</t>
  </si>
  <si>
    <t xml:space="preserve">NURHAMID </t>
  </si>
  <si>
    <t>63 M2</t>
  </si>
  <si>
    <t>SAMIDAH</t>
  </si>
  <si>
    <t>MUNASIR</t>
  </si>
  <si>
    <t>PURWANTO</t>
  </si>
  <si>
    <t>PANLIK</t>
  </si>
  <si>
    <t>84 M2</t>
  </si>
  <si>
    <t>MACTIUS RICKY LEONALDO</t>
  </si>
  <si>
    <t>RT. 1 &amp; RT. 2 RW.05 KEC SEMANDING KAB TUBAN 2021</t>
  </si>
  <si>
    <t>PUJI PRASETYO</t>
  </si>
  <si>
    <t>100 M2</t>
  </si>
  <si>
    <t>TRI ABDUL AZIZ</t>
  </si>
  <si>
    <t>TOTOK PUJI WALUYO</t>
  </si>
  <si>
    <t>98 M2</t>
  </si>
  <si>
    <t>DEBBY TARUNA VIRGO</t>
  </si>
  <si>
    <t>120 M2</t>
  </si>
  <si>
    <t>DARMUJI</t>
  </si>
  <si>
    <t>DAFTAR NO KK DESA SEMANDING RT 02 RW5</t>
  </si>
  <si>
    <t>No</t>
  </si>
  <si>
    <t>No KK</t>
  </si>
  <si>
    <t>3523151309090184</t>
  </si>
  <si>
    <t>JUATMUN</t>
  </si>
  <si>
    <t>Penghasilan</t>
  </si>
  <si>
    <t>3523152906120006</t>
  </si>
  <si>
    <t>YONO</t>
  </si>
  <si>
    <t>3523151403061499</t>
  </si>
  <si>
    <t>KARNADI</t>
  </si>
  <si>
    <t>Nama</t>
  </si>
  <si>
    <t>TARMUDO</t>
  </si>
  <si>
    <t xml:space="preserve">Daftar Nama yang berkerja lebih dari 1 orang dalam 1 KK </t>
  </si>
  <si>
    <t>3523151403061502</t>
  </si>
  <si>
    <t>SAKRUN</t>
  </si>
  <si>
    <t>3523151403061500</t>
  </si>
  <si>
    <t>3523151403061497</t>
  </si>
  <si>
    <t>SUKARDI</t>
  </si>
  <si>
    <t xml:space="preserve"> 2 / 5</t>
  </si>
  <si>
    <t>2 / 5</t>
  </si>
  <si>
    <t>3523151403061490</t>
  </si>
  <si>
    <t>WARJANI</t>
  </si>
  <si>
    <t>2/ 5</t>
  </si>
  <si>
    <t>SETYAWAN</t>
  </si>
  <si>
    <t>3523151008120009</t>
  </si>
  <si>
    <t>MOCHMMAD ISWANDI</t>
  </si>
  <si>
    <t>3523152110200008</t>
  </si>
  <si>
    <t>RUJU ALIP</t>
  </si>
  <si>
    <t>SUTARTI</t>
  </si>
  <si>
    <t>3523151403060759</t>
  </si>
  <si>
    <t>3523150508150003</t>
  </si>
  <si>
    <t>DIDIK PURNOMO</t>
  </si>
  <si>
    <t>3523151403060761</t>
  </si>
  <si>
    <t>GENDUT HARIYANTO</t>
  </si>
  <si>
    <t>M. INDRA SAPUTRA</t>
  </si>
  <si>
    <t>3523152007120012</t>
  </si>
  <si>
    <t>DHIQ PRIHADI</t>
  </si>
  <si>
    <t>3523152901190003</t>
  </si>
  <si>
    <t>SUTARSIH</t>
  </si>
  <si>
    <t>3523151409180003</t>
  </si>
  <si>
    <t>DWI PURWANTO</t>
  </si>
  <si>
    <t>3523151309090186</t>
  </si>
  <si>
    <t>DEDY MUDHIATAMA</t>
  </si>
  <si>
    <t>3523151309090178</t>
  </si>
  <si>
    <t>MAMPUANTO</t>
  </si>
  <si>
    <t>3523151503061503</t>
  </si>
  <si>
    <t>ASTRO DJOYO WARAS</t>
  </si>
  <si>
    <t>3523151403061467</t>
  </si>
  <si>
    <t>3523150311160031</t>
  </si>
  <si>
    <t>HENDRA PRAMANA TEGUH</t>
  </si>
  <si>
    <t>3523151309090126</t>
  </si>
  <si>
    <t>MOH. MAHKIN NAUFAL</t>
  </si>
  <si>
    <t xml:space="preserve">2 / 5 </t>
  </si>
  <si>
    <t>3523151403060779</t>
  </si>
  <si>
    <t>PATMI</t>
  </si>
  <si>
    <t>Tidak bekerja</t>
  </si>
  <si>
    <t>3523152111210007</t>
  </si>
  <si>
    <t>ARIF SULISTIONO</t>
  </si>
  <si>
    <t>3523153112090187</t>
  </si>
  <si>
    <t>SAMSI</t>
  </si>
  <si>
    <t>3523151403061463</t>
  </si>
  <si>
    <t>3523151403060769</t>
  </si>
  <si>
    <t>PUJI PRASTYO</t>
  </si>
  <si>
    <t>3523151005110001</t>
  </si>
  <si>
    <t>3523151403060778</t>
  </si>
  <si>
    <t>3523151403061462</t>
  </si>
  <si>
    <t xml:space="preserve"> 2/ 5</t>
  </si>
  <si>
    <t>3523151303180005</t>
  </si>
  <si>
    <t>MACTIUS RICKY L.</t>
  </si>
  <si>
    <t>3523151309090180</t>
  </si>
  <si>
    <t>3523151403061466</t>
  </si>
  <si>
    <t>3523151403061468</t>
  </si>
  <si>
    <t>3523151403060780</t>
  </si>
  <si>
    <t>3523150209200001</t>
  </si>
  <si>
    <t>NURHAMID</t>
  </si>
  <si>
    <t>3523153004190006</t>
  </si>
  <si>
    <t>3523151309090188</t>
  </si>
  <si>
    <t>3523152405190001</t>
  </si>
  <si>
    <t>3523151403060777</t>
  </si>
  <si>
    <t>3523151309090177</t>
  </si>
  <si>
    <t>DEBY TARUNA VIRGO</t>
  </si>
  <si>
    <t>TITIK MUJIATI</t>
  </si>
  <si>
    <t>3523151309090182</t>
  </si>
  <si>
    <t>3523151403060776</t>
  </si>
  <si>
    <t>DASRIK</t>
  </si>
  <si>
    <t>3523152101140003</t>
  </si>
  <si>
    <t>WITAWIK NINGSIH</t>
  </si>
  <si>
    <t>3523152212160003</t>
  </si>
  <si>
    <t>SARTI</t>
  </si>
  <si>
    <t>3523151403063105</t>
  </si>
  <si>
    <t>SUMADI</t>
  </si>
  <si>
    <t>3523152207170003</t>
  </si>
  <si>
    <t>SOEWITO</t>
  </si>
  <si>
    <t>3523151403060757</t>
  </si>
  <si>
    <t>SUTARTO</t>
  </si>
  <si>
    <t>3523151403064641</t>
  </si>
  <si>
    <t>TARMUJI</t>
  </si>
  <si>
    <t>3523151309090179</t>
  </si>
  <si>
    <t>ADENAN</t>
  </si>
  <si>
    <t>3523151309090183</t>
  </si>
  <si>
    <t>JUNAEDI</t>
  </si>
  <si>
    <t>3523152310180005</t>
  </si>
  <si>
    <t>MARSINAH</t>
  </si>
  <si>
    <t>3523151403060766</t>
  </si>
  <si>
    <t>ANTON WAHYUDI</t>
  </si>
  <si>
    <t>3523151403060765</t>
  </si>
  <si>
    <t>SAMAD</t>
  </si>
  <si>
    <t>3523151403060763</t>
  </si>
  <si>
    <t>DARKUN</t>
  </si>
  <si>
    <t>3523151403060762</t>
  </si>
  <si>
    <t>M. SUEB</t>
  </si>
  <si>
    <t>TTITIK MUJIATI</t>
  </si>
  <si>
    <t>3523151403060771</t>
  </si>
  <si>
    <t>96 M2</t>
  </si>
  <si>
    <t>WITAWIKNINGSIH</t>
  </si>
  <si>
    <t>73 M2</t>
  </si>
  <si>
    <t xml:space="preserve"> 02 / 05</t>
  </si>
  <si>
    <t>HENDRA PERMANA TEGUH</t>
  </si>
  <si>
    <t>Ada</t>
  </si>
  <si>
    <t>133 M2</t>
  </si>
  <si>
    <t xml:space="preserve">ADENAN </t>
  </si>
  <si>
    <t xml:space="preserve"> 02 / 05 </t>
  </si>
  <si>
    <t>ANTON WAHYUDIN</t>
  </si>
  <si>
    <t>70 M2</t>
  </si>
  <si>
    <t>105 M2</t>
  </si>
  <si>
    <t>37 M2</t>
  </si>
  <si>
    <t>M.SUEB</t>
  </si>
  <si>
    <t>108 M2</t>
  </si>
  <si>
    <t>150 M2</t>
  </si>
  <si>
    <t>02 /05</t>
  </si>
  <si>
    <t>PDAM (Numpang)</t>
  </si>
  <si>
    <t xml:space="preserve">PDAM </t>
  </si>
  <si>
    <t>MOCHAMMAD ISWANDI</t>
  </si>
  <si>
    <t>MOH . MAHKIN NAUFAL</t>
  </si>
  <si>
    <t>DAFTAR NO KK DESA SEMANDING RT 01 RW 05</t>
  </si>
  <si>
    <t>Nama Kepala Keluarga</t>
  </si>
  <si>
    <t>3523122711140001</t>
  </si>
  <si>
    <t>3523152312110002</t>
  </si>
  <si>
    <t>SUWANTO</t>
  </si>
  <si>
    <t>3523150212140009</t>
  </si>
  <si>
    <t>3523151403061477</t>
  </si>
  <si>
    <t>3523153112090244</t>
  </si>
  <si>
    <t>3523151403061478</t>
  </si>
  <si>
    <t>3523152906120007</t>
  </si>
  <si>
    <t>3523151403061480</t>
  </si>
  <si>
    <t>3523150507190002</t>
  </si>
  <si>
    <t>3523151403061482</t>
  </si>
  <si>
    <t>3523151403061495</t>
  </si>
  <si>
    <t>3523152603110001</t>
  </si>
  <si>
    <t>3523152212200001</t>
  </si>
  <si>
    <t>3523151403170009</t>
  </si>
  <si>
    <t>3523153112090184</t>
  </si>
  <si>
    <t>3523153112090228</t>
  </si>
  <si>
    <t>3523151403061479</t>
  </si>
  <si>
    <t>3523151210160002</t>
  </si>
  <si>
    <t>3523151403061489</t>
  </si>
  <si>
    <t>3523153010120005</t>
  </si>
  <si>
    <t>3523153112090174</t>
  </si>
  <si>
    <t>3523150305120003</t>
  </si>
  <si>
    <t>3523151403061471</t>
  </si>
  <si>
    <t>3523151403061494</t>
  </si>
  <si>
    <t>3523151403061485</t>
  </si>
  <si>
    <t>3523152608190006</t>
  </si>
  <si>
    <t>3523151403061487</t>
  </si>
  <si>
    <t>3523153012090392</t>
  </si>
  <si>
    <t>3523151708700001</t>
  </si>
  <si>
    <t>3523150803680008</t>
  </si>
  <si>
    <t>3523151005780008</t>
  </si>
  <si>
    <t>3523155002670004</t>
  </si>
  <si>
    <t>3523150603820007</t>
  </si>
  <si>
    <t>3523141108840001</t>
  </si>
  <si>
    <t>3523150107580287</t>
  </si>
  <si>
    <t>3523150202500002</t>
  </si>
  <si>
    <t>3523150107510085</t>
  </si>
  <si>
    <t>3523151604600002</t>
  </si>
  <si>
    <t>3523154107540103</t>
  </si>
  <si>
    <t>Tidak Bekerja</t>
  </si>
  <si>
    <t>tabel jenis kriteria</t>
  </si>
  <si>
    <t>Kriteria</t>
  </si>
  <si>
    <t xml:space="preserve">Jenis Variabel </t>
  </si>
  <si>
    <t>Bobot</t>
  </si>
  <si>
    <t>Benefit</t>
  </si>
  <si>
    <t>Cost</t>
  </si>
  <si>
    <t>A. Rating Kecocokan kriteria dan Bobot</t>
  </si>
  <si>
    <t>B. Tabel rating kecocokan kriteria</t>
  </si>
  <si>
    <t>Kriteria Penghasilan</t>
  </si>
  <si>
    <t>(Sumber : Pratiwi dkk (2019))</t>
  </si>
  <si>
    <t>Klasifikasi</t>
  </si>
  <si>
    <t>Nilai</t>
  </si>
  <si>
    <t>&gt; 2.000.000</t>
  </si>
  <si>
    <t>1.500.000 - 2.000.000</t>
  </si>
  <si>
    <t>0 - 1.500.000</t>
  </si>
  <si>
    <t>Banyak</t>
  </si>
  <si>
    <t>Cukup</t>
  </si>
  <si>
    <t>Sedikit</t>
  </si>
  <si>
    <t>Kriteria luas Rumah</t>
  </si>
  <si>
    <t xml:space="preserve">Kriteria </t>
  </si>
  <si>
    <t>&gt; 500 m2</t>
  </si>
  <si>
    <t>Sangat Rendah</t>
  </si>
  <si>
    <t>201 - 500 m2</t>
  </si>
  <si>
    <t xml:space="preserve">Rendah </t>
  </si>
  <si>
    <t>101 - 200 m2</t>
  </si>
  <si>
    <t>Sedang</t>
  </si>
  <si>
    <t>51 - 100 m2</t>
  </si>
  <si>
    <t>Tinggi</t>
  </si>
  <si>
    <t>0 - 50 m2</t>
  </si>
  <si>
    <t>Sangat Tinggi</t>
  </si>
  <si>
    <t>kriteria Status Kepemilikan Rumah</t>
  </si>
  <si>
    <t>Rendah</t>
  </si>
  <si>
    <t>Sewa</t>
  </si>
  <si>
    <t>Kriteria jenis dinding</t>
  </si>
  <si>
    <t>Tembok / Bata</t>
  </si>
  <si>
    <t>Papan / Kayu</t>
  </si>
  <si>
    <t>Papan / Bambu</t>
  </si>
  <si>
    <t xml:space="preserve">kriteria jenis lantai </t>
  </si>
  <si>
    <t>kriteria</t>
  </si>
  <si>
    <t>klasifikasi</t>
  </si>
  <si>
    <t>kriteria jenis Atap</t>
  </si>
  <si>
    <t xml:space="preserve">Klasifikasi </t>
  </si>
  <si>
    <t>Nipah</t>
  </si>
  <si>
    <t>kriteria sumber air</t>
  </si>
  <si>
    <t>Pompa air</t>
  </si>
  <si>
    <t>kriteria Lansia</t>
  </si>
  <si>
    <t>Kriteria Jumlah Tanggungan Anak</t>
  </si>
  <si>
    <t>&gt; 5</t>
  </si>
  <si>
    <t>2 - 5</t>
  </si>
  <si>
    <t>Sangat Sedikit</t>
  </si>
  <si>
    <t>Keputusan</t>
  </si>
  <si>
    <t>Tidak</t>
  </si>
  <si>
    <t>DAFTAR NAMA KEPALA KELUARGA PENERIMA PKH DESA SEMANDING</t>
  </si>
  <si>
    <t>Layak</t>
  </si>
  <si>
    <t>layak</t>
  </si>
  <si>
    <t>tidak</t>
  </si>
  <si>
    <t>kriteria ibu hamil</t>
  </si>
  <si>
    <t xml:space="preserve">Nilai </t>
  </si>
  <si>
    <t>TRANSFORMASI DATA &amp; SELEKSI DATA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</si>
  <si>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 xml:space="preserve"> : bobot dari kriteria tersebut diambil dari jurnal</t>
    </r>
  </si>
  <si>
    <t>jumlah</t>
  </si>
  <si>
    <t xml:space="preserve">Layak </t>
  </si>
  <si>
    <t>Tidak Layak</t>
  </si>
  <si>
    <t xml:space="preserve">Entrophy </t>
  </si>
  <si>
    <t>Gain</t>
  </si>
  <si>
    <t>total</t>
  </si>
  <si>
    <t>tinggi</t>
  </si>
  <si>
    <t xml:space="preserve">cukup </t>
  </si>
  <si>
    <t>sedikit</t>
  </si>
  <si>
    <t xml:space="preserve">rendah </t>
  </si>
  <si>
    <t>sedang</t>
  </si>
  <si>
    <t>Sangat tinggi</t>
  </si>
  <si>
    <t>Status pemilikan rumah</t>
  </si>
  <si>
    <t>sumber air</t>
  </si>
  <si>
    <t xml:space="preserve">Perhitungan </t>
  </si>
  <si>
    <t>node Akar</t>
  </si>
  <si>
    <t>ibu hamil / menyusui</t>
  </si>
  <si>
    <t>jumlah tanggungan</t>
  </si>
  <si>
    <t>sangat sedikit</t>
  </si>
  <si>
    <t>jenis lantai</t>
  </si>
  <si>
    <t>node 1.1</t>
  </si>
  <si>
    <t>lansia ;tinggi</t>
  </si>
  <si>
    <t>jenis Lantai</t>
  </si>
  <si>
    <t>node 1.1.1</t>
  </si>
  <si>
    <t>lansia ;tinggi | Penghasilan: sedikit</t>
  </si>
  <si>
    <t>node 1.1.1.1</t>
  </si>
  <si>
    <t>lansia ;tinggi | Penghasilan: sedikit |jenis Lantai ; rendah</t>
  </si>
  <si>
    <t>node 1.1.1.1.1</t>
  </si>
  <si>
    <t>lansia ;tinggi | Penghasilan: sedikit |jenis Lantai ; rendah |jumlah tanggungan; sangat sedikit | Jenis Dinding ; Rendah</t>
  </si>
  <si>
    <t>node 1.2</t>
  </si>
  <si>
    <t>lansia ;rendah</t>
  </si>
  <si>
    <t>node 1.2.1</t>
  </si>
  <si>
    <t>lansia ;rendah | jenis lantai sedang</t>
  </si>
  <si>
    <t>node 1.2.1.1</t>
  </si>
  <si>
    <t>lansia ;rendah | jenis lantai; sedang | jenis dinding ; rendah</t>
  </si>
  <si>
    <t>lansia ;tinggi | Penghasilan: sedikit |jenis Lantai ; rendah |jumlah tanggungan; sangat sedikit | Jenis Dinding ; Rendah |Luas Rumah; Rendah</t>
  </si>
  <si>
    <t>lansia ;tinggi | Penghasilan: sedikit |jenis Lantai ; rendah |jumlah tanggungan; sangat sedikit | Jenis Dinding ; Rendah |Luas Rumah; Rendah |pemilikan rumah ; rendah</t>
  </si>
  <si>
    <t>lansia ;rendah | jenis lantai; sedang | jenis dinding ; rendah | Penhasilan ; Cukup</t>
  </si>
  <si>
    <t>lansia ;rendah | jenis lantai; sedang | jenis dinding ; rendah | Penhasilan ; Cukup | tanggungan ; sedikit</t>
  </si>
  <si>
    <t>lansia ;rendah | jenis lantai; sedang | jenis dinding ; rendah | Penhasilan ; Cukup | tanggungan ; sedikit | Luas Rumah tinggi</t>
  </si>
  <si>
    <t>lansia ;rendah | jenis lantai; sedang | jenis dinding ; rendah | Penhasilan ; Cukup | tanggungan ; sedikit | Luas Rumah ; sangat tinggi</t>
  </si>
  <si>
    <t>lansia ;tinggi | Penghasilan: Cukup</t>
  </si>
  <si>
    <t>node 1.1.3</t>
  </si>
  <si>
    <t>lansia ;rendah | jenis lantai; sedang | jenis dinding ; rendah | Penhasilan ; Sedikit</t>
  </si>
  <si>
    <t>Layak (C1)</t>
  </si>
  <si>
    <t xml:space="preserve"> Tidak Layak (C2)</t>
  </si>
  <si>
    <t>Jarak Terdekat (D)</t>
  </si>
  <si>
    <t>Kelompok</t>
  </si>
  <si>
    <t>cluster 1</t>
  </si>
  <si>
    <t>cluster 2</t>
  </si>
  <si>
    <t>(Sumber: Murwanti, Tri(2019))</t>
  </si>
  <si>
    <t xml:space="preserve">kesimpulan </t>
  </si>
  <si>
    <t xml:space="preserve">c1 </t>
  </si>
  <si>
    <t>c2</t>
  </si>
  <si>
    <t>iterasi 1</t>
  </si>
  <si>
    <t>iterasi 2</t>
  </si>
  <si>
    <t>kesimpulan</t>
  </si>
  <si>
    <t>c1</t>
  </si>
  <si>
    <t>iterasi ke 3</t>
  </si>
  <si>
    <t>iterasi ke 4</t>
  </si>
  <si>
    <t>iterasi ke 5</t>
  </si>
  <si>
    <t>akurasi</t>
  </si>
  <si>
    <t>iterasi ke 6</t>
  </si>
  <si>
    <t>Keputusan 2</t>
  </si>
  <si>
    <t>confusion matrik</t>
  </si>
  <si>
    <t>actual</t>
  </si>
  <si>
    <t>k means</t>
  </si>
  <si>
    <t>Akurasi</t>
  </si>
  <si>
    <t>Iterasi ke 1</t>
  </si>
  <si>
    <t>Iterasi ke 2</t>
  </si>
  <si>
    <t>Kelompok (actual)</t>
  </si>
  <si>
    <t>DATA UJI ALGORITMA C4.5</t>
  </si>
  <si>
    <t>DATA UJI / TESTING K - MEANS</t>
  </si>
  <si>
    <t>Keputusan (prekdisi)</t>
  </si>
  <si>
    <t>Confusion Matrix</t>
  </si>
  <si>
    <t>Actual</t>
  </si>
  <si>
    <t>C4.5</t>
  </si>
  <si>
    <t>Jenis Lantai = sedang</t>
  </si>
  <si>
    <t xml:space="preserve">Banyak </t>
  </si>
  <si>
    <t xml:space="preserve">Cukup </t>
  </si>
  <si>
    <t>Status Pemilikan Rumah</t>
  </si>
  <si>
    <t xml:space="preserve">Jenis lantai = Sedang | tanggungan sedikit </t>
  </si>
  <si>
    <t>Kelompok Prekdisi</t>
  </si>
  <si>
    <t>confusion matrix</t>
  </si>
  <si>
    <t>k - means</t>
  </si>
  <si>
    <t>%</t>
  </si>
  <si>
    <t>Erorr rate</t>
  </si>
  <si>
    <t>Keputusan Prekdisi</t>
  </si>
  <si>
    <t>Confusion matrix</t>
  </si>
  <si>
    <t>Rate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</si>
</sst>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p&quot;#,##0"/>
    <numFmt numFmtId="165" formatCode="0.000000"/>
    <numFmt numFmtId="166" formatCode="0.0"/>
    <numFmt numFmtId="167" formatCode="0.000"/>
    <numFmt numFmtId="168" formatCode="0.00000"/>
    <numFmt numFmtId="169" formatCode="0.0000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8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6" fontId="0" fillId="0" borderId="2" xfId="0" quotePrefix="1" applyNumberForma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2" xfId="0" quotePrefix="1" applyBorder="1"/>
    <xf numFmtId="0" fontId="0" fillId="0" borderId="3" xfId="0" applyBorder="1"/>
    <xf numFmtId="0" fontId="0" fillId="0" borderId="6" xfId="0" applyBorder="1"/>
    <xf numFmtId="1" fontId="0" fillId="0" borderId="3" xfId="0" applyNumberFormat="1" applyBorder="1"/>
    <xf numFmtId="164" fontId="0" fillId="0" borderId="0" xfId="0" applyNumberFormat="1"/>
    <xf numFmtId="1" fontId="0" fillId="0" borderId="15" xfId="0" applyNumberFormat="1" applyBorder="1"/>
    <xf numFmtId="1" fontId="0" fillId="0" borderId="15" xfId="0" applyNumberFormat="1" applyBorder="1" applyAlignment="1">
      <alignment horizontal="right"/>
    </xf>
    <xf numFmtId="0" fontId="0" fillId="0" borderId="15" xfId="0" applyNumberFormat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3" fillId="0" borderId="0" xfId="0" applyFont="1" applyAlignment="1">
      <alignment horizontal="left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1" fontId="0" fillId="0" borderId="8" xfId="0" applyNumberFormat="1" applyBorder="1" applyAlignment="1">
      <alignment horizontal="center" vertical="center"/>
    </xf>
    <xf numFmtId="0" fontId="0" fillId="0" borderId="8" xfId="0" quotePrefix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quotePrefix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0" xfId="0" applyBorder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2" xfId="0" applyNumberFormat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3" fillId="2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5" xfId="0" applyBorder="1"/>
    <xf numFmtId="0" fontId="0" fillId="0" borderId="24" xfId="0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5" fontId="0" fillId="0" borderId="2" xfId="0" applyNumberFormat="1" applyBorder="1"/>
    <xf numFmtId="1" fontId="0" fillId="0" borderId="2" xfId="0" applyNumberFormat="1" applyBorder="1"/>
    <xf numFmtId="0" fontId="3" fillId="0" borderId="2" xfId="0" applyFont="1" applyBorder="1"/>
    <xf numFmtId="0" fontId="0" fillId="0" borderId="2" xfId="0" applyFont="1" applyBorder="1"/>
    <xf numFmtId="165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0" fillId="0" borderId="25" xfId="0" applyBorder="1"/>
    <xf numFmtId="165" fontId="0" fillId="0" borderId="2" xfId="0" applyNumberFormat="1" applyFont="1" applyBorder="1"/>
    <xf numFmtId="0" fontId="3" fillId="2" borderId="2" xfId="0" applyFont="1" applyFill="1" applyBorder="1"/>
    <xf numFmtId="0" fontId="0" fillId="2" borderId="2" xfId="0" applyFill="1" applyBorder="1"/>
    <xf numFmtId="165" fontId="3" fillId="2" borderId="2" xfId="0" applyNumberFormat="1" applyFont="1" applyFill="1" applyBorder="1"/>
    <xf numFmtId="0" fontId="0" fillId="2" borderId="2" xfId="0" applyFont="1" applyFill="1" applyBorder="1"/>
    <xf numFmtId="0" fontId="3" fillId="0" borderId="2" xfId="0" applyFont="1" applyBorder="1" applyAlignment="1">
      <alignment horizontal="left"/>
    </xf>
    <xf numFmtId="165" fontId="0" fillId="0" borderId="19" xfId="0" applyNumberFormat="1" applyBorder="1"/>
    <xf numFmtId="0" fontId="0" fillId="0" borderId="26" xfId="0" applyBorder="1"/>
    <xf numFmtId="0" fontId="0" fillId="0" borderId="27" xfId="0" applyBorder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right" vertical="center"/>
    </xf>
    <xf numFmtId="165" fontId="0" fillId="0" borderId="19" xfId="0" applyNumberFormat="1" applyBorder="1" applyAlignment="1">
      <alignment horizontal="right" vertical="center"/>
    </xf>
    <xf numFmtId="165" fontId="0" fillId="0" borderId="2" xfId="0" applyNumberFormat="1" applyFont="1" applyFill="1" applyBorder="1"/>
    <xf numFmtId="0" fontId="0" fillId="4" borderId="2" xfId="0" applyFill="1" applyBorder="1"/>
    <xf numFmtId="0" fontId="0" fillId="3" borderId="2" xfId="0" applyFill="1" applyBorder="1"/>
    <xf numFmtId="165" fontId="0" fillId="3" borderId="19" xfId="0" applyNumberFormat="1" applyFill="1" applyBorder="1" applyAlignment="1">
      <alignment horizontal="right" vertical="center"/>
    </xf>
    <xf numFmtId="0" fontId="0" fillId="3" borderId="2" xfId="0" applyFont="1" applyFill="1" applyBorder="1"/>
    <xf numFmtId="165" fontId="0" fillId="3" borderId="2" xfId="0" applyNumberFormat="1" applyFont="1" applyFill="1" applyBorder="1"/>
    <xf numFmtId="165" fontId="0" fillId="3" borderId="2" xfId="0" applyNumberFormat="1" applyFill="1" applyBorder="1"/>
    <xf numFmtId="165" fontId="0" fillId="3" borderId="19" xfId="0" applyNumberFormat="1" applyFill="1" applyBorder="1"/>
    <xf numFmtId="165" fontId="0" fillId="2" borderId="2" xfId="0" applyNumberFormat="1" applyFill="1" applyBorder="1"/>
    <xf numFmtId="0" fontId="0" fillId="0" borderId="2" xfId="0" applyFill="1" applyBorder="1"/>
    <xf numFmtId="165" fontId="0" fillId="0" borderId="2" xfId="0" applyNumberFormat="1" applyFill="1" applyBorder="1"/>
    <xf numFmtId="0" fontId="0" fillId="0" borderId="2" xfId="0" applyFont="1" applyFill="1" applyBorder="1"/>
    <xf numFmtId="165" fontId="0" fillId="4" borderId="2" xfId="0" applyNumberFormat="1" applyFill="1" applyBorder="1"/>
    <xf numFmtId="0" fontId="3" fillId="3" borderId="2" xfId="0" applyFont="1" applyFill="1" applyBorder="1"/>
    <xf numFmtId="165" fontId="3" fillId="3" borderId="2" xfId="0" applyNumberFormat="1" applyFont="1" applyFill="1" applyBorder="1"/>
    <xf numFmtId="0" fontId="0" fillId="0" borderId="19" xfId="0" applyBorder="1" applyAlignment="1">
      <alignment vertical="center"/>
    </xf>
    <xf numFmtId="165" fontId="0" fillId="0" borderId="19" xfId="0" applyNumberFormat="1" applyBorder="1" applyAlignment="1">
      <alignment vertical="center"/>
    </xf>
    <xf numFmtId="0" fontId="0" fillId="0" borderId="2" xfId="0" applyBorder="1" applyAlignment="1">
      <alignment horizontal="right" vertical="center"/>
    </xf>
    <xf numFmtId="165" fontId="0" fillId="0" borderId="2" xfId="0" applyNumberFormat="1" applyBorder="1" applyAlignment="1">
      <alignment vertical="center"/>
    </xf>
    <xf numFmtId="165" fontId="0" fillId="2" borderId="19" xfId="0" applyNumberFormat="1" applyFill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165" fontId="0" fillId="0" borderId="0" xfId="0" applyNumberFormat="1" applyBorder="1" applyAlignment="1">
      <alignment vertical="center"/>
    </xf>
    <xf numFmtId="165" fontId="0" fillId="0" borderId="19" xfId="0" applyNumberFormat="1" applyFill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165" fontId="0" fillId="2" borderId="2" xfId="0" applyNumberFormat="1" applyFont="1" applyFill="1" applyBorder="1"/>
    <xf numFmtId="0" fontId="3" fillId="0" borderId="0" xfId="0" applyFont="1" applyBorder="1" applyAlignment="1">
      <alignment vertical="center"/>
    </xf>
    <xf numFmtId="165" fontId="0" fillId="0" borderId="19" xfId="0" applyNumberFormat="1" applyFill="1" applyBorder="1"/>
    <xf numFmtId="0" fontId="3" fillId="0" borderId="0" xfId="0" applyFont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0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6" fontId="0" fillId="4" borderId="2" xfId="0" applyNumberFormat="1" applyFont="1" applyFill="1" applyBorder="1" applyAlignment="1">
      <alignment horizontal="center"/>
    </xf>
    <xf numFmtId="166" fontId="0" fillId="4" borderId="2" xfId="0" applyNumberFormat="1" applyFill="1" applyBorder="1" applyAlignment="1">
      <alignment horizontal="center"/>
    </xf>
    <xf numFmtId="167" fontId="0" fillId="0" borderId="28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167" fontId="0" fillId="0" borderId="22" xfId="0" applyNumberForma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7" xfId="0" applyFill="1" applyBorder="1"/>
    <xf numFmtId="0" fontId="0" fillId="0" borderId="2" xfId="0" quotePrefix="1" applyFill="1" applyBorder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 vertical="center"/>
    </xf>
    <xf numFmtId="167" fontId="0" fillId="0" borderId="22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/>
    <xf numFmtId="166" fontId="0" fillId="4" borderId="2" xfId="0" applyNumberFormat="1" applyFill="1" applyBorder="1"/>
    <xf numFmtId="0" fontId="0" fillId="5" borderId="7" xfId="0" applyFill="1" applyBorder="1"/>
    <xf numFmtId="0" fontId="0" fillId="5" borderId="2" xfId="0" applyFill="1" applyBorder="1"/>
    <xf numFmtId="0" fontId="0" fillId="5" borderId="2" xfId="0" quotePrefix="1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166" fontId="0" fillId="5" borderId="8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167" fontId="0" fillId="5" borderId="2" xfId="0" applyNumberFormat="1" applyFill="1" applyBorder="1" applyAlignment="1">
      <alignment horizontal="center" vertical="center"/>
    </xf>
    <xf numFmtId="167" fontId="0" fillId="5" borderId="22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9" fontId="0" fillId="0" borderId="0" xfId="1" applyNumberFormat="1" applyFont="1"/>
    <xf numFmtId="0" fontId="0" fillId="0" borderId="31" xfId="0" applyBorder="1"/>
    <xf numFmtId="0" fontId="0" fillId="0" borderId="30" xfId="0" applyBorder="1"/>
    <xf numFmtId="0" fontId="0" fillId="0" borderId="0" xfId="0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14" xfId="0" applyBorder="1"/>
    <xf numFmtId="0" fontId="0" fillId="0" borderId="15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16" fontId="0" fillId="0" borderId="15" xfId="0" quotePrefix="1" applyNumberFormat="1" applyBorder="1"/>
    <xf numFmtId="0" fontId="0" fillId="0" borderId="15" xfId="0" quotePrefix="1" applyBorder="1"/>
    <xf numFmtId="0" fontId="0" fillId="0" borderId="19" xfId="0" quotePrefix="1" applyBorder="1"/>
    <xf numFmtId="1" fontId="0" fillId="0" borderId="26" xfId="0" applyNumberFormat="1" applyBorder="1"/>
    <xf numFmtId="0" fontId="0" fillId="0" borderId="26" xfId="0" quotePrefix="1" applyBorder="1"/>
    <xf numFmtId="0" fontId="0" fillId="0" borderId="30" xfId="0" applyFill="1" applyBorder="1"/>
    <xf numFmtId="0" fontId="0" fillId="0" borderId="8" xfId="0" applyFill="1" applyBorder="1"/>
    <xf numFmtId="0" fontId="0" fillId="0" borderId="22" xfId="0" applyFill="1" applyBorder="1"/>
    <xf numFmtId="0" fontId="0" fillId="0" borderId="0" xfId="0" quotePrefix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0" fontId="0" fillId="4" borderId="0" xfId="0" applyFill="1"/>
    <xf numFmtId="0" fontId="0" fillId="0" borderId="0" xfId="0" applyFill="1" applyBorder="1" applyAlignment="1">
      <alignment horizontal="right" vertical="center"/>
    </xf>
    <xf numFmtId="0" fontId="0" fillId="0" borderId="3" xfId="0" applyFont="1" applyBorder="1"/>
    <xf numFmtId="0" fontId="0" fillId="6" borderId="3" xfId="0" applyFont="1" applyFill="1" applyBorder="1"/>
    <xf numFmtId="0" fontId="0" fillId="0" borderId="15" xfId="0" applyBorder="1" applyAlignment="1"/>
    <xf numFmtId="0" fontId="0" fillId="0" borderId="24" xfId="0" applyBorder="1" applyAlignment="1"/>
    <xf numFmtId="0" fontId="0" fillId="0" borderId="0" xfId="0" applyFill="1" applyBorder="1" applyAlignment="1">
      <alignment horizontal="left" vertical="center"/>
    </xf>
    <xf numFmtId="9" fontId="0" fillId="0" borderId="0" xfId="1" applyFont="1"/>
    <xf numFmtId="0" fontId="3" fillId="0" borderId="0" xfId="0" applyFont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right"/>
    </xf>
    <xf numFmtId="168" fontId="0" fillId="0" borderId="0" xfId="0" applyNumberFormat="1"/>
    <xf numFmtId="0" fontId="0" fillId="0" borderId="35" xfId="0" applyBorder="1"/>
    <xf numFmtId="0" fontId="0" fillId="0" borderId="19" xfId="0" quotePrefix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5" fontId="0" fillId="0" borderId="0" xfId="0" applyNumberFormat="1"/>
    <xf numFmtId="165" fontId="3" fillId="0" borderId="0" xfId="0" applyNumberFormat="1" applyFont="1"/>
    <xf numFmtId="169" fontId="0" fillId="0" borderId="0" xfId="0" applyNumberFormat="1"/>
    <xf numFmtId="0" fontId="0" fillId="0" borderId="28" xfId="0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" fontId="0" fillId="4" borderId="0" xfId="0" applyNumberFormat="1" applyFill="1"/>
    <xf numFmtId="0" fontId="0" fillId="3" borderId="0" xfId="0" applyFill="1"/>
    <xf numFmtId="1" fontId="0" fillId="3" borderId="0" xfId="0" applyNumberFormat="1" applyFill="1"/>
    <xf numFmtId="0" fontId="3" fillId="0" borderId="0" xfId="0" applyFont="1" applyFill="1" applyAlignment="1">
      <alignment horizontal="center" vertical="center" wrapText="1"/>
    </xf>
    <xf numFmtId="166" fontId="0" fillId="3" borderId="0" xfId="0" applyNumberFormat="1" applyFill="1"/>
    <xf numFmtId="166" fontId="0" fillId="4" borderId="0" xfId="0" applyNumberFormat="1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wrapText="1"/>
    </xf>
    <xf numFmtId="0" fontId="3" fillId="0" borderId="24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9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double">
          <color auto="1"/>
        </left>
        <right style="thin">
          <color auto="1"/>
        </right>
        <top style="double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double">
          <color auto="1"/>
        </left>
        <right style="thin">
          <color auto="1"/>
        </right>
        <top style="double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double">
          <color auto="1"/>
        </left>
        <right style="thin">
          <color auto="1"/>
        </right>
        <top style="double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516468</xdr:colOff>
      <xdr:row>4</xdr:row>
      <xdr:rowOff>59266</xdr:rowOff>
    </xdr:from>
    <xdr:to>
      <xdr:col>31</xdr:col>
      <xdr:colOff>4235</xdr:colOff>
      <xdr:row>27</xdr:row>
      <xdr:rowOff>42332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DE1A2076-863F-440E-9176-C89659C724B9}"/>
            </a:ext>
          </a:extLst>
        </xdr:cNvPr>
        <xdr:cNvGrpSpPr/>
      </xdr:nvGrpSpPr>
      <xdr:grpSpPr>
        <a:xfrm>
          <a:off x="19902111" y="984552"/>
          <a:ext cx="3134481" cy="4155923"/>
          <a:chOff x="19714634" y="800100"/>
          <a:chExt cx="3170767" cy="4121149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F2772F1F-1995-4EC4-A794-23A798103868}"/>
              </a:ext>
            </a:extLst>
          </xdr:cNvPr>
          <xdr:cNvSpPr/>
        </xdr:nvSpPr>
        <xdr:spPr>
          <a:xfrm>
            <a:off x="20549943" y="800100"/>
            <a:ext cx="1244440" cy="531497"/>
          </a:xfrm>
          <a:prstGeom prst="ellips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Jenis Lantai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5AB3AC2-B239-48BB-A8CC-A63684CA7C1D}"/>
              </a:ext>
            </a:extLst>
          </xdr:cNvPr>
          <xdr:cNvSpPr/>
        </xdr:nvSpPr>
        <xdr:spPr>
          <a:xfrm>
            <a:off x="19740205" y="1797680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Tidak Layak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4BD6230-779D-45E8-8DD3-7C6AB2BF0FDD}"/>
              </a:ext>
            </a:extLst>
          </xdr:cNvPr>
          <xdr:cNvSpPr/>
        </xdr:nvSpPr>
        <xdr:spPr>
          <a:xfrm>
            <a:off x="21828479" y="1773149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Layak</a:t>
            </a:r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D4D70B13-4EDA-4120-BEF5-7C2E3E063B73}"/>
              </a:ext>
            </a:extLst>
          </xdr:cNvPr>
          <xdr:cNvCxnSpPr>
            <a:stCxn id="4" idx="0"/>
            <a:endCxn id="3" idx="3"/>
          </xdr:cNvCxnSpPr>
        </xdr:nvCxnSpPr>
        <xdr:spPr>
          <a:xfrm flipV="1">
            <a:off x="20179168" y="1253762"/>
            <a:ext cx="553019" cy="5439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93AC76CD-89F7-4612-9224-9C5280F7E93A}"/>
              </a:ext>
            </a:extLst>
          </xdr:cNvPr>
          <xdr:cNvCxnSpPr>
            <a:stCxn id="3" idx="5"/>
            <a:endCxn id="5" idx="0"/>
          </xdr:cNvCxnSpPr>
        </xdr:nvCxnSpPr>
        <xdr:spPr>
          <a:xfrm>
            <a:off x="21612140" y="1253762"/>
            <a:ext cx="655303" cy="51938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38F25D92-13F8-4DDC-8CB1-4E6BEA9AD196}"/>
              </a:ext>
            </a:extLst>
          </xdr:cNvPr>
          <xdr:cNvSpPr/>
        </xdr:nvSpPr>
        <xdr:spPr>
          <a:xfrm>
            <a:off x="20157860" y="1397012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Rendah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88A6BA4E-0E6D-4589-A482-17B3547A0C99}"/>
              </a:ext>
            </a:extLst>
          </xdr:cNvPr>
          <xdr:cNvSpPr/>
        </xdr:nvSpPr>
        <xdr:spPr>
          <a:xfrm>
            <a:off x="21683579" y="1397012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Tinggi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E51AF7A8-247A-4D98-AAD5-469358613DBC}"/>
              </a:ext>
            </a:extLst>
          </xdr:cNvPr>
          <xdr:cNvSpPr/>
        </xdr:nvSpPr>
        <xdr:spPr>
          <a:xfrm>
            <a:off x="20379471" y="2214701"/>
            <a:ext cx="1610954" cy="531497"/>
          </a:xfrm>
          <a:prstGeom prst="ellips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Jml</a:t>
            </a:r>
            <a:r>
              <a:rPr lang="en-ID" sz="1100" baseline="0"/>
              <a:t> Tanggungan</a:t>
            </a:r>
            <a:endParaRPr lang="en-ID" sz="1100"/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BF5F2265-F7BE-4B9A-860D-2A22E42B7360}"/>
              </a:ext>
            </a:extLst>
          </xdr:cNvPr>
          <xdr:cNvCxnSpPr>
            <a:stCxn id="3" idx="4"/>
            <a:endCxn id="10" idx="0"/>
          </xdr:cNvCxnSpPr>
        </xdr:nvCxnSpPr>
        <xdr:spPr>
          <a:xfrm>
            <a:off x="21172164" y="1331597"/>
            <a:ext cx="12784" cy="88310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337C4D3E-CD9E-41B2-BDC3-84E86D6834FD}"/>
              </a:ext>
            </a:extLst>
          </xdr:cNvPr>
          <xdr:cNvSpPr/>
        </xdr:nvSpPr>
        <xdr:spPr>
          <a:xfrm>
            <a:off x="20856793" y="1576904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Sedang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6D6CE7CB-8CEA-48EA-9CA4-499308F1C91E}"/>
              </a:ext>
            </a:extLst>
          </xdr:cNvPr>
          <xdr:cNvSpPr/>
        </xdr:nvSpPr>
        <xdr:spPr>
          <a:xfrm>
            <a:off x="19714634" y="3228634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Layak</a:t>
            </a:r>
          </a:p>
        </xdr:txBody>
      </xdr: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55BA44AF-D762-4AE3-AA68-27952F7E1C76}"/>
              </a:ext>
            </a:extLst>
          </xdr:cNvPr>
          <xdr:cNvCxnSpPr>
            <a:stCxn id="13" idx="0"/>
          </xdr:cNvCxnSpPr>
        </xdr:nvCxnSpPr>
        <xdr:spPr>
          <a:xfrm flipV="1">
            <a:off x="20153597" y="2684716"/>
            <a:ext cx="553019" cy="5439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3065B801-401F-41E4-8441-EDC4953D963D}"/>
              </a:ext>
            </a:extLst>
          </xdr:cNvPr>
          <xdr:cNvSpPr/>
        </xdr:nvSpPr>
        <xdr:spPr>
          <a:xfrm>
            <a:off x="20132289" y="2827966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Sedang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E7E29648-ABBD-4D49-B063-F501B5E4211B}"/>
              </a:ext>
            </a:extLst>
          </xdr:cNvPr>
          <xdr:cNvSpPr/>
        </xdr:nvSpPr>
        <xdr:spPr>
          <a:xfrm>
            <a:off x="21888145" y="3195927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Layak</a:t>
            </a:r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542D4850-EC80-4020-9915-FF3669BF2788}"/>
              </a:ext>
            </a:extLst>
          </xdr:cNvPr>
          <xdr:cNvCxnSpPr>
            <a:endCxn id="16" idx="0"/>
          </xdr:cNvCxnSpPr>
        </xdr:nvCxnSpPr>
        <xdr:spPr>
          <a:xfrm>
            <a:off x="21671805" y="2676540"/>
            <a:ext cx="655303" cy="51938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A2A2DDDD-1B3E-4F04-828F-B917CAA827FA}"/>
              </a:ext>
            </a:extLst>
          </xdr:cNvPr>
          <xdr:cNvSpPr/>
        </xdr:nvSpPr>
        <xdr:spPr>
          <a:xfrm>
            <a:off x="21743244" y="2827967"/>
            <a:ext cx="1048397" cy="237129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Sangat</a:t>
            </a:r>
            <a:r>
              <a:rPr lang="en-ID" sz="1100" baseline="0"/>
              <a:t> Sedikit</a:t>
            </a:r>
            <a:endParaRPr lang="en-ID" sz="1100"/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9D0195A1-534A-4EB3-A0D5-22193FC9C978}"/>
              </a:ext>
            </a:extLst>
          </xdr:cNvPr>
          <xdr:cNvCxnSpPr/>
        </xdr:nvCxnSpPr>
        <xdr:spPr>
          <a:xfrm>
            <a:off x="21189211" y="2754375"/>
            <a:ext cx="12784" cy="88310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DE9C1CE-AC6F-4E9E-BE45-77C606124727}"/>
              </a:ext>
            </a:extLst>
          </xdr:cNvPr>
          <xdr:cNvSpPr/>
        </xdr:nvSpPr>
        <xdr:spPr>
          <a:xfrm>
            <a:off x="20890887" y="2885205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Sedikit</a:t>
            </a:r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D050271-B9AC-4B54-AEA3-21B5D977162F}"/>
              </a:ext>
            </a:extLst>
          </xdr:cNvPr>
          <xdr:cNvSpPr/>
        </xdr:nvSpPr>
        <xdr:spPr>
          <a:xfrm>
            <a:off x="20387994" y="3629302"/>
            <a:ext cx="1610954" cy="531497"/>
          </a:xfrm>
          <a:prstGeom prst="ellips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Luas</a:t>
            </a:r>
            <a:r>
              <a:rPr lang="en-ID" sz="1100" baseline="0"/>
              <a:t> Rumah</a:t>
            </a:r>
            <a:endParaRPr lang="en-ID" sz="1100"/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8B02CE9F-1AFE-4B8E-9320-5182CAC9F515}"/>
              </a:ext>
            </a:extLst>
          </xdr:cNvPr>
          <xdr:cNvSpPr/>
        </xdr:nvSpPr>
        <xdr:spPr>
          <a:xfrm>
            <a:off x="19740205" y="4651412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 baseline="0"/>
              <a:t>Layak</a:t>
            </a:r>
          </a:p>
          <a:p>
            <a:pPr algn="ctr"/>
            <a:endParaRPr lang="en-ID" sz="1100"/>
          </a:p>
        </xdr:txBody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A81DE475-CBFB-4925-97AE-4851AA0733DD}"/>
              </a:ext>
            </a:extLst>
          </xdr:cNvPr>
          <xdr:cNvCxnSpPr>
            <a:cxnSpLocks/>
            <a:stCxn id="22" idx="0"/>
          </xdr:cNvCxnSpPr>
        </xdr:nvCxnSpPr>
        <xdr:spPr>
          <a:xfrm flipV="1">
            <a:off x="20179168" y="4107494"/>
            <a:ext cx="553019" cy="5439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D32BD928-14E4-49B9-871F-E42D1614FCF7}"/>
              </a:ext>
            </a:extLst>
          </xdr:cNvPr>
          <xdr:cNvSpPr/>
        </xdr:nvSpPr>
        <xdr:spPr>
          <a:xfrm>
            <a:off x="19977944" y="4243917"/>
            <a:ext cx="998223" cy="260311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Sangat tinggi</a:t>
            </a:r>
            <a:r>
              <a:rPr lang="en-ID" sz="1100" baseline="0"/>
              <a:t> Tinggi</a:t>
            </a:r>
            <a:endParaRPr lang="en-ID" sz="1100"/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C57C62D7-86C6-47C3-83D0-15362BC384D7}"/>
              </a:ext>
            </a:extLst>
          </xdr:cNvPr>
          <xdr:cNvSpPr/>
        </xdr:nvSpPr>
        <xdr:spPr>
          <a:xfrm>
            <a:off x="22007474" y="4594174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Tidak</a:t>
            </a:r>
            <a:r>
              <a:rPr lang="en-ID" sz="1100" baseline="0"/>
              <a:t> Layak</a:t>
            </a:r>
            <a:endParaRPr lang="en-ID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4ED5856A-6086-4471-AC6F-11DB9D7045FF}"/>
              </a:ext>
            </a:extLst>
          </xdr:cNvPr>
          <xdr:cNvCxnSpPr>
            <a:endCxn id="25" idx="0"/>
          </xdr:cNvCxnSpPr>
        </xdr:nvCxnSpPr>
        <xdr:spPr>
          <a:xfrm>
            <a:off x="21791135" y="4074787"/>
            <a:ext cx="655303" cy="51938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BFE4052-80EF-4387-914A-E3C7718DBC97}"/>
              </a:ext>
            </a:extLst>
          </xdr:cNvPr>
          <xdr:cNvSpPr/>
        </xdr:nvSpPr>
        <xdr:spPr>
          <a:xfrm>
            <a:off x="21862574" y="4226214"/>
            <a:ext cx="656313" cy="237129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Tinggi</a:t>
            </a:r>
            <a:r>
              <a:rPr lang="en-ID" sz="1100" baseline="0"/>
              <a:t> </a:t>
            </a:r>
            <a:endParaRPr lang="en-ID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34323</xdr:colOff>
      <xdr:row>5</xdr:row>
      <xdr:rowOff>51487</xdr:rowOff>
    </xdr:from>
    <xdr:to>
      <xdr:col>49</xdr:col>
      <xdr:colOff>536374</xdr:colOff>
      <xdr:row>21</xdr:row>
      <xdr:rowOff>723042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409C085-68D1-475B-930F-5916B7C186DE}"/>
            </a:ext>
          </a:extLst>
        </xdr:cNvPr>
        <xdr:cNvGrpSpPr/>
      </xdr:nvGrpSpPr>
      <xdr:grpSpPr>
        <a:xfrm>
          <a:off x="24696350" y="952501"/>
          <a:ext cx="3170767" cy="4121149"/>
          <a:chOff x="19714634" y="800100"/>
          <a:chExt cx="3170767" cy="4121149"/>
        </a:xfrm>
      </xdr:grpSpPr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C85EF417-1134-4924-97CD-2F70F14BD59A}"/>
              </a:ext>
            </a:extLst>
          </xdr:cNvPr>
          <xdr:cNvSpPr/>
        </xdr:nvSpPr>
        <xdr:spPr>
          <a:xfrm>
            <a:off x="20549943" y="800100"/>
            <a:ext cx="1244440" cy="531497"/>
          </a:xfrm>
          <a:prstGeom prst="ellips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Jenis Lantai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15D14982-3FF6-4B66-A334-70D58549E6B3}"/>
              </a:ext>
            </a:extLst>
          </xdr:cNvPr>
          <xdr:cNvSpPr/>
        </xdr:nvSpPr>
        <xdr:spPr>
          <a:xfrm>
            <a:off x="19740205" y="1797680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Tidak Layak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2419EE87-1824-4A00-A3A8-A90A02255158}"/>
              </a:ext>
            </a:extLst>
          </xdr:cNvPr>
          <xdr:cNvSpPr/>
        </xdr:nvSpPr>
        <xdr:spPr>
          <a:xfrm>
            <a:off x="21828479" y="1773149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Layak</a:t>
            </a:r>
          </a:p>
        </xdr:txBody>
      </xdr: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99E9A045-4A65-4C1F-9F57-678D9A0C7CB9}"/>
              </a:ext>
            </a:extLst>
          </xdr:cNvPr>
          <xdr:cNvCxnSpPr>
            <a:stCxn id="5" idx="0"/>
            <a:endCxn id="4" idx="3"/>
          </xdr:cNvCxnSpPr>
        </xdr:nvCxnSpPr>
        <xdr:spPr>
          <a:xfrm flipV="1">
            <a:off x="20179168" y="1253762"/>
            <a:ext cx="553019" cy="5439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ABF14C13-E759-4231-A9D5-F544CDD48CBE}"/>
              </a:ext>
            </a:extLst>
          </xdr:cNvPr>
          <xdr:cNvCxnSpPr>
            <a:stCxn id="4" idx="5"/>
            <a:endCxn id="6" idx="0"/>
          </xdr:cNvCxnSpPr>
        </xdr:nvCxnSpPr>
        <xdr:spPr>
          <a:xfrm>
            <a:off x="21612140" y="1253762"/>
            <a:ext cx="655303" cy="51938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DC934A6-7783-4DF8-AA09-68F9217012BE}"/>
              </a:ext>
            </a:extLst>
          </xdr:cNvPr>
          <xdr:cNvSpPr/>
        </xdr:nvSpPr>
        <xdr:spPr>
          <a:xfrm>
            <a:off x="20157860" y="1397012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Rendah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4B1A585-8EE8-46A3-8A8D-07EE0F7F07AE}"/>
              </a:ext>
            </a:extLst>
          </xdr:cNvPr>
          <xdr:cNvSpPr/>
        </xdr:nvSpPr>
        <xdr:spPr>
          <a:xfrm>
            <a:off x="21683579" y="1397012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Tinggi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4526A30E-F759-434A-9AF0-61069C6EB53C}"/>
              </a:ext>
            </a:extLst>
          </xdr:cNvPr>
          <xdr:cNvSpPr/>
        </xdr:nvSpPr>
        <xdr:spPr>
          <a:xfrm>
            <a:off x="20379471" y="2214701"/>
            <a:ext cx="1610954" cy="531497"/>
          </a:xfrm>
          <a:prstGeom prst="ellips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Jml</a:t>
            </a:r>
            <a:r>
              <a:rPr lang="en-ID" sz="1100" baseline="0"/>
              <a:t> Tanggungan</a:t>
            </a:r>
            <a:endParaRPr lang="en-ID" sz="1100"/>
          </a:p>
        </xdr:txBody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B045CBE7-C58F-4F0D-8E68-B82B695D8A97}"/>
              </a:ext>
            </a:extLst>
          </xdr:cNvPr>
          <xdr:cNvCxnSpPr>
            <a:stCxn id="4" idx="4"/>
            <a:endCxn id="11" idx="0"/>
          </xdr:cNvCxnSpPr>
        </xdr:nvCxnSpPr>
        <xdr:spPr>
          <a:xfrm>
            <a:off x="21172164" y="1331597"/>
            <a:ext cx="12784" cy="88310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5A17C17-45AE-4EF4-8024-FF863D157D7E}"/>
              </a:ext>
            </a:extLst>
          </xdr:cNvPr>
          <xdr:cNvSpPr/>
        </xdr:nvSpPr>
        <xdr:spPr>
          <a:xfrm>
            <a:off x="20856793" y="1576904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Sedang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1385501C-0D1F-471E-8198-EB1F1B0EFF21}"/>
              </a:ext>
            </a:extLst>
          </xdr:cNvPr>
          <xdr:cNvSpPr/>
        </xdr:nvSpPr>
        <xdr:spPr>
          <a:xfrm>
            <a:off x="19714634" y="3228634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Layak</a:t>
            </a:r>
          </a:p>
        </xdr:txBody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3F944E44-E81B-43E1-B2AB-02B8D66719E9}"/>
              </a:ext>
            </a:extLst>
          </xdr:cNvPr>
          <xdr:cNvCxnSpPr>
            <a:stCxn id="14" idx="0"/>
          </xdr:cNvCxnSpPr>
        </xdr:nvCxnSpPr>
        <xdr:spPr>
          <a:xfrm flipV="1">
            <a:off x="20153597" y="2684716"/>
            <a:ext cx="553019" cy="5439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6689991F-A875-4F54-A213-171D1862410F}"/>
              </a:ext>
            </a:extLst>
          </xdr:cNvPr>
          <xdr:cNvSpPr/>
        </xdr:nvSpPr>
        <xdr:spPr>
          <a:xfrm>
            <a:off x="20132289" y="2827966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Sedang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9EE05CB1-777A-45C3-AA1A-B86553BE3C6F}"/>
              </a:ext>
            </a:extLst>
          </xdr:cNvPr>
          <xdr:cNvSpPr/>
        </xdr:nvSpPr>
        <xdr:spPr>
          <a:xfrm>
            <a:off x="21888145" y="3195927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Layak</a:t>
            </a:r>
          </a:p>
        </xdr:txBody>
      </xdr: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E0389F2F-0607-481C-A38B-086EE726CEB1}"/>
              </a:ext>
            </a:extLst>
          </xdr:cNvPr>
          <xdr:cNvCxnSpPr>
            <a:endCxn id="17" idx="0"/>
          </xdr:cNvCxnSpPr>
        </xdr:nvCxnSpPr>
        <xdr:spPr>
          <a:xfrm>
            <a:off x="21671805" y="2676540"/>
            <a:ext cx="655303" cy="51938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7FE0E615-E4BF-40C7-9BCA-8641B33092E4}"/>
              </a:ext>
            </a:extLst>
          </xdr:cNvPr>
          <xdr:cNvSpPr/>
        </xdr:nvSpPr>
        <xdr:spPr>
          <a:xfrm>
            <a:off x="21743244" y="2827967"/>
            <a:ext cx="1048397" cy="237129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Sangat</a:t>
            </a:r>
            <a:r>
              <a:rPr lang="en-ID" sz="1100" baseline="0"/>
              <a:t> Sedikit</a:t>
            </a:r>
            <a:endParaRPr lang="en-ID" sz="1100"/>
          </a:p>
        </xdr:txBody>
      </xdr: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BE6A9A62-4D13-4BB1-B73D-F713AFA0F9A4}"/>
              </a:ext>
            </a:extLst>
          </xdr:cNvPr>
          <xdr:cNvCxnSpPr/>
        </xdr:nvCxnSpPr>
        <xdr:spPr>
          <a:xfrm>
            <a:off x="21189211" y="2754375"/>
            <a:ext cx="12784" cy="88310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FFAB109D-4DAD-4D24-8647-698AB0B8E70B}"/>
              </a:ext>
            </a:extLst>
          </xdr:cNvPr>
          <xdr:cNvSpPr/>
        </xdr:nvSpPr>
        <xdr:spPr>
          <a:xfrm>
            <a:off x="20890887" y="2885205"/>
            <a:ext cx="647790" cy="2534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Sedikit</a:t>
            </a:r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3DDD9598-8ED1-464D-A6D7-EA42045FB71A}"/>
              </a:ext>
            </a:extLst>
          </xdr:cNvPr>
          <xdr:cNvSpPr/>
        </xdr:nvSpPr>
        <xdr:spPr>
          <a:xfrm>
            <a:off x="20387994" y="3629302"/>
            <a:ext cx="1610954" cy="531497"/>
          </a:xfrm>
          <a:prstGeom prst="ellips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Luas</a:t>
            </a:r>
            <a:r>
              <a:rPr lang="en-ID" sz="1100" baseline="0"/>
              <a:t> Rumah</a:t>
            </a:r>
            <a:endParaRPr lang="en-ID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5BDD4BED-D34F-4CDD-9F31-D9FC98222FB4}"/>
              </a:ext>
            </a:extLst>
          </xdr:cNvPr>
          <xdr:cNvSpPr/>
        </xdr:nvSpPr>
        <xdr:spPr>
          <a:xfrm>
            <a:off x="19740205" y="4651412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 baseline="0"/>
              <a:t>Layak</a:t>
            </a:r>
          </a:p>
          <a:p>
            <a:pPr algn="ctr"/>
            <a:endParaRPr lang="en-ID" sz="1100"/>
          </a:p>
        </xdr:txBody>
      </xdr: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B5578E9F-F918-42B6-811D-3983D7FDC57F}"/>
              </a:ext>
            </a:extLst>
          </xdr:cNvPr>
          <xdr:cNvCxnSpPr>
            <a:cxnSpLocks/>
            <a:stCxn id="23" idx="0"/>
          </xdr:cNvCxnSpPr>
        </xdr:nvCxnSpPr>
        <xdr:spPr>
          <a:xfrm flipV="1">
            <a:off x="20179168" y="4107494"/>
            <a:ext cx="553019" cy="5439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19CA6D62-4FA7-4CBA-8F14-A89C65B723EB}"/>
              </a:ext>
            </a:extLst>
          </xdr:cNvPr>
          <xdr:cNvSpPr/>
        </xdr:nvSpPr>
        <xdr:spPr>
          <a:xfrm>
            <a:off x="19977944" y="4243917"/>
            <a:ext cx="998223" cy="260311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D" sz="1100"/>
              <a:t>Sangat tinggi</a:t>
            </a:r>
            <a:r>
              <a:rPr lang="en-ID" sz="1100" baseline="0"/>
              <a:t> Tinggi</a:t>
            </a:r>
            <a:endParaRPr lang="en-ID" sz="1100"/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BB11C988-37A8-4257-9AA7-3089A5D10922}"/>
              </a:ext>
            </a:extLst>
          </xdr:cNvPr>
          <xdr:cNvSpPr/>
        </xdr:nvSpPr>
        <xdr:spPr>
          <a:xfrm>
            <a:off x="22007474" y="4594174"/>
            <a:ext cx="877927" cy="26983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Tidak</a:t>
            </a:r>
            <a:r>
              <a:rPr lang="en-ID" sz="1100" baseline="0"/>
              <a:t> Layak</a:t>
            </a:r>
            <a:endParaRPr lang="en-ID" sz="1100"/>
          </a:p>
        </xdr:txBody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6483B5CE-5509-4CAF-BAEF-2B43F174E8D5}"/>
              </a:ext>
            </a:extLst>
          </xdr:cNvPr>
          <xdr:cNvCxnSpPr>
            <a:endCxn id="26" idx="0"/>
          </xdr:cNvCxnSpPr>
        </xdr:nvCxnSpPr>
        <xdr:spPr>
          <a:xfrm>
            <a:off x="21791135" y="4074787"/>
            <a:ext cx="655303" cy="51938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8C853B00-7613-4F25-844A-F613499B22F4}"/>
              </a:ext>
            </a:extLst>
          </xdr:cNvPr>
          <xdr:cNvSpPr/>
        </xdr:nvSpPr>
        <xdr:spPr>
          <a:xfrm>
            <a:off x="21862574" y="4226214"/>
            <a:ext cx="656313" cy="237129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100"/>
              <a:t>Tinggi</a:t>
            </a:r>
            <a:r>
              <a:rPr lang="en-ID" sz="1100" baseline="0"/>
              <a:t> </a:t>
            </a:r>
            <a:endParaRPr lang="en-ID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726B8-97DC-4F76-B402-48306467F524}" name="Table1" displayName="Table1" ref="A5:O104" totalsRowShown="0" headerRowDxfId="78" dataDxfId="77" tableBorderDxfId="76">
  <autoFilter ref="A5:O104" xr:uid="{C5C726B8-97DC-4F76-B402-48306467F524}"/>
  <tableColumns count="15">
    <tableColumn id="1" xr3:uid="{036B62F2-8F3A-4D0C-B535-9D7D54802F1E}" name="No. " dataDxfId="75"/>
    <tableColumn id="2" xr3:uid="{419DC60B-46AC-439D-A43B-28B698FAEC3A}" name="No KK " dataDxfId="74"/>
    <tableColumn id="3" xr3:uid="{CE4C04B6-D438-4FB2-A7A0-4D44C7210694}" name="Nama Kepala Keluarga " dataDxfId="73"/>
    <tableColumn id="4" xr3:uid="{215D21BC-91F5-4307-89E6-15F76AE320E8}" name="RT / RW" dataDxfId="72"/>
    <tableColumn id="5" xr3:uid="{40B63CEE-C348-4E6E-9554-B8C6E28E74BD}" name="Penghasilan " dataDxfId="71"/>
    <tableColumn id="6" xr3:uid="{6037A4F6-115A-4FFC-A6F2-712745B0CEEE}" name="Luas Rumah" dataDxfId="70"/>
    <tableColumn id="7" xr3:uid="{0402BC43-ED2C-42EF-A2D0-3B596EBBA985}" name="Status Kepemilikan Rumah " dataDxfId="69"/>
    <tableColumn id="8" xr3:uid="{ACF32A77-D404-4243-86C1-2416FC965E73}" name="Sumber Air" dataDxfId="68"/>
    <tableColumn id="9" xr3:uid="{BCB907C2-7863-4906-9FCD-B8DDB2CABB40}" name="ibu Hamil / menyusui" dataDxfId="67"/>
    <tableColumn id="10" xr3:uid="{B9C0188A-6046-4653-BCE2-5C55EC93C70E}" name="lansia" dataDxfId="66"/>
    <tableColumn id="11" xr3:uid="{8B268638-2A86-4535-86F5-F0B0077F09D7}" name="jumlah tanggungan (Anak)" dataDxfId="65"/>
    <tableColumn id="12" xr3:uid="{1C0C1922-5B6F-4524-B0B2-104A45C9C03C}" name="jenis dinding" dataDxfId="64"/>
    <tableColumn id="13" xr3:uid="{1A953922-8F94-4370-9882-D9D0278081EF}" name="jenis lantai " dataDxfId="63"/>
    <tableColumn id="14" xr3:uid="{DEF07573-0466-4209-B963-E0BEBC14DFB9}" name="jenis atap" dataDxfId="62"/>
    <tableColumn id="15" xr3:uid="{A2B2E90A-232E-4622-942D-A7DD435B5211}" name="Keputusan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4A259D-9363-4F2C-8C6D-0C10F7588600}" name="Table2" displayName="Table2" ref="A5:E61" totalsRowShown="0" headerRowDxfId="60" headerRowBorderDxfId="59" tableBorderDxfId="58" totalsRowBorderDxfId="57">
  <autoFilter ref="A5:E61" xr:uid="{F94A259D-9363-4F2C-8C6D-0C10F7588600}"/>
  <tableColumns count="5">
    <tableColumn id="1" xr3:uid="{ACCA8D7E-F8FD-424D-8B03-3C5D65350F22}" name="No" dataDxfId="56"/>
    <tableColumn id="2" xr3:uid="{F7144EB0-8B3A-4436-90A6-A85BE1581FDD}" name="No KK" dataDxfId="55"/>
    <tableColumn id="3" xr3:uid="{142E8711-38EE-4E93-96D8-3F9A390521C8}" name="Nama Kepala Keluarga " dataDxfId="54"/>
    <tableColumn id="4" xr3:uid="{744D9D86-AC5C-4C63-8D79-01729BDF00E0}" name="Penghasilan" dataDxfId="53"/>
    <tableColumn id="5" xr3:uid="{FCD61A2F-3221-4CE0-B679-1473D92478C7}" name="RT / RW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F14FED-55D1-4235-80A4-198FF23823B0}" name="Table14" displayName="Table14" ref="A2:P95" totalsRowShown="0" headerRowDxfId="51" tableBorderDxfId="50">
  <autoFilter ref="A2:P95" xr:uid="{18F14FED-55D1-4235-80A4-198FF23823B0}"/>
  <tableColumns count="16">
    <tableColumn id="1" xr3:uid="{1AC7E58A-FAC1-498B-83CB-07E1C84CEE41}" name="No. " dataDxfId="49"/>
    <tableColumn id="2" xr3:uid="{DD54A68A-9CEA-420E-A4B2-1FB735DFB016}" name="No KK " dataDxfId="48"/>
    <tableColumn id="3" xr3:uid="{BA418D33-97D6-41E8-AD7B-ECC675614177}" name="Nama Kepala Keluarga " dataDxfId="47"/>
    <tableColumn id="4" xr3:uid="{1E611359-0DDB-4B52-AE15-96C27FB90024}" name="RT / RW" dataDxfId="46"/>
    <tableColumn id="5" xr3:uid="{16E1CAB2-E606-4444-A63A-0AB8A41CE535}" name="Penghasilan " dataDxfId="45"/>
    <tableColumn id="6" xr3:uid="{2B0084C8-D69F-4C33-AC56-FC9FFF184B12}" name="Luas Rumah" dataDxfId="44">
      <calculatedColumnFormula>'B.kriteria &amp; R.kecocokan'!$B$34</calculatedColumnFormula>
    </tableColumn>
    <tableColumn id="7" xr3:uid="{6BF84AE0-B82F-4A77-843F-267DBD20084F}" name="Status Kepemilikan Rumah " dataDxfId="43">
      <calculatedColumnFormula>'B.kriteria &amp; R.kecocokan'!$B$41</calculatedColumnFormula>
    </tableColumn>
    <tableColumn id="8" xr3:uid="{80703300-9A72-476E-8F6F-3F41AD5B66AA}" name="Sumber Air" dataDxfId="42">
      <calculatedColumnFormula>'B.kriteria &amp; R.kecocokan'!$B$72</calculatedColumnFormula>
    </tableColumn>
    <tableColumn id="9" xr3:uid="{20A4E5D2-124C-4B45-8457-E5F7CB3871FD}" name="ibu Hamil / menyusui" dataDxfId="41">
      <calculatedColumnFormula>'B.kriteria &amp; R.kecocokan'!$B$95</calculatedColumnFormula>
    </tableColumn>
    <tableColumn id="10" xr3:uid="{E6182698-C721-48F0-BF24-D18BD514B4F6}" name="lansia" dataDxfId="40"/>
    <tableColumn id="11" xr3:uid="{DE993502-B413-4066-B636-3A9219852F16}" name="jumlah tanggungan (Anak)" dataDxfId="39"/>
    <tableColumn id="12" xr3:uid="{B40E68CC-6734-4981-9E78-CCB2A1D4AEF1}" name="jenis dinding" dataDxfId="38">
      <calculatedColumnFormula>'B.kriteria &amp; R.kecocokan'!$B$49</calculatedColumnFormula>
    </tableColumn>
    <tableColumn id="13" xr3:uid="{6080903C-C362-4286-A078-C4342A499000}" name="jenis lantai " dataDxfId="37"/>
    <tableColumn id="14" xr3:uid="{FBAF9DB4-C32E-4AC8-8ED7-D1C72083C179}" name="jenis atap" dataDxfId="36">
      <calculatedColumnFormula>'B.kriteria &amp; R.kecocokan'!$B$65</calculatedColumnFormula>
    </tableColumn>
    <tableColumn id="15" xr3:uid="{7224B5F3-4074-4669-B631-B407EE3E33FC}" name="Keputusan" dataDxfId="35"/>
    <tableColumn id="16" xr3:uid="{92FD968D-2479-4ABB-8053-75153473441E}" name="Keputusan Prekdisi" dataDxfId="34">
      <calculatedColumnFormula>_xlfn.IFS(M3="Rendah","Tidak",M3="Tinggi","Layak",M3="sedang",IF(OR(K3="Sedang",K3="Sangat Sedikit"),"Layak",IF(F3="Sangat Tinggi","Layak"," Tidak")))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90C1B3-2D77-404A-9C86-683D7AECB450}" name="Table13" displayName="Table13" ref="A98:O191" totalsRowShown="0" headerRowDxfId="33" tableBorderDxfId="32">
  <autoFilter ref="A98:O191" xr:uid="{A290C1B3-2D77-404A-9C86-683D7AECB450}"/>
  <tableColumns count="15">
    <tableColumn id="1" xr3:uid="{44D5FF13-55BF-4C0F-A92C-33384CA768CB}" name="No. " dataDxfId="31"/>
    <tableColumn id="2" xr3:uid="{9FC6B9F0-8A86-4F72-92FD-D3DF0E067F31}" name="No KK " dataDxfId="30"/>
    <tableColumn id="3" xr3:uid="{CE24D736-0341-4E98-B385-9D6F4A2DAD80}" name="Nama Kepala Keluarga " dataDxfId="29"/>
    <tableColumn id="4" xr3:uid="{CDFFD7A0-D2B7-4032-930F-9A81C4B5C7D4}" name="RT / RW" dataDxfId="28"/>
    <tableColumn id="5" xr3:uid="{1279337B-98EC-4579-89F4-8A01D157CFBE}" name="Penghasilan " dataDxfId="27"/>
    <tableColumn id="6" xr3:uid="{A823008E-CFB4-4A11-85AA-A56D4A68D90A}" name="Luas Rumah" dataDxfId="26">
      <calculatedColumnFormula>'B.kriteria &amp; R.kecocokan'!$B$34</calculatedColumnFormula>
    </tableColumn>
    <tableColumn id="7" xr3:uid="{BF2D0313-BAFF-4245-AE7C-12E22857B403}" name="Status Kepemilikan Rumah " dataDxfId="25">
      <calculatedColumnFormula>'B.kriteria &amp; R.kecocokan'!$B$41</calculatedColumnFormula>
    </tableColumn>
    <tableColumn id="8" xr3:uid="{8CF17A94-FE9F-47CD-A460-6579375F5610}" name="Sumber Air" dataDxfId="24">
      <calculatedColumnFormula>'B.kriteria &amp; R.kecocokan'!$B$72</calculatedColumnFormula>
    </tableColumn>
    <tableColumn id="9" xr3:uid="{FB775D61-6E41-4C9C-9D7C-7CED2A3CF98D}" name="ibu Hamil / menyusui" dataDxfId="23">
      <calculatedColumnFormula>'B.kriteria &amp; R.kecocokan'!$B$95</calculatedColumnFormula>
    </tableColumn>
    <tableColumn id="10" xr3:uid="{B474C1BE-B603-4456-87D4-93D880018CA3}" name="lansia" dataDxfId="22"/>
    <tableColumn id="11" xr3:uid="{EB4A8AB7-EB6B-4946-9F6A-90A485AE58DF}" name="jumlah tanggungan (Anak)" dataDxfId="21"/>
    <tableColumn id="12" xr3:uid="{A18D171F-FEE3-4BB6-8EFA-074FD5FBA16A}" name="jenis dinding" dataDxfId="20">
      <calculatedColumnFormula>'B.kriteria &amp; R.kecocokan'!$B$49</calculatedColumnFormula>
    </tableColumn>
    <tableColumn id="13" xr3:uid="{18624F55-3A52-4F32-8BF9-BB9954FA877E}" name="jenis lantai " dataDxfId="19"/>
    <tableColumn id="14" xr3:uid="{CFB8F92C-32D6-49FB-B753-44D1B23E8531}" name="jenis atap" dataDxfId="18">
      <calculatedColumnFormula>'B.kriteria &amp; R.kecocokan'!$B$65</calculatedColumnFormula>
    </tableColumn>
    <tableColumn id="15" xr3:uid="{04F53E12-5A5F-4D7A-8D88-9B5363579BE3}" name="Keputusan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E31223-3D2C-4CE3-89F3-08850CE9AF7E}" name="Table15" displayName="Table15" ref="A217:O310" totalsRowShown="0" headerRowDxfId="16" tableBorderDxfId="15">
  <autoFilter ref="A217:O310" xr:uid="{15E31223-3D2C-4CE3-89F3-08850CE9AF7E}"/>
  <tableColumns count="15">
    <tableColumn id="1" xr3:uid="{C68F27CA-ED3C-4B19-8443-890FD8904667}" name="No. " dataDxfId="14"/>
    <tableColumn id="2" xr3:uid="{017046C8-4293-4675-B801-B0077EAB5E24}" name="No KK " dataDxfId="13"/>
    <tableColumn id="3" xr3:uid="{6241CF4F-1967-49F4-89B7-496E387DCF98}" name="Nama Kepala Keluarga " dataDxfId="12"/>
    <tableColumn id="4" xr3:uid="{BFF88AAB-9191-480F-9506-4A56000436C5}" name="RT / RW" dataDxfId="11"/>
    <tableColumn id="5" xr3:uid="{6E6AA051-981F-4776-9D45-7C89593AE76D}" name="Penghasilan " dataDxfId="10"/>
    <tableColumn id="6" xr3:uid="{78BF5CFB-35E0-4F88-B79C-C3BCEA00B876}" name="Luas Rumah" dataDxfId="9">
      <calculatedColumnFormula>'B.kriteria &amp; R.kecocokan'!$B$34</calculatedColumnFormula>
    </tableColumn>
    <tableColumn id="7" xr3:uid="{2466EAFC-3160-427B-B2F3-EEC2193B63C0}" name="Status Kepemilikan Rumah " dataDxfId="8">
      <calculatedColumnFormula>'B.kriteria &amp; R.kecocokan'!$B$41</calculatedColumnFormula>
    </tableColumn>
    <tableColumn id="8" xr3:uid="{06009380-CE84-4F1D-A990-CF1A5497735C}" name="Sumber Air" dataDxfId="7">
      <calculatedColumnFormula>'B.kriteria &amp; R.kecocokan'!$B$72</calculatedColumnFormula>
    </tableColumn>
    <tableColumn id="9" xr3:uid="{678DFF2D-AF2B-4712-8E96-8CBD58988E95}" name="ibu Hamil / menyusui" dataDxfId="6">
      <calculatedColumnFormula>'B.kriteria &amp; R.kecocokan'!$B$95</calculatedColumnFormula>
    </tableColumn>
    <tableColumn id="10" xr3:uid="{2AA24EC1-F1F5-4EEB-A992-2F13D5B08E64}" name="lansia" dataDxfId="5"/>
    <tableColumn id="11" xr3:uid="{FF1DA983-E015-46F0-8135-C18931DBEEE3}" name="jumlah tanggungan (Anak)" dataDxfId="4"/>
    <tableColumn id="12" xr3:uid="{C9F89734-A13A-4BC8-88C4-4044A8D9A904}" name="jenis dinding" dataDxfId="3">
      <calculatedColumnFormula>'B.kriteria &amp; R.kecocokan'!$B$49</calculatedColumnFormula>
    </tableColumn>
    <tableColumn id="13" xr3:uid="{52E9D2D1-83CC-4249-930D-175852598F2C}" name="jenis lantai " dataDxfId="2"/>
    <tableColumn id="14" xr3:uid="{91B7F30D-A8D7-4316-BE88-37FDC76245C8}" name="jenis atap" dataDxfId="1">
      <calculatedColumnFormula>'B.kriteria &amp; R.kecocokan'!$B$65</calculatedColumnFormula>
    </tableColumn>
    <tableColumn id="15" xr3:uid="{5405816C-0639-4A71-B487-78C9BCF9B3A4}" name="Keputus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D4C2-47A7-4A5E-8CDE-666C9EAA4666}">
  <sheetPr>
    <pageSetUpPr fitToPage="1"/>
  </sheetPr>
  <dimension ref="A2:R111"/>
  <sheetViews>
    <sheetView topLeftCell="A32" zoomScale="85" zoomScaleNormal="85" workbookViewId="0">
      <selection activeCell="E13" sqref="E13"/>
    </sheetView>
  </sheetViews>
  <sheetFormatPr defaultRowHeight="14.5" x14ac:dyDescent="0.35"/>
  <cols>
    <col min="1" max="1" width="6.1796875" customWidth="1"/>
    <col min="2" max="2" width="17.6328125" customWidth="1"/>
    <col min="3" max="3" width="24.36328125" customWidth="1"/>
    <col min="4" max="4" width="11.81640625" customWidth="1"/>
    <col min="5" max="5" width="15.7265625" customWidth="1"/>
    <col min="6" max="6" width="12.90625" customWidth="1"/>
    <col min="7" max="7" width="18.453125" customWidth="1"/>
    <col min="8" max="8" width="12.1796875" customWidth="1"/>
    <col min="9" max="9" width="20.54296875" customWidth="1"/>
    <col min="10" max="10" width="12.1796875" customWidth="1"/>
    <col min="11" max="11" width="18.6328125" customWidth="1"/>
    <col min="12" max="12" width="13.36328125" customWidth="1"/>
    <col min="13" max="13" width="12.36328125" customWidth="1"/>
    <col min="14" max="14" width="12.1796875" customWidth="1"/>
    <col min="15" max="15" width="11.81640625" customWidth="1"/>
    <col min="20" max="20" width="10.90625" customWidth="1"/>
  </cols>
  <sheetData>
    <row r="2" spans="1:15" ht="15.5" x14ac:dyDescent="0.35">
      <c r="A2" s="220" t="s">
        <v>348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</row>
    <row r="3" spans="1:15" ht="15.5" x14ac:dyDescent="0.35">
      <c r="A3" s="220" t="s">
        <v>110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</row>
    <row r="5" spans="1:15" ht="42" customHeight="1" thickBot="1" x14ac:dyDescent="0.4">
      <c r="A5" s="155" t="s">
        <v>0</v>
      </c>
      <c r="B5" s="156" t="s">
        <v>1</v>
      </c>
      <c r="C5" s="157" t="s">
        <v>2</v>
      </c>
      <c r="D5" s="156" t="s">
        <v>3</v>
      </c>
      <c r="E5" s="156" t="s">
        <v>4</v>
      </c>
      <c r="F5" s="157" t="s">
        <v>5</v>
      </c>
      <c r="G5" s="157" t="s">
        <v>6</v>
      </c>
      <c r="H5" s="157" t="s">
        <v>21</v>
      </c>
      <c r="I5" s="157" t="s">
        <v>7</v>
      </c>
      <c r="J5" s="157" t="s">
        <v>8</v>
      </c>
      <c r="K5" s="157" t="s">
        <v>25</v>
      </c>
      <c r="L5" s="157" t="s">
        <v>9</v>
      </c>
      <c r="M5" s="157" t="s">
        <v>10</v>
      </c>
      <c r="N5" s="158" t="s">
        <v>11</v>
      </c>
      <c r="O5" s="159" t="s">
        <v>346</v>
      </c>
    </row>
    <row r="6" spans="1:15" ht="16" customHeight="1" thickTop="1" x14ac:dyDescent="0.35">
      <c r="A6" s="147">
        <v>1</v>
      </c>
      <c r="B6" s="33" t="s">
        <v>284</v>
      </c>
      <c r="C6" s="6" t="s">
        <v>12</v>
      </c>
      <c r="D6" s="7" t="s">
        <v>13</v>
      </c>
      <c r="E6" s="32">
        <v>1500000</v>
      </c>
      <c r="F6" s="8" t="s">
        <v>14</v>
      </c>
      <c r="G6" s="8" t="s">
        <v>15</v>
      </c>
      <c r="H6" s="8" t="s">
        <v>22</v>
      </c>
      <c r="I6" s="8" t="s">
        <v>16</v>
      </c>
      <c r="J6" s="8" t="s">
        <v>17</v>
      </c>
      <c r="K6" s="8">
        <v>1</v>
      </c>
      <c r="L6" s="8" t="s">
        <v>18</v>
      </c>
      <c r="M6" s="8" t="s">
        <v>19</v>
      </c>
      <c r="N6" s="51" t="s">
        <v>20</v>
      </c>
      <c r="O6" s="152" t="s">
        <v>347</v>
      </c>
    </row>
    <row r="7" spans="1:15" ht="16" customHeight="1" x14ac:dyDescent="0.35">
      <c r="A7" s="57">
        <v>2</v>
      </c>
      <c r="B7" s="16" t="s">
        <v>279</v>
      </c>
      <c r="C7" s="2" t="s">
        <v>24</v>
      </c>
      <c r="D7" s="11" t="s">
        <v>13</v>
      </c>
      <c r="E7" s="9">
        <v>1500000</v>
      </c>
      <c r="F7" s="9" t="s">
        <v>23</v>
      </c>
      <c r="G7" s="9" t="s">
        <v>15</v>
      </c>
      <c r="H7" s="9" t="s">
        <v>22</v>
      </c>
      <c r="I7" s="9" t="s">
        <v>16</v>
      </c>
      <c r="J7" s="9">
        <v>1</v>
      </c>
      <c r="K7" s="9" t="s">
        <v>17</v>
      </c>
      <c r="L7" s="9" t="s">
        <v>18</v>
      </c>
      <c r="M7" s="9" t="s">
        <v>19</v>
      </c>
      <c r="N7" s="52" t="s">
        <v>20</v>
      </c>
      <c r="O7" s="56" t="s">
        <v>347</v>
      </c>
    </row>
    <row r="8" spans="1:15" ht="16" customHeight="1" x14ac:dyDescent="0.35">
      <c r="A8" s="147">
        <v>3</v>
      </c>
      <c r="B8" s="16" t="s">
        <v>285</v>
      </c>
      <c r="C8" s="2" t="s">
        <v>26</v>
      </c>
      <c r="D8" s="11" t="s">
        <v>13</v>
      </c>
      <c r="E8" s="9">
        <v>3500000</v>
      </c>
      <c r="F8" s="9" t="s">
        <v>23</v>
      </c>
      <c r="G8" s="9" t="s">
        <v>15</v>
      </c>
      <c r="H8" s="9" t="s">
        <v>22</v>
      </c>
      <c r="I8" s="9" t="s">
        <v>16</v>
      </c>
      <c r="J8" s="9" t="s">
        <v>17</v>
      </c>
      <c r="K8" s="9" t="s">
        <v>17</v>
      </c>
      <c r="L8" s="9" t="s">
        <v>18</v>
      </c>
      <c r="M8" s="9" t="s">
        <v>19</v>
      </c>
      <c r="N8" s="52" t="s">
        <v>20</v>
      </c>
      <c r="O8" s="56" t="s">
        <v>347</v>
      </c>
    </row>
    <row r="9" spans="1:15" ht="16" customHeight="1" x14ac:dyDescent="0.35">
      <c r="A9" s="147">
        <v>4</v>
      </c>
      <c r="B9" s="16" t="s">
        <v>256</v>
      </c>
      <c r="C9" s="2" t="s">
        <v>27</v>
      </c>
      <c r="D9" s="11" t="s">
        <v>13</v>
      </c>
      <c r="E9" s="9">
        <v>1500000</v>
      </c>
      <c r="F9" s="9" t="s">
        <v>23</v>
      </c>
      <c r="G9" s="9" t="s">
        <v>15</v>
      </c>
      <c r="H9" s="9" t="s">
        <v>22</v>
      </c>
      <c r="I9" s="9" t="s">
        <v>16</v>
      </c>
      <c r="J9" s="9" t="s">
        <v>30</v>
      </c>
      <c r="K9" s="9">
        <v>1</v>
      </c>
      <c r="L9" s="9" t="s">
        <v>18</v>
      </c>
      <c r="M9" s="9" t="s">
        <v>19</v>
      </c>
      <c r="N9" s="52" t="s">
        <v>20</v>
      </c>
      <c r="O9" s="56" t="s">
        <v>347</v>
      </c>
    </row>
    <row r="10" spans="1:15" ht="16" customHeight="1" x14ac:dyDescent="0.35">
      <c r="A10" s="57">
        <v>5</v>
      </c>
      <c r="B10" s="2" t="str">
        <f>Penghasilan!B21</f>
        <v>3523151309090186</v>
      </c>
      <c r="C10" s="2" t="s">
        <v>31</v>
      </c>
      <c r="D10" s="11" t="s">
        <v>95</v>
      </c>
      <c r="E10" s="28">
        <f>Penghasilan!D21</f>
        <v>5000000</v>
      </c>
      <c r="F10" s="9" t="s">
        <v>33</v>
      </c>
      <c r="G10" s="9" t="s">
        <v>15</v>
      </c>
      <c r="H10" s="9" t="s">
        <v>22</v>
      </c>
      <c r="I10" s="9" t="s">
        <v>16</v>
      </c>
      <c r="J10" s="9" t="s">
        <v>17</v>
      </c>
      <c r="K10" s="9">
        <v>2</v>
      </c>
      <c r="L10" s="9" t="s">
        <v>18</v>
      </c>
      <c r="M10" s="9" t="s">
        <v>19</v>
      </c>
      <c r="N10" s="52" t="s">
        <v>20</v>
      </c>
      <c r="O10" s="56" t="s">
        <v>347</v>
      </c>
    </row>
    <row r="11" spans="1:15" ht="16" customHeight="1" x14ac:dyDescent="0.35">
      <c r="A11" s="147">
        <v>6</v>
      </c>
      <c r="B11" s="16" t="s">
        <v>275</v>
      </c>
      <c r="C11" s="2" t="s">
        <v>32</v>
      </c>
      <c r="D11" s="11" t="s">
        <v>13</v>
      </c>
      <c r="E11" s="9">
        <v>3500000</v>
      </c>
      <c r="F11" s="9" t="s">
        <v>33</v>
      </c>
      <c r="G11" s="9" t="s">
        <v>15</v>
      </c>
      <c r="H11" s="9" t="s">
        <v>22</v>
      </c>
      <c r="I11" s="9" t="s">
        <v>17</v>
      </c>
      <c r="J11" s="9" t="s">
        <v>17</v>
      </c>
      <c r="K11" s="9">
        <v>1</v>
      </c>
      <c r="L11" s="9" t="s">
        <v>18</v>
      </c>
      <c r="M11" s="9" t="s">
        <v>19</v>
      </c>
      <c r="N11" s="52" t="s">
        <v>20</v>
      </c>
      <c r="O11" s="56" t="s">
        <v>347</v>
      </c>
    </row>
    <row r="12" spans="1:15" ht="16" customHeight="1" x14ac:dyDescent="0.35">
      <c r="A12" s="147">
        <v>7</v>
      </c>
      <c r="B12" s="16" t="s">
        <v>286</v>
      </c>
      <c r="C12" s="2" t="s">
        <v>34</v>
      </c>
      <c r="D12" s="11" t="s">
        <v>13</v>
      </c>
      <c r="E12" s="9">
        <v>2000000</v>
      </c>
      <c r="F12" s="9" t="s">
        <v>33</v>
      </c>
      <c r="G12" s="9" t="s">
        <v>15</v>
      </c>
      <c r="H12" s="9" t="s">
        <v>22</v>
      </c>
      <c r="I12" s="9" t="s">
        <v>17</v>
      </c>
      <c r="J12" s="9">
        <v>1</v>
      </c>
      <c r="K12" s="9">
        <v>2</v>
      </c>
      <c r="L12" s="9" t="s">
        <v>18</v>
      </c>
      <c r="M12" s="9" t="s">
        <v>19</v>
      </c>
      <c r="N12" s="52" t="s">
        <v>20</v>
      </c>
      <c r="O12" s="56" t="s">
        <v>347</v>
      </c>
    </row>
    <row r="13" spans="1:15" ht="16" customHeight="1" x14ac:dyDescent="0.35">
      <c r="A13" s="57">
        <v>8</v>
      </c>
      <c r="B13" s="16" t="s">
        <v>287</v>
      </c>
      <c r="C13" s="2" t="s">
        <v>35</v>
      </c>
      <c r="D13" s="12" t="s">
        <v>13</v>
      </c>
      <c r="E13" s="9">
        <v>1500000</v>
      </c>
      <c r="F13" s="9" t="s">
        <v>14</v>
      </c>
      <c r="G13" s="9" t="s">
        <v>15</v>
      </c>
      <c r="H13" s="9" t="s">
        <v>22</v>
      </c>
      <c r="I13" s="9" t="s">
        <v>17</v>
      </c>
      <c r="J13" s="9" t="s">
        <v>17</v>
      </c>
      <c r="K13" s="9">
        <v>1</v>
      </c>
      <c r="L13" s="9" t="s">
        <v>18</v>
      </c>
      <c r="M13" s="9" t="s">
        <v>19</v>
      </c>
      <c r="N13" s="52" t="s">
        <v>20</v>
      </c>
      <c r="O13" s="56" t="s">
        <v>347</v>
      </c>
    </row>
    <row r="14" spans="1:15" ht="16" customHeight="1" x14ac:dyDescent="0.35">
      <c r="A14" s="147">
        <v>9</v>
      </c>
      <c r="B14" s="2" t="str">
        <f>Penghasilan!B67</f>
        <v>3523122711140001</v>
      </c>
      <c r="C14" s="2" t="s">
        <v>36</v>
      </c>
      <c r="D14" s="11" t="s">
        <v>13</v>
      </c>
      <c r="E14" s="9">
        <f>Penghasilan!D67</f>
        <v>1500000</v>
      </c>
      <c r="F14" s="9" t="s">
        <v>37</v>
      </c>
      <c r="G14" s="9" t="s">
        <v>38</v>
      </c>
      <c r="H14" s="9" t="s">
        <v>22</v>
      </c>
      <c r="I14" s="9" t="s">
        <v>17</v>
      </c>
      <c r="J14" s="9" t="s">
        <v>17</v>
      </c>
      <c r="K14" s="9">
        <v>2</v>
      </c>
      <c r="L14" s="9" t="s">
        <v>18</v>
      </c>
      <c r="M14" s="9" t="s">
        <v>19</v>
      </c>
      <c r="N14" s="52" t="s">
        <v>20</v>
      </c>
      <c r="O14" s="56" t="s">
        <v>347</v>
      </c>
    </row>
    <row r="15" spans="1:15" ht="16" customHeight="1" x14ac:dyDescent="0.35">
      <c r="A15" s="147">
        <v>10</v>
      </c>
      <c r="B15" s="16" t="s">
        <v>266</v>
      </c>
      <c r="C15" s="2" t="s">
        <v>39</v>
      </c>
      <c r="D15" s="12" t="s">
        <v>13</v>
      </c>
      <c r="E15" s="9">
        <v>1500000</v>
      </c>
      <c r="F15" s="9" t="s">
        <v>33</v>
      </c>
      <c r="G15" s="9" t="s">
        <v>15</v>
      </c>
      <c r="H15" s="9" t="s">
        <v>22</v>
      </c>
      <c r="I15" s="9" t="s">
        <v>17</v>
      </c>
      <c r="J15" s="9">
        <v>2</v>
      </c>
      <c r="K15" s="9" t="s">
        <v>17</v>
      </c>
      <c r="L15" s="9" t="s">
        <v>18</v>
      </c>
      <c r="M15" s="9" t="s">
        <v>19</v>
      </c>
      <c r="N15" s="52" t="s">
        <v>20</v>
      </c>
      <c r="O15" s="56" t="s">
        <v>349</v>
      </c>
    </row>
    <row r="16" spans="1:15" ht="16" customHeight="1" x14ac:dyDescent="0.35">
      <c r="A16" s="57">
        <v>11</v>
      </c>
      <c r="B16" s="16" t="s">
        <v>139</v>
      </c>
      <c r="C16" s="2" t="s">
        <v>40</v>
      </c>
      <c r="D16" s="11" t="s">
        <v>13</v>
      </c>
      <c r="E16" s="9" t="s">
        <v>174</v>
      </c>
      <c r="F16" s="9" t="s">
        <v>29</v>
      </c>
      <c r="G16" s="9" t="s">
        <v>15</v>
      </c>
      <c r="H16" s="9" t="s">
        <v>22</v>
      </c>
      <c r="I16" s="9" t="s">
        <v>17</v>
      </c>
      <c r="J16" s="9">
        <v>2</v>
      </c>
      <c r="K16" s="9" t="s">
        <v>17</v>
      </c>
      <c r="L16" s="9" t="s">
        <v>42</v>
      </c>
      <c r="M16" s="9" t="s">
        <v>43</v>
      </c>
      <c r="N16" s="52" t="s">
        <v>41</v>
      </c>
      <c r="O16" s="56" t="s">
        <v>349</v>
      </c>
    </row>
    <row r="17" spans="1:15" ht="16" customHeight="1" x14ac:dyDescent="0.35">
      <c r="A17" s="147">
        <v>12</v>
      </c>
      <c r="B17" s="16" t="s">
        <v>274</v>
      </c>
      <c r="C17" s="2" t="s">
        <v>44</v>
      </c>
      <c r="D17" s="11" t="s">
        <v>13</v>
      </c>
      <c r="E17" s="9">
        <v>1500000</v>
      </c>
      <c r="F17" s="9" t="s">
        <v>33</v>
      </c>
      <c r="G17" s="9" t="s">
        <v>15</v>
      </c>
      <c r="H17" s="9" t="s">
        <v>22</v>
      </c>
      <c r="I17" s="9" t="s">
        <v>17</v>
      </c>
      <c r="J17" s="9">
        <v>2</v>
      </c>
      <c r="K17" s="9" t="s">
        <v>17</v>
      </c>
      <c r="L17" s="9" t="s">
        <v>18</v>
      </c>
      <c r="M17" s="9" t="s">
        <v>19</v>
      </c>
      <c r="N17" s="52" t="s">
        <v>20</v>
      </c>
      <c r="O17" s="56" t="s">
        <v>347</v>
      </c>
    </row>
    <row r="18" spans="1:15" ht="16" customHeight="1" x14ac:dyDescent="0.35">
      <c r="A18" s="147">
        <v>13</v>
      </c>
      <c r="B18" s="16" t="s">
        <v>273</v>
      </c>
      <c r="C18" s="2" t="s">
        <v>45</v>
      </c>
      <c r="D18" s="11" t="s">
        <v>13</v>
      </c>
      <c r="E18" s="9">
        <v>2000000</v>
      </c>
      <c r="F18" s="9" t="s">
        <v>33</v>
      </c>
      <c r="G18" s="9" t="s">
        <v>38</v>
      </c>
      <c r="H18" s="9" t="s">
        <v>22</v>
      </c>
      <c r="I18" s="9" t="s">
        <v>17</v>
      </c>
      <c r="J18" s="9" t="s">
        <v>17</v>
      </c>
      <c r="K18" s="9">
        <v>2</v>
      </c>
      <c r="L18" s="9" t="s">
        <v>18</v>
      </c>
      <c r="M18" s="9" t="s">
        <v>19</v>
      </c>
      <c r="N18" s="52" t="s">
        <v>20</v>
      </c>
      <c r="O18" s="56" t="s">
        <v>347</v>
      </c>
    </row>
    <row r="19" spans="1:15" ht="16" customHeight="1" x14ac:dyDescent="0.35">
      <c r="A19" s="57">
        <v>14</v>
      </c>
      <c r="B19" s="16" t="s">
        <v>283</v>
      </c>
      <c r="C19" s="2" t="s">
        <v>46</v>
      </c>
      <c r="D19" s="11" t="s">
        <v>13</v>
      </c>
      <c r="E19" s="9">
        <v>1500000</v>
      </c>
      <c r="F19" s="9" t="s">
        <v>47</v>
      </c>
      <c r="G19" s="9" t="s">
        <v>15</v>
      </c>
      <c r="H19" s="9" t="s">
        <v>22</v>
      </c>
      <c r="I19" s="9" t="s">
        <v>17</v>
      </c>
      <c r="J19" s="9" t="s">
        <v>17</v>
      </c>
      <c r="K19" s="9">
        <v>1</v>
      </c>
      <c r="L19" s="9" t="s">
        <v>18</v>
      </c>
      <c r="M19" s="9" t="s">
        <v>43</v>
      </c>
      <c r="N19" s="52" t="s">
        <v>20</v>
      </c>
      <c r="O19" s="56" t="s">
        <v>347</v>
      </c>
    </row>
    <row r="20" spans="1:15" ht="16" customHeight="1" x14ac:dyDescent="0.35">
      <c r="A20" s="147">
        <v>15</v>
      </c>
      <c r="B20" s="16" t="s">
        <v>276</v>
      </c>
      <c r="C20" s="2" t="s">
        <v>48</v>
      </c>
      <c r="D20" s="11" t="s">
        <v>13</v>
      </c>
      <c r="E20" s="9">
        <v>2500000</v>
      </c>
      <c r="F20" s="9" t="s">
        <v>47</v>
      </c>
      <c r="G20" s="9" t="s">
        <v>15</v>
      </c>
      <c r="H20" s="9" t="s">
        <v>22</v>
      </c>
      <c r="I20" s="9" t="s">
        <v>17</v>
      </c>
      <c r="J20" s="9" t="s">
        <v>17</v>
      </c>
      <c r="K20" s="9">
        <v>2</v>
      </c>
      <c r="L20" s="9" t="s">
        <v>18</v>
      </c>
      <c r="M20" s="9" t="s">
        <v>19</v>
      </c>
      <c r="N20" s="52" t="s">
        <v>20</v>
      </c>
      <c r="O20" s="56" t="s">
        <v>347</v>
      </c>
    </row>
    <row r="21" spans="1:15" ht="16" customHeight="1" x14ac:dyDescent="0.35">
      <c r="A21" s="147">
        <v>16</v>
      </c>
      <c r="B21" s="16" t="s">
        <v>280</v>
      </c>
      <c r="C21" s="2" t="s">
        <v>49</v>
      </c>
      <c r="D21" s="11" t="s">
        <v>13</v>
      </c>
      <c r="E21" s="9">
        <v>1500000</v>
      </c>
      <c r="F21" s="9" t="s">
        <v>23</v>
      </c>
      <c r="G21" s="9" t="s">
        <v>15</v>
      </c>
      <c r="H21" s="9" t="s">
        <v>22</v>
      </c>
      <c r="I21" s="9" t="s">
        <v>17</v>
      </c>
      <c r="J21" s="9">
        <v>2</v>
      </c>
      <c r="K21" s="9" t="s">
        <v>17</v>
      </c>
      <c r="L21" s="9" t="s">
        <v>18</v>
      </c>
      <c r="M21" s="9" t="s">
        <v>19</v>
      </c>
      <c r="N21" s="52" t="s">
        <v>20</v>
      </c>
      <c r="O21" s="56" t="s">
        <v>347</v>
      </c>
    </row>
    <row r="22" spans="1:15" ht="16" customHeight="1" x14ac:dyDescent="0.35">
      <c r="A22" s="57">
        <v>17</v>
      </c>
      <c r="B22" s="16" t="s">
        <v>277</v>
      </c>
      <c r="C22" s="2" t="s">
        <v>257</v>
      </c>
      <c r="D22" s="11" t="s">
        <v>13</v>
      </c>
      <c r="E22" s="9">
        <v>1500000</v>
      </c>
      <c r="F22" s="9" t="s">
        <v>50</v>
      </c>
      <c r="G22" s="9" t="s">
        <v>15</v>
      </c>
      <c r="H22" s="9" t="s">
        <v>22</v>
      </c>
      <c r="I22" s="9" t="s">
        <v>17</v>
      </c>
      <c r="J22" s="9" t="s">
        <v>17</v>
      </c>
      <c r="K22" s="9">
        <v>2</v>
      </c>
      <c r="L22" s="9" t="s">
        <v>51</v>
      </c>
      <c r="M22" s="9" t="s">
        <v>43</v>
      </c>
      <c r="N22" s="52" t="s">
        <v>20</v>
      </c>
      <c r="O22" s="56" t="s">
        <v>349</v>
      </c>
    </row>
    <row r="23" spans="1:15" ht="16" customHeight="1" x14ac:dyDescent="0.35">
      <c r="A23" s="147">
        <v>18</v>
      </c>
      <c r="B23" s="16" t="s">
        <v>271</v>
      </c>
      <c r="C23" s="2" t="s">
        <v>52</v>
      </c>
      <c r="D23" s="11" t="s">
        <v>13</v>
      </c>
      <c r="E23" s="9">
        <v>1500000</v>
      </c>
      <c r="F23" s="9" t="s">
        <v>53</v>
      </c>
      <c r="G23" s="9" t="s">
        <v>15</v>
      </c>
      <c r="H23" s="9" t="s">
        <v>22</v>
      </c>
      <c r="I23" s="9" t="s">
        <v>17</v>
      </c>
      <c r="J23" s="9" t="s">
        <v>17</v>
      </c>
      <c r="K23" s="9">
        <v>2</v>
      </c>
      <c r="L23" s="9" t="s">
        <v>54</v>
      </c>
      <c r="M23" s="9" t="s">
        <v>43</v>
      </c>
      <c r="N23" s="52" t="s">
        <v>20</v>
      </c>
      <c r="O23" s="56" t="s">
        <v>350</v>
      </c>
    </row>
    <row r="24" spans="1:15" ht="16" customHeight="1" x14ac:dyDescent="0.35">
      <c r="A24" s="147">
        <v>19</v>
      </c>
      <c r="B24" s="16" t="s">
        <v>281</v>
      </c>
      <c r="C24" s="2" t="s">
        <v>55</v>
      </c>
      <c r="D24" s="11" t="s">
        <v>13</v>
      </c>
      <c r="E24" s="9">
        <v>1000000</v>
      </c>
      <c r="F24" s="9" t="s">
        <v>29</v>
      </c>
      <c r="G24" s="9" t="s">
        <v>15</v>
      </c>
      <c r="H24" s="9" t="s">
        <v>22</v>
      </c>
      <c r="I24" s="9" t="s">
        <v>17</v>
      </c>
      <c r="J24" s="9">
        <v>1</v>
      </c>
      <c r="K24" s="9" t="s">
        <v>17</v>
      </c>
      <c r="L24" s="9" t="s">
        <v>18</v>
      </c>
      <c r="M24" s="9" t="s">
        <v>43</v>
      </c>
      <c r="N24" s="52" t="s">
        <v>20</v>
      </c>
      <c r="O24" s="56" t="s">
        <v>349</v>
      </c>
    </row>
    <row r="25" spans="1:15" ht="16" customHeight="1" x14ac:dyDescent="0.35">
      <c r="A25" s="57">
        <v>20</v>
      </c>
      <c r="B25" s="16" t="s">
        <v>288</v>
      </c>
      <c r="C25" s="2" t="s">
        <v>56</v>
      </c>
      <c r="D25" s="11" t="s">
        <v>13</v>
      </c>
      <c r="E25" s="9">
        <v>1500000</v>
      </c>
      <c r="F25" s="9" t="s">
        <v>23</v>
      </c>
      <c r="G25" s="9" t="s">
        <v>15</v>
      </c>
      <c r="H25" s="9" t="s">
        <v>22</v>
      </c>
      <c r="I25" s="9" t="s">
        <v>17</v>
      </c>
      <c r="J25" s="9" t="s">
        <v>17</v>
      </c>
      <c r="K25" s="9">
        <v>1</v>
      </c>
      <c r="L25" s="9" t="s">
        <v>18</v>
      </c>
      <c r="M25" s="9" t="s">
        <v>43</v>
      </c>
      <c r="N25" s="52" t="s">
        <v>20</v>
      </c>
      <c r="O25" s="56" t="s">
        <v>347</v>
      </c>
    </row>
    <row r="26" spans="1:15" ht="16" customHeight="1" x14ac:dyDescent="0.35">
      <c r="A26" s="147">
        <v>21</v>
      </c>
      <c r="B26" s="16" t="s">
        <v>282</v>
      </c>
      <c r="C26" s="2" t="s">
        <v>57</v>
      </c>
      <c r="D26" s="11" t="s">
        <v>13</v>
      </c>
      <c r="E26" s="9" t="s">
        <v>174</v>
      </c>
      <c r="F26" s="9" t="s">
        <v>58</v>
      </c>
      <c r="G26" s="9" t="s">
        <v>15</v>
      </c>
      <c r="H26" s="9" t="s">
        <v>22</v>
      </c>
      <c r="I26" s="9" t="s">
        <v>17</v>
      </c>
      <c r="J26" s="9">
        <v>1</v>
      </c>
      <c r="K26" s="9" t="s">
        <v>17</v>
      </c>
      <c r="L26" s="9" t="s">
        <v>18</v>
      </c>
      <c r="M26" s="9" t="s">
        <v>43</v>
      </c>
      <c r="N26" s="52" t="s">
        <v>20</v>
      </c>
      <c r="O26" s="56" t="s">
        <v>349</v>
      </c>
    </row>
    <row r="27" spans="1:15" ht="16" customHeight="1" x14ac:dyDescent="0.35">
      <c r="A27" s="147">
        <v>22</v>
      </c>
      <c r="B27" s="16" t="s">
        <v>270</v>
      </c>
      <c r="C27" s="2" t="s">
        <v>59</v>
      </c>
      <c r="D27" s="11" t="s">
        <v>13</v>
      </c>
      <c r="E27" s="9">
        <v>6000000</v>
      </c>
      <c r="F27" s="9" t="s">
        <v>60</v>
      </c>
      <c r="G27" s="9" t="s">
        <v>15</v>
      </c>
      <c r="H27" s="9" t="s">
        <v>22</v>
      </c>
      <c r="I27" s="9" t="s">
        <v>17</v>
      </c>
      <c r="J27" s="9" t="s">
        <v>17</v>
      </c>
      <c r="K27" s="9">
        <v>3</v>
      </c>
      <c r="L27" s="9" t="s">
        <v>18</v>
      </c>
      <c r="M27" s="9" t="s">
        <v>19</v>
      </c>
      <c r="N27" s="52" t="s">
        <v>20</v>
      </c>
      <c r="O27" s="56" t="s">
        <v>347</v>
      </c>
    </row>
    <row r="28" spans="1:15" ht="16" customHeight="1" x14ac:dyDescent="0.35">
      <c r="A28" s="57">
        <v>23</v>
      </c>
      <c r="B28" s="16" t="s">
        <v>265</v>
      </c>
      <c r="C28" s="2" t="s">
        <v>61</v>
      </c>
      <c r="D28" s="11" t="s">
        <v>13</v>
      </c>
      <c r="E28" s="9">
        <v>1500000</v>
      </c>
      <c r="F28" s="9" t="s">
        <v>23</v>
      </c>
      <c r="G28" s="9" t="s">
        <v>15</v>
      </c>
      <c r="H28" s="9" t="s">
        <v>22</v>
      </c>
      <c r="I28" s="9" t="s">
        <v>17</v>
      </c>
      <c r="J28" s="9" t="s">
        <v>17</v>
      </c>
      <c r="K28" s="9">
        <v>2</v>
      </c>
      <c r="L28" s="9" t="s">
        <v>18</v>
      </c>
      <c r="M28" s="9" t="s">
        <v>19</v>
      </c>
      <c r="N28" s="52" t="s">
        <v>20</v>
      </c>
      <c r="O28" s="56" t="s">
        <v>347</v>
      </c>
    </row>
    <row r="29" spans="1:15" ht="16" customHeight="1" x14ac:dyDescent="0.35">
      <c r="A29" s="147">
        <v>24</v>
      </c>
      <c r="B29" s="16" t="s">
        <v>258</v>
      </c>
      <c r="C29" s="2" t="s">
        <v>62</v>
      </c>
      <c r="D29" s="11" t="s">
        <v>13</v>
      </c>
      <c r="E29" s="9">
        <v>2000000</v>
      </c>
      <c r="F29" s="9" t="s">
        <v>63</v>
      </c>
      <c r="G29" s="9" t="s">
        <v>15</v>
      </c>
      <c r="H29" s="9" t="s">
        <v>22</v>
      </c>
      <c r="I29" s="9" t="s">
        <v>17</v>
      </c>
      <c r="J29" s="9" t="s">
        <v>17</v>
      </c>
      <c r="K29" s="9">
        <v>3</v>
      </c>
      <c r="L29" s="9" t="s">
        <v>18</v>
      </c>
      <c r="M29" s="9" t="s">
        <v>19</v>
      </c>
      <c r="N29" s="52" t="s">
        <v>20</v>
      </c>
      <c r="O29" s="56" t="s">
        <v>347</v>
      </c>
    </row>
    <row r="30" spans="1:15" ht="16" customHeight="1" x14ac:dyDescent="0.35">
      <c r="A30" s="147">
        <v>25</v>
      </c>
      <c r="B30" s="16" t="s">
        <v>261</v>
      </c>
      <c r="C30" s="2" t="s">
        <v>64</v>
      </c>
      <c r="D30" s="11" t="s">
        <v>13</v>
      </c>
      <c r="E30" s="9" t="s">
        <v>174</v>
      </c>
      <c r="F30" s="9" t="s">
        <v>65</v>
      </c>
      <c r="G30" s="9" t="s">
        <v>15</v>
      </c>
      <c r="H30" s="9" t="s">
        <v>22</v>
      </c>
      <c r="I30" s="9" t="s">
        <v>17</v>
      </c>
      <c r="J30" s="9">
        <v>1</v>
      </c>
      <c r="K30" s="9" t="s">
        <v>17</v>
      </c>
      <c r="L30" s="9" t="s">
        <v>18</v>
      </c>
      <c r="M30" s="9" t="s">
        <v>43</v>
      </c>
      <c r="N30" s="52" t="s">
        <v>20</v>
      </c>
      <c r="O30" s="56" t="s">
        <v>349</v>
      </c>
    </row>
    <row r="31" spans="1:15" ht="16" customHeight="1" x14ac:dyDescent="0.35">
      <c r="A31" s="57">
        <v>26</v>
      </c>
      <c r="B31" s="16" t="s">
        <v>263</v>
      </c>
      <c r="C31" s="2" t="s">
        <v>66</v>
      </c>
      <c r="D31" s="11" t="s">
        <v>13</v>
      </c>
      <c r="E31" s="9">
        <v>1000000</v>
      </c>
      <c r="F31" s="9" t="s">
        <v>67</v>
      </c>
      <c r="G31" s="9" t="s">
        <v>15</v>
      </c>
      <c r="H31" s="9" t="s">
        <v>22</v>
      </c>
      <c r="I31" s="9" t="s">
        <v>17</v>
      </c>
      <c r="J31" s="9">
        <v>2</v>
      </c>
      <c r="K31" s="9" t="s">
        <v>17</v>
      </c>
      <c r="L31" s="9" t="s">
        <v>18</v>
      </c>
      <c r="M31" s="9" t="s">
        <v>19</v>
      </c>
      <c r="N31" s="52" t="s">
        <v>20</v>
      </c>
      <c r="O31" s="56" t="s">
        <v>347</v>
      </c>
    </row>
    <row r="32" spans="1:15" ht="16" customHeight="1" x14ac:dyDescent="0.35">
      <c r="A32" s="147">
        <v>27</v>
      </c>
      <c r="B32" s="16" t="s">
        <v>264</v>
      </c>
      <c r="C32" s="2" t="s">
        <v>68</v>
      </c>
      <c r="D32" s="11" t="s">
        <v>13</v>
      </c>
      <c r="E32" s="9">
        <v>1500000</v>
      </c>
      <c r="F32" s="9" t="s">
        <v>67</v>
      </c>
      <c r="G32" s="9" t="s">
        <v>38</v>
      </c>
      <c r="H32" s="9" t="s">
        <v>22</v>
      </c>
      <c r="I32" s="9" t="s">
        <v>17</v>
      </c>
      <c r="J32" s="9" t="s">
        <v>17</v>
      </c>
      <c r="K32" s="9">
        <v>3</v>
      </c>
      <c r="L32" s="9" t="s">
        <v>18</v>
      </c>
      <c r="M32" s="9" t="s">
        <v>19</v>
      </c>
      <c r="N32" s="52" t="s">
        <v>20</v>
      </c>
      <c r="O32" s="56" t="s">
        <v>347</v>
      </c>
    </row>
    <row r="33" spans="1:15" ht="16" customHeight="1" x14ac:dyDescent="0.35">
      <c r="A33" s="147">
        <v>28</v>
      </c>
      <c r="B33" s="16" t="s">
        <v>262</v>
      </c>
      <c r="C33" s="2" t="s">
        <v>69</v>
      </c>
      <c r="D33" s="11" t="s">
        <v>13</v>
      </c>
      <c r="E33" s="9">
        <v>2000000</v>
      </c>
      <c r="F33" s="9" t="s">
        <v>67</v>
      </c>
      <c r="G33" s="9" t="s">
        <v>15</v>
      </c>
      <c r="H33" s="9" t="s">
        <v>22</v>
      </c>
      <c r="I33" s="9" t="s">
        <v>17</v>
      </c>
      <c r="J33" s="9" t="s">
        <v>17</v>
      </c>
      <c r="K33" s="9">
        <v>1</v>
      </c>
      <c r="L33" s="9" t="s">
        <v>18</v>
      </c>
      <c r="M33" s="9" t="s">
        <v>43</v>
      </c>
      <c r="N33" s="52" t="s">
        <v>20</v>
      </c>
      <c r="O33" s="56" t="s">
        <v>347</v>
      </c>
    </row>
    <row r="34" spans="1:15" ht="16" customHeight="1" x14ac:dyDescent="0.35">
      <c r="A34" s="57">
        <v>29</v>
      </c>
      <c r="B34" s="16" t="s">
        <v>272</v>
      </c>
      <c r="C34" s="2" t="s">
        <v>70</v>
      </c>
      <c r="D34" s="11" t="s">
        <v>13</v>
      </c>
      <c r="E34" s="9">
        <v>3000000</v>
      </c>
      <c r="F34" s="9" t="s">
        <v>63</v>
      </c>
      <c r="G34" s="9" t="s">
        <v>15</v>
      </c>
      <c r="H34" s="9" t="s">
        <v>22</v>
      </c>
      <c r="I34" s="9" t="s">
        <v>17</v>
      </c>
      <c r="J34" s="9" t="s">
        <v>17</v>
      </c>
      <c r="K34" s="9" t="s">
        <v>17</v>
      </c>
      <c r="L34" s="9" t="s">
        <v>18</v>
      </c>
      <c r="M34" s="9" t="s">
        <v>19</v>
      </c>
      <c r="N34" s="52" t="s">
        <v>20</v>
      </c>
      <c r="O34" s="56" t="s">
        <v>347</v>
      </c>
    </row>
    <row r="35" spans="1:15" ht="16" customHeight="1" x14ac:dyDescent="0.35">
      <c r="A35" s="147">
        <v>30</v>
      </c>
      <c r="B35" s="16" t="s">
        <v>259</v>
      </c>
      <c r="C35" s="2" t="s">
        <v>71</v>
      </c>
      <c r="D35" s="11" t="s">
        <v>13</v>
      </c>
      <c r="E35" s="9" t="s">
        <v>174</v>
      </c>
      <c r="F35" s="9" t="s">
        <v>47</v>
      </c>
      <c r="G35" s="9" t="s">
        <v>15</v>
      </c>
      <c r="H35" s="9" t="s">
        <v>22</v>
      </c>
      <c r="I35" s="9" t="s">
        <v>17</v>
      </c>
      <c r="J35" s="9">
        <v>2</v>
      </c>
      <c r="K35" s="9">
        <v>2</v>
      </c>
      <c r="L35" s="9" t="s">
        <v>72</v>
      </c>
      <c r="M35" s="9" t="s">
        <v>73</v>
      </c>
      <c r="N35" s="52" t="s">
        <v>20</v>
      </c>
      <c r="O35" s="56" t="s">
        <v>349</v>
      </c>
    </row>
    <row r="36" spans="1:15" ht="16" customHeight="1" x14ac:dyDescent="0.35">
      <c r="A36" s="147">
        <v>31</v>
      </c>
      <c r="B36" s="16" t="s">
        <v>260</v>
      </c>
      <c r="C36" s="2" t="s">
        <v>74</v>
      </c>
      <c r="D36" s="11" t="s">
        <v>13</v>
      </c>
      <c r="E36" s="9">
        <v>1500000</v>
      </c>
      <c r="F36" s="9" t="s">
        <v>75</v>
      </c>
      <c r="G36" s="9" t="s">
        <v>15</v>
      </c>
      <c r="H36" s="9" t="s">
        <v>22</v>
      </c>
      <c r="I36" s="9" t="s">
        <v>17</v>
      </c>
      <c r="J36" s="9" t="s">
        <v>17</v>
      </c>
      <c r="K36" s="9">
        <v>1</v>
      </c>
      <c r="L36" s="9" t="s">
        <v>18</v>
      </c>
      <c r="M36" s="9" t="s">
        <v>43</v>
      </c>
      <c r="N36" s="52" t="s">
        <v>20</v>
      </c>
      <c r="O36" s="56" t="s">
        <v>349</v>
      </c>
    </row>
    <row r="37" spans="1:15" ht="16" customHeight="1" x14ac:dyDescent="0.35">
      <c r="A37" s="57">
        <v>32</v>
      </c>
      <c r="B37" s="16" t="s">
        <v>289</v>
      </c>
      <c r="C37" s="2" t="s">
        <v>76</v>
      </c>
      <c r="D37" s="11" t="s">
        <v>13</v>
      </c>
      <c r="E37" s="9">
        <v>2000000</v>
      </c>
      <c r="F37" s="9" t="s">
        <v>77</v>
      </c>
      <c r="G37" s="9" t="s">
        <v>15</v>
      </c>
      <c r="H37" s="9" t="s">
        <v>22</v>
      </c>
      <c r="I37" s="9" t="s">
        <v>17</v>
      </c>
      <c r="J37" s="9" t="s">
        <v>17</v>
      </c>
      <c r="K37" s="9">
        <v>2</v>
      </c>
      <c r="L37" s="9" t="s">
        <v>18</v>
      </c>
      <c r="M37" s="9" t="s">
        <v>19</v>
      </c>
      <c r="N37" s="52" t="s">
        <v>78</v>
      </c>
      <c r="O37" s="56" t="s">
        <v>347</v>
      </c>
    </row>
    <row r="38" spans="1:15" ht="16" customHeight="1" x14ac:dyDescent="0.35">
      <c r="A38" s="147">
        <v>33</v>
      </c>
      <c r="B38" s="16" t="s">
        <v>290</v>
      </c>
      <c r="C38" s="2" t="s">
        <v>79</v>
      </c>
      <c r="D38" s="11" t="s">
        <v>13</v>
      </c>
      <c r="E38" s="9" t="s">
        <v>174</v>
      </c>
      <c r="F38" s="9" t="s">
        <v>80</v>
      </c>
      <c r="G38" s="9" t="s">
        <v>38</v>
      </c>
      <c r="H38" s="9" t="s">
        <v>22</v>
      </c>
      <c r="I38" s="9" t="s">
        <v>17</v>
      </c>
      <c r="J38" s="9">
        <v>1</v>
      </c>
      <c r="K38" s="9" t="s">
        <v>17</v>
      </c>
      <c r="L38" s="9" t="s">
        <v>18</v>
      </c>
      <c r="M38" s="9" t="s">
        <v>19</v>
      </c>
      <c r="N38" s="52" t="s">
        <v>78</v>
      </c>
      <c r="O38" s="56" t="s">
        <v>347</v>
      </c>
    </row>
    <row r="39" spans="1:15" ht="16" customHeight="1" x14ac:dyDescent="0.35">
      <c r="A39" s="147">
        <v>34</v>
      </c>
      <c r="B39" s="16" t="s">
        <v>291</v>
      </c>
      <c r="C39" s="2" t="s">
        <v>81</v>
      </c>
      <c r="D39" s="11" t="s">
        <v>13</v>
      </c>
      <c r="E39" s="9">
        <v>2500000</v>
      </c>
      <c r="F39" s="9" t="s">
        <v>82</v>
      </c>
      <c r="G39" s="9" t="s">
        <v>15</v>
      </c>
      <c r="H39" s="9" t="s">
        <v>22</v>
      </c>
      <c r="I39" s="9" t="s">
        <v>17</v>
      </c>
      <c r="J39" s="9">
        <v>2</v>
      </c>
      <c r="K39" s="9" t="s">
        <v>17</v>
      </c>
      <c r="L39" s="9" t="s">
        <v>18</v>
      </c>
      <c r="M39" s="9" t="s">
        <v>19</v>
      </c>
      <c r="N39" s="52" t="s">
        <v>20</v>
      </c>
      <c r="O39" s="56" t="s">
        <v>347</v>
      </c>
    </row>
    <row r="40" spans="1:15" ht="16" customHeight="1" x14ac:dyDescent="0.35">
      <c r="A40" s="57">
        <v>35</v>
      </c>
      <c r="B40" s="16" t="s">
        <v>292</v>
      </c>
      <c r="C40" s="2" t="s">
        <v>83</v>
      </c>
      <c r="D40" s="11" t="s">
        <v>13</v>
      </c>
      <c r="E40" s="9" t="s">
        <v>174</v>
      </c>
      <c r="F40" s="9" t="s">
        <v>23</v>
      </c>
      <c r="G40" s="9" t="s">
        <v>15</v>
      </c>
      <c r="H40" s="9" t="s">
        <v>93</v>
      </c>
      <c r="I40" s="9" t="s">
        <v>17</v>
      </c>
      <c r="J40" s="9">
        <v>1</v>
      </c>
      <c r="K40" s="9" t="s">
        <v>17</v>
      </c>
      <c r="L40" s="9" t="s">
        <v>54</v>
      </c>
      <c r="M40" s="9" t="s">
        <v>73</v>
      </c>
      <c r="N40" s="52" t="s">
        <v>20</v>
      </c>
      <c r="O40" s="56" t="s">
        <v>349</v>
      </c>
    </row>
    <row r="41" spans="1:15" ht="16" customHeight="1" x14ac:dyDescent="0.35">
      <c r="A41" s="147">
        <v>36</v>
      </c>
      <c r="B41" s="16" t="s">
        <v>293</v>
      </c>
      <c r="C41" s="2" t="s">
        <v>84</v>
      </c>
      <c r="D41" s="11" t="s">
        <v>13</v>
      </c>
      <c r="E41" s="9">
        <v>1500000</v>
      </c>
      <c r="F41" s="9" t="s">
        <v>23</v>
      </c>
      <c r="G41" s="9" t="s">
        <v>15</v>
      </c>
      <c r="H41" s="9" t="s">
        <v>22</v>
      </c>
      <c r="I41" s="9" t="s">
        <v>17</v>
      </c>
      <c r="J41" s="9" t="s">
        <v>17</v>
      </c>
      <c r="K41" s="9" t="s">
        <v>17</v>
      </c>
      <c r="L41" s="9" t="s">
        <v>18</v>
      </c>
      <c r="M41" s="9" t="s">
        <v>19</v>
      </c>
      <c r="N41" s="52" t="s">
        <v>20</v>
      </c>
      <c r="O41" s="56" t="s">
        <v>347</v>
      </c>
    </row>
    <row r="42" spans="1:15" ht="16" customHeight="1" x14ac:dyDescent="0.35">
      <c r="A42" s="147">
        <v>37</v>
      </c>
      <c r="B42" s="16" t="s">
        <v>267</v>
      </c>
      <c r="C42" s="2" t="s">
        <v>85</v>
      </c>
      <c r="D42" s="11" t="s">
        <v>13</v>
      </c>
      <c r="E42" s="9">
        <v>2000000</v>
      </c>
      <c r="F42" s="9" t="s">
        <v>23</v>
      </c>
      <c r="G42" s="9" t="s">
        <v>15</v>
      </c>
      <c r="H42" s="9" t="s">
        <v>22</v>
      </c>
      <c r="I42" s="9" t="s">
        <v>17</v>
      </c>
      <c r="J42" s="9" t="s">
        <v>17</v>
      </c>
      <c r="K42" s="9">
        <v>2</v>
      </c>
      <c r="L42" s="9" t="s">
        <v>18</v>
      </c>
      <c r="M42" s="9" t="s">
        <v>19</v>
      </c>
      <c r="N42" s="52" t="s">
        <v>20</v>
      </c>
      <c r="O42" s="56" t="s">
        <v>347</v>
      </c>
    </row>
    <row r="43" spans="1:15" ht="16" customHeight="1" x14ac:dyDescent="0.35">
      <c r="A43" s="57">
        <v>38</v>
      </c>
      <c r="B43" s="16" t="s">
        <v>268</v>
      </c>
      <c r="C43" s="2" t="s">
        <v>86</v>
      </c>
      <c r="D43" s="11" t="s">
        <v>13</v>
      </c>
      <c r="E43" s="9" t="s">
        <v>174</v>
      </c>
      <c r="F43" s="9" t="s">
        <v>28</v>
      </c>
      <c r="G43" s="9" t="s">
        <v>38</v>
      </c>
      <c r="H43" s="9" t="s">
        <v>22</v>
      </c>
      <c r="I43" s="9" t="s">
        <v>17</v>
      </c>
      <c r="J43" s="9">
        <v>2</v>
      </c>
      <c r="K43" s="9" t="s">
        <v>17</v>
      </c>
      <c r="L43" s="9" t="s">
        <v>18</v>
      </c>
      <c r="M43" s="9" t="s">
        <v>19</v>
      </c>
      <c r="N43" s="52" t="s">
        <v>20</v>
      </c>
      <c r="O43" s="56" t="s">
        <v>347</v>
      </c>
    </row>
    <row r="44" spans="1:15" ht="16" customHeight="1" x14ac:dyDescent="0.35">
      <c r="A44" s="147">
        <v>39</v>
      </c>
      <c r="B44" s="16" t="s">
        <v>294</v>
      </c>
      <c r="C44" s="2" t="s">
        <v>87</v>
      </c>
      <c r="D44" s="11" t="s">
        <v>13</v>
      </c>
      <c r="E44" s="9" t="s">
        <v>174</v>
      </c>
      <c r="F44" s="9" t="s">
        <v>77</v>
      </c>
      <c r="G44" s="9" t="s">
        <v>15</v>
      </c>
      <c r="H44" s="9" t="s">
        <v>22</v>
      </c>
      <c r="I44" s="9" t="s">
        <v>30</v>
      </c>
      <c r="J44" s="9">
        <v>1</v>
      </c>
      <c r="K44" s="9" t="s">
        <v>17</v>
      </c>
      <c r="L44" s="9" t="s">
        <v>18</v>
      </c>
      <c r="M44" s="9" t="s">
        <v>19</v>
      </c>
      <c r="N44" s="52" t="s">
        <v>20</v>
      </c>
      <c r="O44" s="56" t="s">
        <v>347</v>
      </c>
    </row>
    <row r="45" spans="1:15" ht="16" customHeight="1" x14ac:dyDescent="0.35">
      <c r="A45" s="147">
        <v>40</v>
      </c>
      <c r="B45" s="16" t="s">
        <v>269</v>
      </c>
      <c r="C45" s="2" t="s">
        <v>88</v>
      </c>
      <c r="D45" s="11" t="s">
        <v>13</v>
      </c>
      <c r="E45" s="9">
        <v>1500000</v>
      </c>
      <c r="F45" s="9" t="s">
        <v>77</v>
      </c>
      <c r="G45" s="9" t="s">
        <v>38</v>
      </c>
      <c r="H45" s="9" t="s">
        <v>22</v>
      </c>
      <c r="I45" s="9" t="s">
        <v>30</v>
      </c>
      <c r="J45" s="9" t="s">
        <v>17</v>
      </c>
      <c r="K45" s="9">
        <v>2</v>
      </c>
      <c r="L45" s="9" t="s">
        <v>18</v>
      </c>
      <c r="M45" s="9" t="s">
        <v>19</v>
      </c>
      <c r="N45" s="52" t="s">
        <v>20</v>
      </c>
      <c r="O45" s="56" t="s">
        <v>347</v>
      </c>
    </row>
    <row r="46" spans="1:15" ht="16" customHeight="1" x14ac:dyDescent="0.35">
      <c r="A46" s="57">
        <v>41</v>
      </c>
      <c r="B46" s="16" t="s">
        <v>278</v>
      </c>
      <c r="C46" s="2" t="s">
        <v>89</v>
      </c>
      <c r="D46" s="11" t="s">
        <v>13</v>
      </c>
      <c r="E46" s="9">
        <v>2500000</v>
      </c>
      <c r="F46" s="9" t="s">
        <v>90</v>
      </c>
      <c r="G46" s="9" t="s">
        <v>15</v>
      </c>
      <c r="H46" s="9" t="s">
        <v>22</v>
      </c>
      <c r="I46" s="9" t="s">
        <v>17</v>
      </c>
      <c r="J46" s="9">
        <v>1</v>
      </c>
      <c r="K46" s="9" t="s">
        <v>17</v>
      </c>
      <c r="L46" s="9" t="s">
        <v>18</v>
      </c>
      <c r="M46" s="9" t="s">
        <v>19</v>
      </c>
      <c r="N46" s="52" t="s">
        <v>20</v>
      </c>
      <c r="O46" s="56" t="s">
        <v>347</v>
      </c>
    </row>
    <row r="47" spans="1:15" ht="16" customHeight="1" x14ac:dyDescent="0.35">
      <c r="A47" s="147">
        <v>42</v>
      </c>
      <c r="B47" s="2" t="str">
        <f>Penghasilan!B24</f>
        <v>3523151403061467</v>
      </c>
      <c r="C47" s="2" t="s">
        <v>91</v>
      </c>
      <c r="D47" s="11" t="s">
        <v>92</v>
      </c>
      <c r="E47" s="28">
        <f>Penghasilan!$D$24</f>
        <v>1000000</v>
      </c>
      <c r="F47" s="9" t="s">
        <v>90</v>
      </c>
      <c r="G47" s="9" t="s">
        <v>15</v>
      </c>
      <c r="H47" s="9" t="s">
        <v>22</v>
      </c>
      <c r="I47" s="9" t="s">
        <v>16</v>
      </c>
      <c r="J47" s="9">
        <v>1</v>
      </c>
      <c r="K47" s="9">
        <v>2</v>
      </c>
      <c r="L47" s="9" t="s">
        <v>54</v>
      </c>
      <c r="M47" s="9" t="s">
        <v>19</v>
      </c>
      <c r="N47" s="52" t="s">
        <v>20</v>
      </c>
      <c r="O47" s="56" t="s">
        <v>349</v>
      </c>
    </row>
    <row r="48" spans="1:15" ht="16" customHeight="1" x14ac:dyDescent="0.35">
      <c r="A48" s="147">
        <v>43</v>
      </c>
      <c r="B48" s="2" t="str">
        <f>Penghasilan!B37</f>
        <v>3523151403061466</v>
      </c>
      <c r="C48" s="2" t="s">
        <v>94</v>
      </c>
      <c r="D48" s="11" t="s">
        <v>95</v>
      </c>
      <c r="E48" s="28">
        <f>Penghasilan!$D$37</f>
        <v>800000</v>
      </c>
      <c r="F48" s="9" t="s">
        <v>23</v>
      </c>
      <c r="G48" s="9" t="s">
        <v>15</v>
      </c>
      <c r="H48" s="9" t="s">
        <v>22</v>
      </c>
      <c r="I48" s="9" t="s">
        <v>17</v>
      </c>
      <c r="J48" s="9" t="s">
        <v>17</v>
      </c>
      <c r="K48" s="9" t="s">
        <v>17</v>
      </c>
      <c r="L48" s="9" t="s">
        <v>18</v>
      </c>
      <c r="M48" s="9" t="s">
        <v>19</v>
      </c>
      <c r="N48" s="52" t="s">
        <v>20</v>
      </c>
      <c r="O48" s="56" t="s">
        <v>347</v>
      </c>
    </row>
    <row r="49" spans="1:15" ht="16" customHeight="1" x14ac:dyDescent="0.35">
      <c r="A49" s="57">
        <v>44</v>
      </c>
      <c r="B49" s="2" t="str">
        <f>Penghasilan!B36</f>
        <v>3523151309090180</v>
      </c>
      <c r="C49" s="2" t="s">
        <v>96</v>
      </c>
      <c r="D49" s="11" t="s">
        <v>95</v>
      </c>
      <c r="E49" s="28" t="str">
        <f>Penghasilan!$D$36</f>
        <v>Tidak bekerja</v>
      </c>
      <c r="F49" s="9" t="s">
        <v>97</v>
      </c>
      <c r="G49" s="9" t="s">
        <v>15</v>
      </c>
      <c r="H49" s="9" t="s">
        <v>22</v>
      </c>
      <c r="I49" s="9" t="s">
        <v>17</v>
      </c>
      <c r="J49" s="9">
        <v>1</v>
      </c>
      <c r="K49" s="9" t="s">
        <v>17</v>
      </c>
      <c r="L49" s="9" t="s">
        <v>54</v>
      </c>
      <c r="M49" s="9" t="s">
        <v>73</v>
      </c>
      <c r="N49" s="52" t="s">
        <v>20</v>
      </c>
      <c r="O49" s="56" t="s">
        <v>349</v>
      </c>
    </row>
    <row r="50" spans="1:15" ht="16" customHeight="1" x14ac:dyDescent="0.35">
      <c r="A50" s="147">
        <v>45</v>
      </c>
      <c r="B50" s="2" t="str">
        <f>Penghasilan!B38</f>
        <v>3523151403061468</v>
      </c>
      <c r="C50" s="2" t="s">
        <v>98</v>
      </c>
      <c r="D50" s="11" t="s">
        <v>95</v>
      </c>
      <c r="E50" s="28">
        <f>Penghasilan!$D$38</f>
        <v>1500000</v>
      </c>
      <c r="F50" s="9" t="s">
        <v>80</v>
      </c>
      <c r="G50" s="9" t="s">
        <v>15</v>
      </c>
      <c r="H50" s="9" t="s">
        <v>22</v>
      </c>
      <c r="I50" s="9" t="s">
        <v>17</v>
      </c>
      <c r="J50" s="9">
        <v>1</v>
      </c>
      <c r="K50" s="9" t="s">
        <v>17</v>
      </c>
      <c r="L50" s="9" t="s">
        <v>18</v>
      </c>
      <c r="M50" s="9" t="s">
        <v>19</v>
      </c>
      <c r="N50" s="52" t="s">
        <v>20</v>
      </c>
      <c r="O50" s="56" t="s">
        <v>347</v>
      </c>
    </row>
    <row r="51" spans="1:15" ht="16" customHeight="1" x14ac:dyDescent="0.35">
      <c r="A51" s="147">
        <v>46</v>
      </c>
      <c r="B51" s="2" t="str">
        <f>Penghasilan!B41</f>
        <v>3523153004190006</v>
      </c>
      <c r="C51" s="2" t="s">
        <v>99</v>
      </c>
      <c r="D51" s="11" t="s">
        <v>95</v>
      </c>
      <c r="E51" s="28">
        <f>Penghasilan!$D$41</f>
        <v>2500000</v>
      </c>
      <c r="F51" s="9" t="s">
        <v>80</v>
      </c>
      <c r="G51" s="9" t="s">
        <v>38</v>
      </c>
      <c r="H51" s="9" t="s">
        <v>22</v>
      </c>
      <c r="I51" s="9" t="s">
        <v>17</v>
      </c>
      <c r="J51" s="9" t="s">
        <v>17</v>
      </c>
      <c r="K51" s="9">
        <v>2</v>
      </c>
      <c r="L51" s="9" t="s">
        <v>18</v>
      </c>
      <c r="M51" s="9" t="s">
        <v>19</v>
      </c>
      <c r="N51" s="52" t="s">
        <v>20</v>
      </c>
      <c r="O51" s="56" t="s">
        <v>347</v>
      </c>
    </row>
    <row r="52" spans="1:15" ht="16" customHeight="1" x14ac:dyDescent="0.35">
      <c r="A52" s="57">
        <v>47</v>
      </c>
      <c r="B52" s="2" t="str">
        <f>Penghasilan!B42</f>
        <v>3523151309090188</v>
      </c>
      <c r="C52" s="2" t="s">
        <v>100</v>
      </c>
      <c r="D52" s="11" t="s">
        <v>92</v>
      </c>
      <c r="E52" s="28">
        <f>Penghasilan!$D$42</f>
        <v>1500000</v>
      </c>
      <c r="F52" s="9" t="s">
        <v>14</v>
      </c>
      <c r="G52" s="9" t="s">
        <v>15</v>
      </c>
      <c r="H52" s="9" t="s">
        <v>22</v>
      </c>
      <c r="I52" s="9" t="s">
        <v>17</v>
      </c>
      <c r="J52" s="9" t="s">
        <v>17</v>
      </c>
      <c r="K52" s="9">
        <v>2</v>
      </c>
      <c r="L52" s="9" t="s">
        <v>18</v>
      </c>
      <c r="M52" s="9" t="s">
        <v>19</v>
      </c>
      <c r="N52" s="52" t="s">
        <v>20</v>
      </c>
      <c r="O52" s="56" t="s">
        <v>347</v>
      </c>
    </row>
    <row r="53" spans="1:15" ht="16" customHeight="1" x14ac:dyDescent="0.35">
      <c r="A53" s="147">
        <v>48</v>
      </c>
      <c r="B53" s="2" t="str">
        <f>Penghasilan!B34</f>
        <v>3523151403061462</v>
      </c>
      <c r="C53" s="2" t="s">
        <v>101</v>
      </c>
      <c r="D53" s="11" t="s">
        <v>92</v>
      </c>
      <c r="E53" s="28">
        <f>Penghasilan!$D$34</f>
        <v>1000000</v>
      </c>
      <c r="F53" s="9" t="s">
        <v>14</v>
      </c>
      <c r="G53" s="9" t="s">
        <v>15</v>
      </c>
      <c r="H53" s="9" t="s">
        <v>22</v>
      </c>
      <c r="I53" s="9" t="s">
        <v>17</v>
      </c>
      <c r="J53" s="9">
        <v>2</v>
      </c>
      <c r="K53" s="9" t="s">
        <v>17</v>
      </c>
      <c r="L53" s="9" t="s">
        <v>18</v>
      </c>
      <c r="M53" s="9" t="s">
        <v>19</v>
      </c>
      <c r="N53" s="52" t="s">
        <v>20</v>
      </c>
      <c r="O53" s="56" t="s">
        <v>347</v>
      </c>
    </row>
    <row r="54" spans="1:15" ht="16" customHeight="1" x14ac:dyDescent="0.35">
      <c r="A54" s="147">
        <v>49</v>
      </c>
      <c r="B54" s="2" t="str">
        <f>Penghasilan!B40</f>
        <v>3523150209200001</v>
      </c>
      <c r="C54" s="2" t="s">
        <v>102</v>
      </c>
      <c r="D54" s="11" t="s">
        <v>95</v>
      </c>
      <c r="E54" s="28">
        <f>Penghasilan!$D$40</f>
        <v>5000000</v>
      </c>
      <c r="F54" s="9" t="s">
        <v>103</v>
      </c>
      <c r="G54" s="9" t="s">
        <v>15</v>
      </c>
      <c r="H54" s="9" t="s">
        <v>22</v>
      </c>
      <c r="I54" s="9" t="s">
        <v>16</v>
      </c>
      <c r="J54" s="9" t="s">
        <v>17</v>
      </c>
      <c r="K54" s="9">
        <v>1</v>
      </c>
      <c r="L54" s="9" t="s">
        <v>18</v>
      </c>
      <c r="M54" s="9" t="s">
        <v>19</v>
      </c>
      <c r="N54" s="52" t="s">
        <v>20</v>
      </c>
      <c r="O54" s="56" t="s">
        <v>347</v>
      </c>
    </row>
    <row r="55" spans="1:15" ht="16" customHeight="1" x14ac:dyDescent="0.35">
      <c r="A55" s="57">
        <v>50</v>
      </c>
      <c r="B55" s="2" t="str">
        <f>Penghasilan!B39</f>
        <v>3523151403060780</v>
      </c>
      <c r="C55" s="2" t="s">
        <v>104</v>
      </c>
      <c r="D55" s="11" t="s">
        <v>92</v>
      </c>
      <c r="E55" s="28" t="str">
        <f>Penghasilan!$D$39</f>
        <v>Tidak bekerja</v>
      </c>
      <c r="F55" s="9" t="s">
        <v>50</v>
      </c>
      <c r="G55" s="9" t="s">
        <v>15</v>
      </c>
      <c r="H55" s="9" t="s">
        <v>22</v>
      </c>
      <c r="I55" s="9" t="s">
        <v>17</v>
      </c>
      <c r="J55" s="9">
        <v>1</v>
      </c>
      <c r="K55" s="9" t="s">
        <v>17</v>
      </c>
      <c r="L55" s="9" t="s">
        <v>18</v>
      </c>
      <c r="M55" s="9" t="s">
        <v>19</v>
      </c>
      <c r="N55" s="52" t="s">
        <v>20</v>
      </c>
      <c r="O55" s="56" t="s">
        <v>349</v>
      </c>
    </row>
    <row r="56" spans="1:15" ht="16" customHeight="1" x14ac:dyDescent="0.35">
      <c r="A56" s="147">
        <v>51</v>
      </c>
      <c r="B56" s="2" t="str">
        <f>Penghasilan!B30</f>
        <v>3523151403061463</v>
      </c>
      <c r="C56" s="2" t="s">
        <v>105</v>
      </c>
      <c r="D56" s="11" t="s">
        <v>92</v>
      </c>
      <c r="E56" s="28">
        <f>Penghasilan!$D$30</f>
        <v>800000</v>
      </c>
      <c r="F56" s="9" t="s">
        <v>23</v>
      </c>
      <c r="G56" s="9" t="s">
        <v>15</v>
      </c>
      <c r="H56" s="9" t="s">
        <v>22</v>
      </c>
      <c r="I56" s="9" t="s">
        <v>16</v>
      </c>
      <c r="J56" s="9" t="s">
        <v>17</v>
      </c>
      <c r="K56" s="9">
        <v>3</v>
      </c>
      <c r="L56" s="9" t="s">
        <v>54</v>
      </c>
      <c r="M56" s="9" t="s">
        <v>73</v>
      </c>
      <c r="N56" s="52" t="s">
        <v>20</v>
      </c>
      <c r="O56" s="56" t="s">
        <v>349</v>
      </c>
    </row>
    <row r="57" spans="1:15" ht="16" customHeight="1" x14ac:dyDescent="0.35">
      <c r="A57" s="147">
        <v>52</v>
      </c>
      <c r="B57" s="2" t="str">
        <f>Penghasilan!B32</f>
        <v>3523151005110001</v>
      </c>
      <c r="C57" s="2" t="s">
        <v>106</v>
      </c>
      <c r="D57" s="11" t="s">
        <v>92</v>
      </c>
      <c r="E57" s="28">
        <f>Penghasilan!$D$32</f>
        <v>1000000</v>
      </c>
      <c r="F57" s="9" t="s">
        <v>23</v>
      </c>
      <c r="G57" s="9" t="s">
        <v>15</v>
      </c>
      <c r="H57" s="9" t="s">
        <v>22</v>
      </c>
      <c r="I57" s="9" t="s">
        <v>17</v>
      </c>
      <c r="J57" s="9" t="s">
        <v>17</v>
      </c>
      <c r="K57" s="9">
        <v>2</v>
      </c>
      <c r="L57" s="9" t="s">
        <v>18</v>
      </c>
      <c r="M57" s="9" t="s">
        <v>43</v>
      </c>
      <c r="N57" s="52" t="s">
        <v>20</v>
      </c>
      <c r="O57" s="56" t="s">
        <v>347</v>
      </c>
    </row>
    <row r="58" spans="1:15" ht="16" customHeight="1" x14ac:dyDescent="0.35">
      <c r="A58" s="57">
        <v>53</v>
      </c>
      <c r="B58" s="2" t="str">
        <f>Penghasilan!B33</f>
        <v>3523151403060778</v>
      </c>
      <c r="C58" s="2" t="s">
        <v>107</v>
      </c>
      <c r="D58" s="11" t="s">
        <v>92</v>
      </c>
      <c r="E58" s="28">
        <f>Penghasilan!$D$33</f>
        <v>1000000</v>
      </c>
      <c r="F58" s="9" t="s">
        <v>108</v>
      </c>
      <c r="G58" s="9" t="s">
        <v>15</v>
      </c>
      <c r="H58" s="9" t="s">
        <v>22</v>
      </c>
      <c r="I58" s="9" t="s">
        <v>17</v>
      </c>
      <c r="J58" s="9" t="s">
        <v>17</v>
      </c>
      <c r="K58" s="9">
        <v>1</v>
      </c>
      <c r="L58" s="9" t="s">
        <v>18</v>
      </c>
      <c r="M58" s="9" t="s">
        <v>19</v>
      </c>
      <c r="N58" s="52" t="s">
        <v>20</v>
      </c>
      <c r="O58" s="56" t="s">
        <v>347</v>
      </c>
    </row>
    <row r="59" spans="1:15" ht="16" customHeight="1" x14ac:dyDescent="0.35">
      <c r="A59" s="147">
        <v>54</v>
      </c>
      <c r="B59" s="2" t="str">
        <f>Penghasilan!B35</f>
        <v>3523151303180005</v>
      </c>
      <c r="C59" s="2" t="s">
        <v>109</v>
      </c>
      <c r="D59" s="11" t="s">
        <v>95</v>
      </c>
      <c r="E59" s="28">
        <f>Penghasilan!$D$35</f>
        <v>3000000</v>
      </c>
      <c r="F59" s="9" t="s">
        <v>23</v>
      </c>
      <c r="G59" s="9" t="s">
        <v>15</v>
      </c>
      <c r="H59" s="9" t="s">
        <v>22</v>
      </c>
      <c r="I59" s="9" t="s">
        <v>17</v>
      </c>
      <c r="J59" s="9" t="s">
        <v>17</v>
      </c>
      <c r="K59" s="9">
        <v>2</v>
      </c>
      <c r="L59" s="9" t="s">
        <v>18</v>
      </c>
      <c r="M59" s="9" t="s">
        <v>19</v>
      </c>
      <c r="N59" s="52" t="s">
        <v>20</v>
      </c>
      <c r="O59" s="56" t="s">
        <v>347</v>
      </c>
    </row>
    <row r="60" spans="1:15" ht="16" customHeight="1" x14ac:dyDescent="0.35">
      <c r="A60" s="147">
        <v>55</v>
      </c>
      <c r="B60" s="2" t="str">
        <f>Penghasilan!B31</f>
        <v>3523151403060769</v>
      </c>
      <c r="C60" s="2" t="s">
        <v>111</v>
      </c>
      <c r="D60" s="11" t="s">
        <v>92</v>
      </c>
      <c r="E60" s="28">
        <f>Penghasilan!$D$31</f>
        <v>3000000</v>
      </c>
      <c r="F60" s="9" t="s">
        <v>112</v>
      </c>
      <c r="G60" s="9" t="s">
        <v>15</v>
      </c>
      <c r="H60" s="9" t="s">
        <v>22</v>
      </c>
      <c r="I60" s="9" t="s">
        <v>17</v>
      </c>
      <c r="J60" s="9" t="s">
        <v>17</v>
      </c>
      <c r="K60" s="9">
        <v>1</v>
      </c>
      <c r="L60" s="9" t="s">
        <v>18</v>
      </c>
      <c r="M60" s="9" t="s">
        <v>19</v>
      </c>
      <c r="N60" s="52" t="s">
        <v>20</v>
      </c>
      <c r="O60" s="56" t="s">
        <v>347</v>
      </c>
    </row>
    <row r="61" spans="1:15" ht="16" customHeight="1" x14ac:dyDescent="0.35">
      <c r="A61" s="57">
        <v>56</v>
      </c>
      <c r="B61" s="2" t="str">
        <f>Penghasilan!B43</f>
        <v>3523152405190001</v>
      </c>
      <c r="C61" s="2" t="s">
        <v>113</v>
      </c>
      <c r="D61" s="11" t="s">
        <v>92</v>
      </c>
      <c r="E61" s="28">
        <f>Penghasilan!$D$43</f>
        <v>1000000</v>
      </c>
      <c r="F61" s="9" t="s">
        <v>112</v>
      </c>
      <c r="G61" s="9" t="s">
        <v>38</v>
      </c>
      <c r="H61" s="9" t="s">
        <v>22</v>
      </c>
      <c r="I61" s="9" t="s">
        <v>17</v>
      </c>
      <c r="J61" s="9" t="s">
        <v>17</v>
      </c>
      <c r="K61" s="9">
        <v>1</v>
      </c>
      <c r="L61" s="9" t="s">
        <v>18</v>
      </c>
      <c r="M61" s="9" t="s">
        <v>19</v>
      </c>
      <c r="N61" s="52" t="s">
        <v>20</v>
      </c>
      <c r="O61" s="56" t="s">
        <v>347</v>
      </c>
    </row>
    <row r="62" spans="1:15" ht="16" customHeight="1" x14ac:dyDescent="0.35">
      <c r="A62" s="147">
        <v>57</v>
      </c>
      <c r="B62" s="2" t="str">
        <f>Penghasilan!B44</f>
        <v>3523151403060777</v>
      </c>
      <c r="C62" s="2" t="s">
        <v>114</v>
      </c>
      <c r="D62" s="11" t="s">
        <v>95</v>
      </c>
      <c r="E62" s="28">
        <f>Penghasilan!$D$44</f>
        <v>4000000</v>
      </c>
      <c r="F62" s="9" t="s">
        <v>115</v>
      </c>
      <c r="G62" s="9" t="s">
        <v>15</v>
      </c>
      <c r="H62" s="9" t="s">
        <v>22</v>
      </c>
      <c r="I62" s="9" t="s">
        <v>17</v>
      </c>
      <c r="J62" s="9">
        <v>1</v>
      </c>
      <c r="K62" s="9" t="s">
        <v>17</v>
      </c>
      <c r="L62" s="9" t="s">
        <v>18</v>
      </c>
      <c r="M62" s="9" t="s">
        <v>19</v>
      </c>
      <c r="N62" s="52" t="s">
        <v>20</v>
      </c>
      <c r="O62" s="56" t="s">
        <v>347</v>
      </c>
    </row>
    <row r="63" spans="1:15" ht="16" customHeight="1" x14ac:dyDescent="0.35">
      <c r="A63" s="147">
        <v>58</v>
      </c>
      <c r="B63" s="2" t="str">
        <f>Penghasilan!B45</f>
        <v>3523151309090177</v>
      </c>
      <c r="C63" s="2" t="s">
        <v>116</v>
      </c>
      <c r="D63" s="11" t="s">
        <v>92</v>
      </c>
      <c r="E63" s="28">
        <f>Penghasilan!$D$45</f>
        <v>5000000</v>
      </c>
      <c r="F63" s="9" t="s">
        <v>117</v>
      </c>
      <c r="G63" s="9" t="s">
        <v>15</v>
      </c>
      <c r="H63" s="9" t="s">
        <v>22</v>
      </c>
      <c r="I63" s="9" t="s">
        <v>17</v>
      </c>
      <c r="J63" s="9" t="s">
        <v>17</v>
      </c>
      <c r="K63" s="9">
        <v>2</v>
      </c>
      <c r="L63" s="9" t="s">
        <v>18</v>
      </c>
      <c r="M63" s="9" t="s">
        <v>19</v>
      </c>
      <c r="N63" s="52" t="s">
        <v>20</v>
      </c>
      <c r="O63" s="56" t="s">
        <v>347</v>
      </c>
    </row>
    <row r="64" spans="1:15" ht="16" customHeight="1" x14ac:dyDescent="0.35">
      <c r="A64" s="57">
        <v>59</v>
      </c>
      <c r="B64" s="2" t="str">
        <f>Penghasilan!B46</f>
        <v>3523151403060771</v>
      </c>
      <c r="C64" s="2" t="s">
        <v>230</v>
      </c>
      <c r="D64" s="11" t="s">
        <v>92</v>
      </c>
      <c r="E64" s="28">
        <f>Penghasilan!$D$46</f>
        <v>800000</v>
      </c>
      <c r="F64" s="9" t="s">
        <v>14</v>
      </c>
      <c r="G64" s="9" t="s">
        <v>15</v>
      </c>
      <c r="H64" s="9" t="s">
        <v>22</v>
      </c>
      <c r="I64" s="9" t="s">
        <v>17</v>
      </c>
      <c r="J64" s="9" t="s">
        <v>17</v>
      </c>
      <c r="K64" s="9">
        <v>2</v>
      </c>
      <c r="L64" s="9" t="s">
        <v>18</v>
      </c>
      <c r="M64" s="9" t="s">
        <v>19</v>
      </c>
      <c r="N64" s="52" t="s">
        <v>20</v>
      </c>
      <c r="O64" s="56" t="s">
        <v>347</v>
      </c>
    </row>
    <row r="65" spans="1:15" ht="16" customHeight="1" x14ac:dyDescent="0.35">
      <c r="A65" s="147">
        <v>60</v>
      </c>
      <c r="B65" s="2" t="str">
        <f>Penghasilan!B47</f>
        <v>3523151309090182</v>
      </c>
      <c r="C65" s="2" t="s">
        <v>118</v>
      </c>
      <c r="D65" s="11" t="s">
        <v>92</v>
      </c>
      <c r="E65" s="28">
        <f>Penghasilan!$D$47</f>
        <v>4000000</v>
      </c>
      <c r="F65" s="9" t="s">
        <v>47</v>
      </c>
      <c r="G65" s="9" t="s">
        <v>15</v>
      </c>
      <c r="H65" s="9" t="s">
        <v>22</v>
      </c>
      <c r="I65" s="9" t="s">
        <v>17</v>
      </c>
      <c r="J65" s="9" t="s">
        <v>17</v>
      </c>
      <c r="K65" s="9" t="s">
        <v>17</v>
      </c>
      <c r="L65" s="9" t="s">
        <v>18</v>
      </c>
      <c r="M65" s="9" t="s">
        <v>19</v>
      </c>
      <c r="N65" s="52" t="s">
        <v>20</v>
      </c>
      <c r="O65" s="56" t="s">
        <v>347</v>
      </c>
    </row>
    <row r="66" spans="1:15" ht="16" customHeight="1" x14ac:dyDescent="0.35">
      <c r="A66" s="147">
        <v>61</v>
      </c>
      <c r="B66" s="2" t="str">
        <f>Penghasilan!B48</f>
        <v>3523151403060776</v>
      </c>
      <c r="C66" s="2" t="s">
        <v>203</v>
      </c>
      <c r="D66" s="11" t="s">
        <v>95</v>
      </c>
      <c r="E66" s="28">
        <f>Penghasilan!$D$48</f>
        <v>1000000</v>
      </c>
      <c r="F66" s="9" t="s">
        <v>232</v>
      </c>
      <c r="G66" s="9" t="s">
        <v>15</v>
      </c>
      <c r="H66" s="9" t="s">
        <v>22</v>
      </c>
      <c r="I66" s="9" t="s">
        <v>17</v>
      </c>
      <c r="J66" s="9">
        <v>1</v>
      </c>
      <c r="K66" s="9" t="s">
        <v>17</v>
      </c>
      <c r="L66" s="9" t="s">
        <v>18</v>
      </c>
      <c r="M66" s="9" t="s">
        <v>19</v>
      </c>
      <c r="N66" s="52" t="s">
        <v>20</v>
      </c>
      <c r="O66" s="56" t="s">
        <v>347</v>
      </c>
    </row>
    <row r="67" spans="1:15" ht="16" customHeight="1" x14ac:dyDescent="0.35">
      <c r="A67" s="57">
        <v>62</v>
      </c>
      <c r="B67" s="2" t="str">
        <f>Penghasilan!B6</f>
        <v>3523151309090184</v>
      </c>
      <c r="C67" s="2" t="s">
        <v>123</v>
      </c>
      <c r="D67" s="11" t="s">
        <v>95</v>
      </c>
      <c r="E67" s="28">
        <f>Penghasilan!$D$6</f>
        <v>700000</v>
      </c>
      <c r="F67" s="9" t="s">
        <v>23</v>
      </c>
      <c r="G67" s="9" t="s">
        <v>15</v>
      </c>
      <c r="H67" s="9" t="s">
        <v>22</v>
      </c>
      <c r="I67" s="9" t="s">
        <v>17</v>
      </c>
      <c r="J67" s="9" t="s">
        <v>17</v>
      </c>
      <c r="K67" s="9">
        <v>1</v>
      </c>
      <c r="L67" s="9" t="s">
        <v>18</v>
      </c>
      <c r="M67" s="9" t="s">
        <v>19</v>
      </c>
      <c r="N67" s="52" t="s">
        <v>20</v>
      </c>
      <c r="O67" s="56" t="s">
        <v>347</v>
      </c>
    </row>
    <row r="68" spans="1:15" ht="16" customHeight="1" x14ac:dyDescent="0.35">
      <c r="A68" s="147">
        <v>63</v>
      </c>
      <c r="B68" s="2" t="str">
        <f>Penghasilan!B49</f>
        <v>3523152101140003</v>
      </c>
      <c r="C68" s="2" t="s">
        <v>233</v>
      </c>
      <c r="D68" s="11" t="s">
        <v>95</v>
      </c>
      <c r="E68" s="28">
        <f>Penghasilan!$D$49</f>
        <v>500000</v>
      </c>
      <c r="F68" s="9" t="s">
        <v>234</v>
      </c>
      <c r="G68" s="9" t="s">
        <v>15</v>
      </c>
      <c r="H68" s="9" t="s">
        <v>22</v>
      </c>
      <c r="I68" s="9" t="s">
        <v>17</v>
      </c>
      <c r="J68" s="9">
        <v>1</v>
      </c>
      <c r="K68" s="9" t="s">
        <v>17</v>
      </c>
      <c r="L68" s="9" t="s">
        <v>18</v>
      </c>
      <c r="M68" s="9" t="s">
        <v>19</v>
      </c>
      <c r="N68" s="52" t="s">
        <v>20</v>
      </c>
      <c r="O68" s="56" t="s">
        <v>349</v>
      </c>
    </row>
    <row r="69" spans="1:15" ht="16" customHeight="1" x14ac:dyDescent="0.35">
      <c r="A69" s="147">
        <v>64</v>
      </c>
      <c r="B69" s="2" t="str">
        <f>Penghasilan!B52</f>
        <v>3523152207170003</v>
      </c>
      <c r="C69" s="2" t="s">
        <v>211</v>
      </c>
      <c r="D69" s="11" t="s">
        <v>95</v>
      </c>
      <c r="E69" s="28">
        <f>Penghasilan!$D$52</f>
        <v>3700000</v>
      </c>
      <c r="F69" s="9" t="s">
        <v>23</v>
      </c>
      <c r="G69" s="9" t="s">
        <v>15</v>
      </c>
      <c r="H69" s="9" t="s">
        <v>22</v>
      </c>
      <c r="I69" s="9" t="s">
        <v>17</v>
      </c>
      <c r="J69" s="9">
        <v>1</v>
      </c>
      <c r="K69" s="9" t="s">
        <v>17</v>
      </c>
      <c r="L69" s="9" t="s">
        <v>18</v>
      </c>
      <c r="M69" s="9" t="s">
        <v>19</v>
      </c>
      <c r="N69" s="52" t="s">
        <v>20</v>
      </c>
      <c r="O69" s="56" t="s">
        <v>347</v>
      </c>
    </row>
    <row r="70" spans="1:15" ht="16" customHeight="1" x14ac:dyDescent="0.35">
      <c r="A70" s="57">
        <v>65</v>
      </c>
      <c r="B70" s="2" t="str">
        <f>Penghasilan!B50</f>
        <v>3523152212160003</v>
      </c>
      <c r="C70" s="2" t="s">
        <v>207</v>
      </c>
      <c r="D70" s="11" t="s">
        <v>235</v>
      </c>
      <c r="E70" s="28">
        <f>Penghasilan!$D$50</f>
        <v>1000000</v>
      </c>
      <c r="F70" s="9" t="s">
        <v>23</v>
      </c>
      <c r="G70" s="9" t="s">
        <v>15</v>
      </c>
      <c r="H70" s="9" t="s">
        <v>22</v>
      </c>
      <c r="I70" s="9" t="s">
        <v>17</v>
      </c>
      <c r="J70" s="9">
        <v>1</v>
      </c>
      <c r="K70" s="9" t="s">
        <v>17</v>
      </c>
      <c r="L70" s="9" t="s">
        <v>18</v>
      </c>
      <c r="M70" s="9" t="s">
        <v>19</v>
      </c>
      <c r="N70" s="52" t="s">
        <v>20</v>
      </c>
      <c r="O70" s="56" t="s">
        <v>347</v>
      </c>
    </row>
    <row r="71" spans="1:15" ht="16" customHeight="1" x14ac:dyDescent="0.35">
      <c r="A71" s="147">
        <v>66</v>
      </c>
      <c r="B71" s="2" t="str">
        <f>Penghasilan!B51</f>
        <v>3523151403063105</v>
      </c>
      <c r="C71" s="2" t="s">
        <v>209</v>
      </c>
      <c r="D71" s="11" t="s">
        <v>95</v>
      </c>
      <c r="E71" s="28">
        <f>Penghasilan!$D$51</f>
        <v>2083333.3333333333</v>
      </c>
      <c r="F71" s="9" t="s">
        <v>103</v>
      </c>
      <c r="G71" s="9" t="s">
        <v>15</v>
      </c>
      <c r="H71" s="9" t="s">
        <v>22</v>
      </c>
      <c r="I71" s="9" t="s">
        <v>17</v>
      </c>
      <c r="J71" s="9" t="s">
        <v>17</v>
      </c>
      <c r="K71" s="9">
        <v>1</v>
      </c>
      <c r="L71" s="9" t="s">
        <v>18</v>
      </c>
      <c r="M71" s="9" t="s">
        <v>19</v>
      </c>
      <c r="N71" s="52" t="s">
        <v>20</v>
      </c>
      <c r="O71" s="56" t="s">
        <v>347</v>
      </c>
    </row>
    <row r="72" spans="1:15" ht="16" customHeight="1" x14ac:dyDescent="0.35">
      <c r="A72" s="147">
        <v>67</v>
      </c>
      <c r="B72" s="2" t="str">
        <f>Penghasilan!B25</f>
        <v>3523150311160031</v>
      </c>
      <c r="C72" s="2" t="s">
        <v>236</v>
      </c>
      <c r="D72" s="11" t="s">
        <v>235</v>
      </c>
      <c r="E72" s="28">
        <f>Penghasilan!$D$25</f>
        <v>2000000</v>
      </c>
      <c r="F72" s="9" t="s">
        <v>103</v>
      </c>
      <c r="G72" s="9" t="s">
        <v>38</v>
      </c>
      <c r="H72" s="9" t="s">
        <v>22</v>
      </c>
      <c r="I72" s="9" t="s">
        <v>237</v>
      </c>
      <c r="J72" s="9" t="s">
        <v>17</v>
      </c>
      <c r="K72" s="9" t="s">
        <v>17</v>
      </c>
      <c r="L72" s="9" t="s">
        <v>18</v>
      </c>
      <c r="M72" s="9" t="s">
        <v>19</v>
      </c>
      <c r="N72" s="52" t="s">
        <v>20</v>
      </c>
      <c r="O72" s="56" t="s">
        <v>347</v>
      </c>
    </row>
    <row r="73" spans="1:15" ht="16" customHeight="1" x14ac:dyDescent="0.35">
      <c r="A73" s="57">
        <v>68</v>
      </c>
      <c r="B73" s="2" t="str">
        <f>Penghasilan!B53</f>
        <v>3523151403060757</v>
      </c>
      <c r="C73" s="2" t="s">
        <v>213</v>
      </c>
      <c r="D73" s="11" t="s">
        <v>95</v>
      </c>
      <c r="E73" s="28">
        <f>Penghasilan!$D$53</f>
        <v>5830000</v>
      </c>
      <c r="F73" s="9" t="s">
        <v>238</v>
      </c>
      <c r="G73" s="9" t="s">
        <v>15</v>
      </c>
      <c r="H73" s="9" t="s">
        <v>22</v>
      </c>
      <c r="I73" s="9" t="s">
        <v>17</v>
      </c>
      <c r="J73" s="9" t="s">
        <v>17</v>
      </c>
      <c r="K73" s="9">
        <v>1</v>
      </c>
      <c r="L73" s="9" t="s">
        <v>18</v>
      </c>
      <c r="M73" s="9" t="s">
        <v>19</v>
      </c>
      <c r="N73" s="52" t="s">
        <v>20</v>
      </c>
      <c r="O73" s="56" t="s">
        <v>347</v>
      </c>
    </row>
    <row r="74" spans="1:15" ht="16" customHeight="1" x14ac:dyDescent="0.35">
      <c r="A74" s="147">
        <v>69</v>
      </c>
      <c r="B74" s="2" t="str">
        <f>Penghasilan!B54</f>
        <v>3523151403064641</v>
      </c>
      <c r="C74" s="2" t="s">
        <v>215</v>
      </c>
      <c r="D74" s="11" t="s">
        <v>95</v>
      </c>
      <c r="E74" s="28">
        <f>Penghasilan!$D$54</f>
        <v>1500000</v>
      </c>
      <c r="F74" s="9" t="s">
        <v>14</v>
      </c>
      <c r="G74" s="9" t="s">
        <v>15</v>
      </c>
      <c r="H74" s="9" t="s">
        <v>22</v>
      </c>
      <c r="I74" s="9" t="s">
        <v>17</v>
      </c>
      <c r="J74" s="9" t="s">
        <v>17</v>
      </c>
      <c r="K74" s="9">
        <v>1</v>
      </c>
      <c r="L74" s="9" t="s">
        <v>18</v>
      </c>
      <c r="M74" s="9" t="s">
        <v>19</v>
      </c>
      <c r="N74" s="52" t="s">
        <v>20</v>
      </c>
      <c r="O74" s="56" t="s">
        <v>347</v>
      </c>
    </row>
    <row r="75" spans="1:15" ht="16" customHeight="1" x14ac:dyDescent="0.35">
      <c r="A75" s="147">
        <v>70</v>
      </c>
      <c r="B75" s="2" t="str">
        <f>Penghasilan!B55</f>
        <v>3523151309090179</v>
      </c>
      <c r="C75" s="2" t="s">
        <v>239</v>
      </c>
      <c r="D75" s="11" t="s">
        <v>92</v>
      </c>
      <c r="E75" s="28">
        <f>Penghasilan!$D$55</f>
        <v>1600000</v>
      </c>
      <c r="F75" s="9" t="s">
        <v>23</v>
      </c>
      <c r="G75" s="9" t="s">
        <v>15</v>
      </c>
      <c r="H75" s="9" t="s">
        <v>22</v>
      </c>
      <c r="I75" s="9" t="s">
        <v>17</v>
      </c>
      <c r="J75" s="9" t="s">
        <v>17</v>
      </c>
      <c r="K75" s="9">
        <v>1</v>
      </c>
      <c r="L75" s="9" t="s">
        <v>18</v>
      </c>
      <c r="M75" s="9" t="s">
        <v>19</v>
      </c>
      <c r="N75" s="52" t="s">
        <v>20</v>
      </c>
      <c r="O75" s="56" t="s">
        <v>347</v>
      </c>
    </row>
    <row r="76" spans="1:15" ht="16" customHeight="1" x14ac:dyDescent="0.35">
      <c r="A76" s="57">
        <v>71</v>
      </c>
      <c r="B76" s="2" t="str">
        <f>Penghasilan!B57</f>
        <v>3523152310180005</v>
      </c>
      <c r="C76" s="2" t="s">
        <v>221</v>
      </c>
      <c r="D76" s="11" t="s">
        <v>240</v>
      </c>
      <c r="E76" s="28">
        <f>Penghasilan!$D$57</f>
        <v>1000000</v>
      </c>
      <c r="F76" s="9" t="s">
        <v>23</v>
      </c>
      <c r="G76" s="9" t="s">
        <v>15</v>
      </c>
      <c r="H76" s="9" t="s">
        <v>22</v>
      </c>
      <c r="I76" s="9" t="s">
        <v>17</v>
      </c>
      <c r="J76" s="9">
        <v>1</v>
      </c>
      <c r="K76" s="9" t="s">
        <v>17</v>
      </c>
      <c r="L76" s="9" t="s">
        <v>18</v>
      </c>
      <c r="M76" s="9" t="s">
        <v>19</v>
      </c>
      <c r="N76" s="52" t="s">
        <v>20</v>
      </c>
      <c r="O76" s="56" t="s">
        <v>347</v>
      </c>
    </row>
    <row r="77" spans="1:15" ht="16" customHeight="1" x14ac:dyDescent="0.35">
      <c r="A77" s="147">
        <v>72</v>
      </c>
      <c r="B77" s="2" t="str">
        <f>Penghasilan!B56</f>
        <v>3523151309090183</v>
      </c>
      <c r="C77" s="2" t="s">
        <v>219</v>
      </c>
      <c r="D77" s="11" t="s">
        <v>95</v>
      </c>
      <c r="E77" s="28">
        <f>Penghasilan!$D$56</f>
        <v>4000000</v>
      </c>
      <c r="F77" s="9" t="s">
        <v>117</v>
      </c>
      <c r="G77" s="9" t="s">
        <v>15</v>
      </c>
      <c r="H77" s="9" t="s">
        <v>22</v>
      </c>
      <c r="I77" s="9" t="s">
        <v>17</v>
      </c>
      <c r="J77" s="9" t="s">
        <v>17</v>
      </c>
      <c r="K77" s="9">
        <v>3</v>
      </c>
      <c r="L77" s="9" t="s">
        <v>18</v>
      </c>
      <c r="M77" s="9" t="s">
        <v>19</v>
      </c>
      <c r="N77" s="52" t="s">
        <v>20</v>
      </c>
      <c r="O77" s="56" t="s">
        <v>347</v>
      </c>
    </row>
    <row r="78" spans="1:15" ht="16" customHeight="1" x14ac:dyDescent="0.35">
      <c r="A78" s="147">
        <v>73</v>
      </c>
      <c r="B78" s="2" t="str">
        <f>Penghasilan!B58</f>
        <v>3523151403060766</v>
      </c>
      <c r="C78" s="2" t="s">
        <v>241</v>
      </c>
      <c r="D78" s="11" t="s">
        <v>95</v>
      </c>
      <c r="E78" s="28">
        <f>Penghasilan!$D$58</f>
        <v>5000000</v>
      </c>
      <c r="F78" s="9" t="s">
        <v>242</v>
      </c>
      <c r="G78" s="9" t="s">
        <v>15</v>
      </c>
      <c r="H78" s="9" t="s">
        <v>22</v>
      </c>
      <c r="I78" s="9" t="s">
        <v>17</v>
      </c>
      <c r="J78" s="9" t="s">
        <v>17</v>
      </c>
      <c r="K78" s="9">
        <v>2</v>
      </c>
      <c r="L78" s="9" t="s">
        <v>18</v>
      </c>
      <c r="M78" s="9" t="s">
        <v>19</v>
      </c>
      <c r="N78" s="52" t="s">
        <v>20</v>
      </c>
      <c r="O78" s="56" t="s">
        <v>347</v>
      </c>
    </row>
    <row r="79" spans="1:15" ht="16" customHeight="1" x14ac:dyDescent="0.35">
      <c r="A79" s="57">
        <v>74</v>
      </c>
      <c r="B79" s="2" t="str">
        <f>Penghasilan!B59</f>
        <v>3523151403060765</v>
      </c>
      <c r="C79" s="2" t="s">
        <v>225</v>
      </c>
      <c r="D79" s="11" t="s">
        <v>95</v>
      </c>
      <c r="E79" s="28">
        <f>Penghasilan!$D$59</f>
        <v>3000000</v>
      </c>
      <c r="F79" s="9" t="s">
        <v>243</v>
      </c>
      <c r="G79" s="9" t="s">
        <v>15</v>
      </c>
      <c r="H79" s="9" t="s">
        <v>22</v>
      </c>
      <c r="I79" s="9" t="s">
        <v>17</v>
      </c>
      <c r="J79" s="9">
        <v>1</v>
      </c>
      <c r="K79" s="9" t="s">
        <v>17</v>
      </c>
      <c r="L79" s="9" t="s">
        <v>18</v>
      </c>
      <c r="M79" s="9" t="s">
        <v>19</v>
      </c>
      <c r="N79" s="52" t="s">
        <v>20</v>
      </c>
      <c r="O79" s="56" t="s">
        <v>347</v>
      </c>
    </row>
    <row r="80" spans="1:15" ht="16" customHeight="1" x14ac:dyDescent="0.35">
      <c r="A80" s="147">
        <v>75</v>
      </c>
      <c r="B80" s="2" t="str">
        <f>Penghasilan!B60</f>
        <v>3523151403060763</v>
      </c>
      <c r="C80" s="2" t="s">
        <v>227</v>
      </c>
      <c r="D80" s="11" t="s">
        <v>95</v>
      </c>
      <c r="E80" s="28">
        <f>Penghasilan!$D$60</f>
        <v>2500000</v>
      </c>
      <c r="F80" s="9" t="s">
        <v>244</v>
      </c>
      <c r="G80" s="9" t="s">
        <v>15</v>
      </c>
      <c r="H80" s="9" t="s">
        <v>22</v>
      </c>
      <c r="I80" s="9" t="s">
        <v>17</v>
      </c>
      <c r="J80" s="9" t="s">
        <v>17</v>
      </c>
      <c r="K80" s="9" t="s">
        <v>17</v>
      </c>
      <c r="L80" s="9" t="s">
        <v>72</v>
      </c>
      <c r="M80" s="9" t="s">
        <v>19</v>
      </c>
      <c r="N80" s="52" t="s">
        <v>20</v>
      </c>
      <c r="O80" s="56" t="s">
        <v>347</v>
      </c>
    </row>
    <row r="81" spans="1:15" ht="16" customHeight="1" x14ac:dyDescent="0.35">
      <c r="A81" s="147">
        <v>76</v>
      </c>
      <c r="B81" s="2" t="str">
        <f>Penghasilan!B61</f>
        <v>3523151403060762</v>
      </c>
      <c r="C81" s="2" t="s">
        <v>245</v>
      </c>
      <c r="D81" s="11" t="s">
        <v>95</v>
      </c>
      <c r="E81" s="28">
        <f>Penghasilan!$D$61</f>
        <v>2000000</v>
      </c>
      <c r="F81" s="9" t="s">
        <v>246</v>
      </c>
      <c r="G81" s="9" t="s">
        <v>15</v>
      </c>
      <c r="H81" s="9" t="s">
        <v>22</v>
      </c>
      <c r="I81" s="9" t="s">
        <v>17</v>
      </c>
      <c r="J81" s="9" t="s">
        <v>17</v>
      </c>
      <c r="K81" s="9">
        <v>1</v>
      </c>
      <c r="L81" s="9" t="s">
        <v>18</v>
      </c>
      <c r="M81" s="9" t="s">
        <v>19</v>
      </c>
      <c r="N81" s="52" t="s">
        <v>20</v>
      </c>
      <c r="O81" s="56" t="s">
        <v>347</v>
      </c>
    </row>
    <row r="82" spans="1:15" ht="16" customHeight="1" x14ac:dyDescent="0.35">
      <c r="A82" s="57">
        <v>77</v>
      </c>
      <c r="B82" s="2" t="str">
        <f>Penghasilan!B18</f>
        <v>3523152007120012</v>
      </c>
      <c r="C82" s="2" t="s">
        <v>155</v>
      </c>
      <c r="D82" s="11" t="s">
        <v>95</v>
      </c>
      <c r="E82" s="28">
        <f>Penghasilan!$D$18</f>
        <v>1800000</v>
      </c>
      <c r="F82" s="9" t="s">
        <v>246</v>
      </c>
      <c r="G82" s="9" t="s">
        <v>38</v>
      </c>
      <c r="H82" s="9" t="s">
        <v>22</v>
      </c>
      <c r="I82" s="9" t="s">
        <v>17</v>
      </c>
      <c r="J82" s="9" t="s">
        <v>17</v>
      </c>
      <c r="K82" s="9">
        <v>2</v>
      </c>
      <c r="L82" s="9" t="s">
        <v>18</v>
      </c>
      <c r="M82" s="9" t="s">
        <v>19</v>
      </c>
      <c r="N82" s="52" t="s">
        <v>20</v>
      </c>
      <c r="O82" s="56" t="s">
        <v>347</v>
      </c>
    </row>
    <row r="83" spans="1:15" ht="16" customHeight="1" x14ac:dyDescent="0.35">
      <c r="A83" s="147">
        <v>78</v>
      </c>
      <c r="B83" s="2" t="str">
        <f>Penghasilan!B17</f>
        <v>3523151403060761</v>
      </c>
      <c r="C83" s="2" t="s">
        <v>152</v>
      </c>
      <c r="D83" s="11" t="s">
        <v>95</v>
      </c>
      <c r="E83" s="28">
        <f>Penghasilan!$D$17</f>
        <v>5000000</v>
      </c>
      <c r="F83" s="9" t="s">
        <v>247</v>
      </c>
      <c r="G83" s="9" t="s">
        <v>15</v>
      </c>
      <c r="H83" s="9" t="s">
        <v>22</v>
      </c>
      <c r="I83" s="9" t="s">
        <v>17</v>
      </c>
      <c r="J83" s="9">
        <v>1</v>
      </c>
      <c r="K83" s="9">
        <v>3</v>
      </c>
      <c r="L83" s="9" t="s">
        <v>18</v>
      </c>
      <c r="M83" s="9" t="s">
        <v>19</v>
      </c>
      <c r="N83" s="52" t="s">
        <v>20</v>
      </c>
      <c r="O83" s="56" t="s">
        <v>347</v>
      </c>
    </row>
    <row r="84" spans="1:15" ht="16" customHeight="1" x14ac:dyDescent="0.35">
      <c r="A84" s="147">
        <v>79</v>
      </c>
      <c r="B84" s="2" t="str">
        <f>Penghasilan!B19</f>
        <v>3523152901190003</v>
      </c>
      <c r="C84" s="2" t="s">
        <v>157</v>
      </c>
      <c r="D84" s="11" t="s">
        <v>95</v>
      </c>
      <c r="E84" s="28">
        <f>Penghasilan!$D$19</f>
        <v>2000000</v>
      </c>
      <c r="F84" s="9" t="s">
        <v>67</v>
      </c>
      <c r="G84" s="9" t="s">
        <v>15</v>
      </c>
      <c r="H84" s="9" t="s">
        <v>22</v>
      </c>
      <c r="I84" s="9" t="s">
        <v>17</v>
      </c>
      <c r="J84" s="9">
        <v>1</v>
      </c>
      <c r="K84" s="9" t="s">
        <v>17</v>
      </c>
      <c r="L84" s="9" t="s">
        <v>18</v>
      </c>
      <c r="M84" s="9" t="s">
        <v>19</v>
      </c>
      <c r="N84" s="52" t="s">
        <v>20</v>
      </c>
      <c r="O84" s="56" t="s">
        <v>347</v>
      </c>
    </row>
    <row r="85" spans="1:15" ht="16" customHeight="1" x14ac:dyDescent="0.35">
      <c r="A85" s="57">
        <v>80</v>
      </c>
      <c r="B85" s="2" t="str">
        <f>Penghasilan!B14</f>
        <v>3523152110200008</v>
      </c>
      <c r="C85" s="2" t="s">
        <v>146</v>
      </c>
      <c r="D85" s="11" t="s">
        <v>235</v>
      </c>
      <c r="E85" s="28">
        <f>Penghasilan!$D$14</f>
        <v>1500000</v>
      </c>
      <c r="F85" s="9" t="s">
        <v>234</v>
      </c>
      <c r="G85" s="9" t="s">
        <v>38</v>
      </c>
      <c r="H85" s="9" t="s">
        <v>22</v>
      </c>
      <c r="I85" s="9" t="s">
        <v>17</v>
      </c>
      <c r="J85" s="9" t="s">
        <v>17</v>
      </c>
      <c r="K85" s="9" t="s">
        <v>17</v>
      </c>
      <c r="L85" s="9" t="s">
        <v>18</v>
      </c>
      <c r="M85" s="9" t="s">
        <v>19</v>
      </c>
      <c r="N85" s="52" t="s">
        <v>20</v>
      </c>
      <c r="O85" s="56" t="s">
        <v>347</v>
      </c>
    </row>
    <row r="86" spans="1:15" ht="16" customHeight="1" x14ac:dyDescent="0.35">
      <c r="A86" s="147">
        <v>81</v>
      </c>
      <c r="B86" s="2" t="str">
        <f>Penghasilan!B27</f>
        <v>3523151403060779</v>
      </c>
      <c r="C86" s="2" t="s">
        <v>173</v>
      </c>
      <c r="D86" s="11" t="s">
        <v>95</v>
      </c>
      <c r="E86" s="9" t="s">
        <v>174</v>
      </c>
      <c r="F86" s="9" t="s">
        <v>242</v>
      </c>
      <c r="G86" s="9" t="s">
        <v>15</v>
      </c>
      <c r="H86" s="9" t="s">
        <v>22</v>
      </c>
      <c r="I86" s="9" t="s">
        <v>17</v>
      </c>
      <c r="J86" s="9">
        <v>1</v>
      </c>
      <c r="K86" s="9" t="s">
        <v>17</v>
      </c>
      <c r="L86" s="9" t="s">
        <v>18</v>
      </c>
      <c r="M86" s="9" t="s">
        <v>43</v>
      </c>
      <c r="N86" s="52" t="s">
        <v>20</v>
      </c>
      <c r="O86" s="56" t="s">
        <v>349</v>
      </c>
    </row>
    <row r="87" spans="1:15" ht="16" customHeight="1" x14ac:dyDescent="0.35">
      <c r="A87" s="147">
        <v>82</v>
      </c>
      <c r="B87" s="2" t="str">
        <f>Penghasilan!B16</f>
        <v>3523150508150003</v>
      </c>
      <c r="C87" s="2" t="s">
        <v>150</v>
      </c>
      <c r="D87" s="11" t="s">
        <v>95</v>
      </c>
      <c r="E87" s="28">
        <f>Penghasilan!$D$16</f>
        <v>1000000</v>
      </c>
      <c r="F87" s="9" t="s">
        <v>67</v>
      </c>
      <c r="G87" s="9" t="s">
        <v>38</v>
      </c>
      <c r="H87" s="9" t="s">
        <v>22</v>
      </c>
      <c r="I87" s="9" t="s">
        <v>237</v>
      </c>
      <c r="J87" s="9" t="s">
        <v>17</v>
      </c>
      <c r="K87" s="9">
        <v>1</v>
      </c>
      <c r="L87" s="9" t="s">
        <v>18</v>
      </c>
      <c r="M87" s="9" t="s">
        <v>19</v>
      </c>
      <c r="N87" s="52" t="s">
        <v>20</v>
      </c>
      <c r="O87" s="56" t="s">
        <v>347</v>
      </c>
    </row>
    <row r="88" spans="1:15" ht="16" customHeight="1" x14ac:dyDescent="0.35">
      <c r="A88" s="57">
        <v>83</v>
      </c>
      <c r="B88" s="2" t="str">
        <f>Penghasilan!B15</f>
        <v>3523151403060759</v>
      </c>
      <c r="C88" s="2" t="s">
        <v>147</v>
      </c>
      <c r="D88" s="11" t="s">
        <v>95</v>
      </c>
      <c r="E88" s="28">
        <f>Penghasilan!$D$15</f>
        <v>1000000</v>
      </c>
      <c r="F88" s="9" t="s">
        <v>14</v>
      </c>
      <c r="G88" s="9" t="s">
        <v>15</v>
      </c>
      <c r="H88" s="9" t="s">
        <v>22</v>
      </c>
      <c r="I88" s="9" t="s">
        <v>17</v>
      </c>
      <c r="J88" s="9">
        <v>1</v>
      </c>
      <c r="K88" s="9" t="s">
        <v>17</v>
      </c>
      <c r="L88" s="9" t="s">
        <v>18</v>
      </c>
      <c r="M88" s="9" t="s">
        <v>19</v>
      </c>
      <c r="N88" s="52" t="s">
        <v>20</v>
      </c>
      <c r="O88" s="56" t="s">
        <v>347</v>
      </c>
    </row>
    <row r="89" spans="1:15" ht="16" customHeight="1" x14ac:dyDescent="0.35">
      <c r="A89" s="147">
        <v>84</v>
      </c>
      <c r="B89" s="2" t="str">
        <f>Penghasilan!B7</f>
        <v>3523152906120006</v>
      </c>
      <c r="C89" s="2" t="s">
        <v>126</v>
      </c>
      <c r="D89" s="11" t="s">
        <v>95</v>
      </c>
      <c r="E89" s="28">
        <f>Penghasilan!$D$7</f>
        <v>1000000</v>
      </c>
      <c r="F89" s="9" t="s">
        <v>14</v>
      </c>
      <c r="G89" s="9" t="s">
        <v>38</v>
      </c>
      <c r="H89" s="9" t="s">
        <v>22</v>
      </c>
      <c r="I89" s="9" t="s">
        <v>17</v>
      </c>
      <c r="J89" s="9" t="s">
        <v>17</v>
      </c>
      <c r="K89" s="9">
        <v>2</v>
      </c>
      <c r="L89" s="9" t="s">
        <v>18</v>
      </c>
      <c r="M89" s="9" t="s">
        <v>19</v>
      </c>
      <c r="N89" s="52" t="s">
        <v>20</v>
      </c>
      <c r="O89" s="56" t="s">
        <v>347</v>
      </c>
    </row>
    <row r="90" spans="1:15" ht="16" customHeight="1" x14ac:dyDescent="0.35">
      <c r="A90" s="147">
        <v>85</v>
      </c>
      <c r="B90" s="2" t="str">
        <f>Penghasilan!B29</f>
        <v>3523153112090187</v>
      </c>
      <c r="C90" s="2" t="s">
        <v>178</v>
      </c>
      <c r="D90" s="11" t="s">
        <v>95</v>
      </c>
      <c r="E90" s="28">
        <f>Penghasilan!$D$29</f>
        <v>2000000</v>
      </c>
      <c r="F90" s="9" t="s">
        <v>242</v>
      </c>
      <c r="G90" s="9" t="s">
        <v>15</v>
      </c>
      <c r="H90" s="9" t="s">
        <v>22</v>
      </c>
      <c r="I90" s="9" t="s">
        <v>17</v>
      </c>
      <c r="J90" s="9" t="s">
        <v>17</v>
      </c>
      <c r="K90" s="9">
        <v>1</v>
      </c>
      <c r="L90" s="9" t="s">
        <v>18</v>
      </c>
      <c r="M90" s="9" t="s">
        <v>43</v>
      </c>
      <c r="N90" s="52" t="s">
        <v>20</v>
      </c>
      <c r="O90" s="56" t="s">
        <v>349</v>
      </c>
    </row>
    <row r="91" spans="1:15" ht="16" customHeight="1" x14ac:dyDescent="0.35">
      <c r="A91" s="57">
        <v>86</v>
      </c>
      <c r="B91" s="2" t="str">
        <f>Penghasilan!B9</f>
        <v>3523151403061502</v>
      </c>
      <c r="C91" s="2" t="s">
        <v>133</v>
      </c>
      <c r="D91" s="11" t="s">
        <v>95</v>
      </c>
      <c r="E91" s="28">
        <f>Penghasilan!$D$9</f>
        <v>1500000</v>
      </c>
      <c r="F91" s="9" t="s">
        <v>23</v>
      </c>
      <c r="G91" s="9" t="s">
        <v>15</v>
      </c>
      <c r="H91" s="9" t="s">
        <v>22</v>
      </c>
      <c r="I91" s="9" t="s">
        <v>17</v>
      </c>
      <c r="J91" s="9" t="s">
        <v>17</v>
      </c>
      <c r="K91" s="9" t="s">
        <v>17</v>
      </c>
      <c r="L91" s="9" t="s">
        <v>18</v>
      </c>
      <c r="M91" s="9" t="s">
        <v>19</v>
      </c>
      <c r="N91" s="52" t="s">
        <v>20</v>
      </c>
      <c r="O91" s="56" t="s">
        <v>347</v>
      </c>
    </row>
    <row r="92" spans="1:15" ht="16" customHeight="1" x14ac:dyDescent="0.35">
      <c r="A92" s="147">
        <v>87</v>
      </c>
      <c r="B92" s="2" t="str">
        <f>Penghasilan!B20</f>
        <v>3523151409180003</v>
      </c>
      <c r="C92" s="2" t="s">
        <v>159</v>
      </c>
      <c r="D92" s="11" t="s">
        <v>95</v>
      </c>
      <c r="E92" s="28">
        <f>Penghasilan!$D$20</f>
        <v>3000000</v>
      </c>
      <c r="F92" s="9" t="s">
        <v>23</v>
      </c>
      <c r="G92" s="9" t="s">
        <v>38</v>
      </c>
      <c r="H92" s="9" t="s">
        <v>22</v>
      </c>
      <c r="I92" s="9" t="s">
        <v>237</v>
      </c>
      <c r="J92" s="9" t="s">
        <v>17</v>
      </c>
      <c r="K92" s="9" t="s">
        <v>17</v>
      </c>
      <c r="L92" s="9" t="s">
        <v>18</v>
      </c>
      <c r="M92" s="9" t="s">
        <v>19</v>
      </c>
      <c r="N92" s="52" t="s">
        <v>20</v>
      </c>
      <c r="O92" s="56" t="s">
        <v>347</v>
      </c>
    </row>
    <row r="93" spans="1:15" ht="16" customHeight="1" x14ac:dyDescent="0.35">
      <c r="A93" s="147">
        <v>88</v>
      </c>
      <c r="B93" s="2" t="str">
        <f>Penghasilan!B23</f>
        <v>3523151503061503</v>
      </c>
      <c r="C93" s="2" t="s">
        <v>165</v>
      </c>
      <c r="D93" s="11" t="s">
        <v>95</v>
      </c>
      <c r="E93" s="28">
        <f>Penghasilan!$D$23</f>
        <v>666000</v>
      </c>
      <c r="F93" s="9" t="s">
        <v>242</v>
      </c>
      <c r="G93" s="9" t="s">
        <v>15</v>
      </c>
      <c r="H93" s="9" t="s">
        <v>22</v>
      </c>
      <c r="I93" s="9" t="s">
        <v>17</v>
      </c>
      <c r="J93" s="9">
        <v>2</v>
      </c>
      <c r="K93" s="9" t="s">
        <v>17</v>
      </c>
      <c r="L93" s="9" t="s">
        <v>18</v>
      </c>
      <c r="M93" s="9" t="s">
        <v>19</v>
      </c>
      <c r="N93" s="52" t="s">
        <v>20</v>
      </c>
      <c r="O93" s="56" t="s">
        <v>349</v>
      </c>
    </row>
    <row r="94" spans="1:15" ht="16" customHeight="1" x14ac:dyDescent="0.35">
      <c r="A94" s="57">
        <v>89</v>
      </c>
      <c r="B94" s="2" t="str">
        <f>Penghasilan!B22</f>
        <v>3523151309090178</v>
      </c>
      <c r="C94" s="2" t="s">
        <v>163</v>
      </c>
      <c r="D94" s="11" t="s">
        <v>248</v>
      </c>
      <c r="E94" s="28">
        <f>Penghasilan!$D$22</f>
        <v>1000000</v>
      </c>
      <c r="F94" s="9" t="s">
        <v>14</v>
      </c>
      <c r="G94" s="9" t="s">
        <v>38</v>
      </c>
      <c r="H94" s="9" t="s">
        <v>22</v>
      </c>
      <c r="I94" s="9" t="s">
        <v>17</v>
      </c>
      <c r="J94" s="9" t="s">
        <v>17</v>
      </c>
      <c r="K94" s="9">
        <v>1</v>
      </c>
      <c r="L94" s="9" t="s">
        <v>18</v>
      </c>
      <c r="M94" s="9" t="s">
        <v>19</v>
      </c>
      <c r="N94" s="52" t="s">
        <v>20</v>
      </c>
      <c r="O94" s="56" t="s">
        <v>347</v>
      </c>
    </row>
    <row r="95" spans="1:15" s="31" customFormat="1" ht="26" customHeight="1" x14ac:dyDescent="0.35">
      <c r="A95" s="147">
        <v>90</v>
      </c>
      <c r="B95" s="30" t="str">
        <f>Penghasilan!B10</f>
        <v>3523151403061500</v>
      </c>
      <c r="C95" s="30" t="s">
        <v>24</v>
      </c>
      <c r="D95" s="11" t="s">
        <v>248</v>
      </c>
      <c r="E95" s="9">
        <f>Penghasilan!$D$10</f>
        <v>500000</v>
      </c>
      <c r="F95" s="9" t="s">
        <v>65</v>
      </c>
      <c r="G95" s="9" t="s">
        <v>15</v>
      </c>
      <c r="H95" s="29" t="s">
        <v>249</v>
      </c>
      <c r="I95" s="9" t="s">
        <v>17</v>
      </c>
      <c r="J95" s="9">
        <v>2</v>
      </c>
      <c r="K95" s="9" t="s">
        <v>17</v>
      </c>
      <c r="L95" s="9" t="s">
        <v>72</v>
      </c>
      <c r="M95" s="9" t="s">
        <v>73</v>
      </c>
      <c r="N95" s="52" t="s">
        <v>20</v>
      </c>
      <c r="O95" s="153" t="s">
        <v>349</v>
      </c>
    </row>
    <row r="96" spans="1:15" ht="16" customHeight="1" x14ac:dyDescent="0.35">
      <c r="A96" s="147">
        <v>91</v>
      </c>
      <c r="B96" s="2" t="str">
        <f>Penghasilan!B8</f>
        <v>3523151403061499</v>
      </c>
      <c r="C96" s="2" t="s">
        <v>128</v>
      </c>
      <c r="D96" s="11" t="s">
        <v>95</v>
      </c>
      <c r="E96" s="28">
        <f>Penghasilan!$D$8</f>
        <v>2000000</v>
      </c>
      <c r="F96" s="9" t="s">
        <v>37</v>
      </c>
      <c r="G96" s="9" t="s">
        <v>15</v>
      </c>
      <c r="H96" s="9" t="s">
        <v>250</v>
      </c>
      <c r="I96" s="9" t="s">
        <v>17</v>
      </c>
      <c r="J96" s="9">
        <v>2</v>
      </c>
      <c r="K96" s="9" t="s">
        <v>17</v>
      </c>
      <c r="L96" s="9" t="s">
        <v>18</v>
      </c>
      <c r="M96" s="9" t="s">
        <v>19</v>
      </c>
      <c r="N96" s="52" t="s">
        <v>20</v>
      </c>
      <c r="O96" s="56" t="s">
        <v>351</v>
      </c>
    </row>
    <row r="97" spans="1:18" s="31" customFormat="1" ht="26" customHeight="1" x14ac:dyDescent="0.35">
      <c r="A97" s="57">
        <v>92</v>
      </c>
      <c r="B97" s="30" t="str">
        <f>Penghasilan!B11</f>
        <v>3523151403061497</v>
      </c>
      <c r="C97" s="30" t="s">
        <v>136</v>
      </c>
      <c r="D97" s="11" t="s">
        <v>95</v>
      </c>
      <c r="E97" s="28">
        <f>Penghasilan!$D$11</f>
        <v>800000</v>
      </c>
      <c r="F97" s="9" t="s">
        <v>65</v>
      </c>
      <c r="G97" s="9" t="s">
        <v>15</v>
      </c>
      <c r="H97" s="29" t="s">
        <v>249</v>
      </c>
      <c r="I97" s="9" t="s">
        <v>17</v>
      </c>
      <c r="J97" s="9">
        <v>1</v>
      </c>
      <c r="K97" s="9" t="s">
        <v>17</v>
      </c>
      <c r="L97" s="9" t="s">
        <v>72</v>
      </c>
      <c r="M97" s="9" t="s">
        <v>73</v>
      </c>
      <c r="N97" s="52" t="s">
        <v>20</v>
      </c>
      <c r="O97" s="153" t="s">
        <v>349</v>
      </c>
    </row>
    <row r="98" spans="1:18" ht="16" customHeight="1" x14ac:dyDescent="0.35">
      <c r="A98" s="147">
        <v>93</v>
      </c>
      <c r="B98" s="2" t="str">
        <f>Penghasilan!B12</f>
        <v>3523151403061490</v>
      </c>
      <c r="C98" s="2" t="s">
        <v>140</v>
      </c>
      <c r="D98" s="11" t="s">
        <v>95</v>
      </c>
      <c r="E98" s="28">
        <f>Penghasilan!$D$12</f>
        <v>500000</v>
      </c>
      <c r="F98" s="9" t="s">
        <v>23</v>
      </c>
      <c r="G98" s="9" t="s">
        <v>15</v>
      </c>
      <c r="H98" s="9" t="s">
        <v>22</v>
      </c>
      <c r="I98" s="9" t="s">
        <v>17</v>
      </c>
      <c r="J98" s="9">
        <v>2</v>
      </c>
      <c r="K98" s="9" t="s">
        <v>17</v>
      </c>
      <c r="L98" s="9" t="s">
        <v>18</v>
      </c>
      <c r="M98" s="9" t="s">
        <v>43</v>
      </c>
      <c r="N98" s="52" t="s">
        <v>20</v>
      </c>
      <c r="O98" s="56" t="s">
        <v>349</v>
      </c>
    </row>
    <row r="99" spans="1:18" ht="16" customHeight="1" x14ac:dyDescent="0.35">
      <c r="A99" s="147">
        <v>94</v>
      </c>
      <c r="B99" s="2" t="str">
        <f>Penghasilan!B13</f>
        <v>3523151008120009</v>
      </c>
      <c r="C99" s="2" t="s">
        <v>251</v>
      </c>
      <c r="D99" s="11" t="s">
        <v>95</v>
      </c>
      <c r="E99" s="28">
        <f>Penghasilan!$D$13</f>
        <v>1000000</v>
      </c>
      <c r="F99" s="9" t="s">
        <v>23</v>
      </c>
      <c r="G99" s="9" t="s">
        <v>38</v>
      </c>
      <c r="H99" s="9" t="s">
        <v>22</v>
      </c>
      <c r="I99" s="9" t="s">
        <v>17</v>
      </c>
      <c r="J99" s="9" t="s">
        <v>17</v>
      </c>
      <c r="K99" s="9">
        <v>2</v>
      </c>
      <c r="L99" s="9" t="s">
        <v>18</v>
      </c>
      <c r="M99" s="9" t="s">
        <v>43</v>
      </c>
      <c r="N99" s="52" t="s">
        <v>20</v>
      </c>
      <c r="O99" s="56" t="s">
        <v>349</v>
      </c>
    </row>
    <row r="100" spans="1:18" ht="16" customHeight="1" x14ac:dyDescent="0.35">
      <c r="A100" s="57">
        <v>95</v>
      </c>
      <c r="B100" s="2" t="str">
        <f>Penghasilan!B26</f>
        <v>3523151309090126</v>
      </c>
      <c r="C100" s="2" t="s">
        <v>252</v>
      </c>
      <c r="D100" s="11" t="s">
        <v>95</v>
      </c>
      <c r="E100" s="28">
        <f>Penghasilan!$D$26</f>
        <v>3000000</v>
      </c>
      <c r="F100" s="9" t="s">
        <v>243</v>
      </c>
      <c r="G100" s="9" t="s">
        <v>15</v>
      </c>
      <c r="H100" s="9" t="s">
        <v>22</v>
      </c>
      <c r="I100" s="9" t="s">
        <v>17</v>
      </c>
      <c r="J100" s="9" t="s">
        <v>17</v>
      </c>
      <c r="K100" s="9">
        <v>3</v>
      </c>
      <c r="L100" s="9" t="s">
        <v>18</v>
      </c>
      <c r="M100" s="9" t="s">
        <v>19</v>
      </c>
      <c r="N100" s="52" t="s">
        <v>20</v>
      </c>
      <c r="O100" s="56" t="s">
        <v>347</v>
      </c>
    </row>
    <row r="101" spans="1:18" ht="16" customHeight="1" x14ac:dyDescent="0.35">
      <c r="A101" s="57"/>
      <c r="B101" s="2"/>
      <c r="C101" s="2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52"/>
      <c r="O101" s="56"/>
    </row>
    <row r="102" spans="1:18" ht="16" customHeight="1" x14ac:dyDescent="0.35">
      <c r="A102" s="57"/>
      <c r="B102" s="2"/>
      <c r="C102" s="2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52"/>
      <c r="O102" s="56"/>
    </row>
    <row r="103" spans="1:18" ht="16" customHeight="1" x14ac:dyDescent="0.35">
      <c r="A103" s="57"/>
      <c r="B103" s="2"/>
      <c r="C103" s="2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52"/>
      <c r="O103" s="56"/>
    </row>
    <row r="104" spans="1:18" ht="16" customHeight="1" x14ac:dyDescent="0.35">
      <c r="A104" s="146"/>
      <c r="B104" s="38"/>
      <c r="C104" s="38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154"/>
      <c r="O104" s="74"/>
    </row>
    <row r="105" spans="1:18" ht="16" customHeight="1" x14ac:dyDescent="0.35">
      <c r="Q105" t="s">
        <v>417</v>
      </c>
      <c r="R105" s="145" t="e">
        <f>(('t.data &amp; p. k - means'!#REF!+'t.data &amp; p. k - means'!#REF!)/('t.data &amp; p. k - means'!#REF!+'t.data &amp; p. k - means'!#REF!+'t.data &amp; p. k - means'!#REF!+'t.data &amp; p. k - means'!#REF!))*100%</f>
        <v>#REF!</v>
      </c>
    </row>
    <row r="106" spans="1:18" ht="16" customHeight="1" x14ac:dyDescent="0.35"/>
    <row r="107" spans="1:18" ht="16" customHeight="1" x14ac:dyDescent="0.35"/>
    <row r="108" spans="1:18" ht="16" customHeight="1" x14ac:dyDescent="0.35"/>
    <row r="109" spans="1:18" ht="16" customHeight="1" x14ac:dyDescent="0.35"/>
    <row r="110" spans="1:18" ht="16" customHeight="1" x14ac:dyDescent="0.35"/>
    <row r="111" spans="1:18" ht="16" customHeight="1" x14ac:dyDescent="0.35"/>
  </sheetData>
  <mergeCells count="2">
    <mergeCell ref="A2:N2"/>
    <mergeCell ref="A3:N3"/>
  </mergeCells>
  <phoneticPr fontId="2" type="noConversion"/>
  <pageMargins left="0.70866141732283472" right="0.70866141732283472" top="0.74803149606299213" bottom="0.74803149606299213" header="0.31496062992125984" footer="0.31496062992125984"/>
  <pageSetup scale="66" fitToHeight="3" orientation="landscape" r:id="rId1"/>
  <rowBreaks count="2" manualBreakCount="2">
    <brk id="38" max="13" man="1"/>
    <brk id="77" max="1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ADD6-DF4B-47D1-A8F6-34B9B56E53E6}">
  <dimension ref="A3:J144"/>
  <sheetViews>
    <sheetView workbookViewId="0">
      <selection activeCell="G13" sqref="G13"/>
    </sheetView>
  </sheetViews>
  <sheetFormatPr defaultRowHeight="14.5" x14ac:dyDescent="0.35"/>
  <cols>
    <col min="1" max="1" width="5.1796875" customWidth="1"/>
    <col min="2" max="2" width="17.90625" customWidth="1"/>
    <col min="3" max="3" width="24.08984375" customWidth="1"/>
    <col min="4" max="4" width="12.81640625" customWidth="1"/>
    <col min="5" max="5" width="9.54296875" customWidth="1"/>
    <col min="6" max="6" width="9.54296875" bestFit="1" customWidth="1"/>
    <col min="8" max="8" width="18.26953125" customWidth="1"/>
    <col min="9" max="9" width="17.08984375" customWidth="1"/>
    <col min="10" max="10" width="14.7265625" customWidth="1"/>
  </cols>
  <sheetData>
    <row r="3" spans="1:10" x14ac:dyDescent="0.35">
      <c r="A3" s="221" t="s">
        <v>119</v>
      </c>
      <c r="B3" s="221"/>
      <c r="C3" s="221"/>
      <c r="D3" s="221"/>
      <c r="E3" s="221"/>
      <c r="H3" s="27" t="s">
        <v>131</v>
      </c>
    </row>
    <row r="4" spans="1:10" ht="15" thickBot="1" x14ac:dyDescent="0.4"/>
    <row r="5" spans="1:10" ht="15" thickTop="1" x14ac:dyDescent="0.35">
      <c r="A5" s="165" t="s">
        <v>120</v>
      </c>
      <c r="B5" s="166" t="s">
        <v>121</v>
      </c>
      <c r="C5" s="166" t="s">
        <v>2</v>
      </c>
      <c r="D5" s="167" t="s">
        <v>124</v>
      </c>
      <c r="E5" s="167" t="s">
        <v>3</v>
      </c>
      <c r="H5" s="24" t="s">
        <v>121</v>
      </c>
      <c r="I5" s="25" t="s">
        <v>129</v>
      </c>
      <c r="J5" s="26" t="s">
        <v>124</v>
      </c>
    </row>
    <row r="6" spans="1:10" x14ac:dyDescent="0.35">
      <c r="A6" s="57">
        <v>1</v>
      </c>
      <c r="B6" s="16" t="s">
        <v>122</v>
      </c>
      <c r="C6" s="2" t="s">
        <v>123</v>
      </c>
      <c r="D6" s="21">
        <f>8400000/12</f>
        <v>700000</v>
      </c>
      <c r="E6" s="160" t="s">
        <v>138</v>
      </c>
      <c r="H6" s="1" t="str">
        <f>B8</f>
        <v>3523151403061499</v>
      </c>
      <c r="I6" s="2" t="s">
        <v>130</v>
      </c>
      <c r="J6" s="19">
        <f>18000000/12</f>
        <v>1500000</v>
      </c>
    </row>
    <row r="7" spans="1:10" x14ac:dyDescent="0.35">
      <c r="A7" s="57">
        <v>2</v>
      </c>
      <c r="B7" s="16" t="s">
        <v>125</v>
      </c>
      <c r="C7" s="2" t="s">
        <v>126</v>
      </c>
      <c r="D7" s="21">
        <f>12000000/12</f>
        <v>1000000</v>
      </c>
      <c r="E7" s="161" t="s">
        <v>138</v>
      </c>
      <c r="H7" s="1" t="str">
        <f>B12</f>
        <v>3523151403061490</v>
      </c>
      <c r="I7" s="2" t="s">
        <v>142</v>
      </c>
      <c r="J7" s="17">
        <f>12000000/12</f>
        <v>1000000</v>
      </c>
    </row>
    <row r="8" spans="1:10" ht="15" thickBot="1" x14ac:dyDescent="0.4">
      <c r="A8" s="57">
        <v>3</v>
      </c>
      <c r="B8" s="16" t="s">
        <v>127</v>
      </c>
      <c r="C8" s="2" t="s">
        <v>128</v>
      </c>
      <c r="D8" s="21">
        <f>24000000/12</f>
        <v>2000000</v>
      </c>
      <c r="E8" s="161" t="s">
        <v>138</v>
      </c>
      <c r="H8" s="3" t="str">
        <f>B17</f>
        <v>3523151403060761</v>
      </c>
      <c r="I8" s="4" t="s">
        <v>153</v>
      </c>
      <c r="J8" s="18">
        <f>48000000/12</f>
        <v>4000000</v>
      </c>
    </row>
    <row r="9" spans="1:10" ht="15" thickTop="1" x14ac:dyDescent="0.35">
      <c r="A9" s="57">
        <v>4</v>
      </c>
      <c r="B9" s="16" t="s">
        <v>132</v>
      </c>
      <c r="C9" s="2" t="s">
        <v>133</v>
      </c>
      <c r="D9" s="22">
        <v>1500000</v>
      </c>
      <c r="E9" s="161" t="s">
        <v>138</v>
      </c>
    </row>
    <row r="10" spans="1:10" x14ac:dyDescent="0.35">
      <c r="A10" s="57">
        <v>5</v>
      </c>
      <c r="B10" s="16" t="s">
        <v>134</v>
      </c>
      <c r="C10" s="2" t="s">
        <v>24</v>
      </c>
      <c r="D10" s="23">
        <f>6000000/12</f>
        <v>500000</v>
      </c>
      <c r="E10" s="161" t="s">
        <v>138</v>
      </c>
      <c r="F10" s="20"/>
    </row>
    <row r="11" spans="1:10" x14ac:dyDescent="0.35">
      <c r="A11" s="57">
        <v>6</v>
      </c>
      <c r="B11" s="16" t="s">
        <v>135</v>
      </c>
      <c r="C11" s="2" t="s">
        <v>136</v>
      </c>
      <c r="D11" s="21">
        <v>800000</v>
      </c>
      <c r="E11" s="161" t="s">
        <v>138</v>
      </c>
    </row>
    <row r="12" spans="1:10" x14ac:dyDescent="0.35">
      <c r="A12" s="57">
        <v>7</v>
      </c>
      <c r="B12" s="16" t="s">
        <v>139</v>
      </c>
      <c r="C12" s="2" t="s">
        <v>140</v>
      </c>
      <c r="D12" s="21">
        <f>6000000/12</f>
        <v>500000</v>
      </c>
      <c r="E12" s="161" t="s">
        <v>141</v>
      </c>
    </row>
    <row r="13" spans="1:10" x14ac:dyDescent="0.35">
      <c r="A13" s="57">
        <v>8</v>
      </c>
      <c r="B13" s="16" t="s">
        <v>143</v>
      </c>
      <c r="C13" s="2" t="s">
        <v>144</v>
      </c>
      <c r="D13" s="21">
        <f>12000000/12</f>
        <v>1000000</v>
      </c>
      <c r="E13" s="161" t="s">
        <v>138</v>
      </c>
    </row>
    <row r="14" spans="1:10" x14ac:dyDescent="0.35">
      <c r="A14" s="57">
        <v>9</v>
      </c>
      <c r="B14" s="16" t="s">
        <v>145</v>
      </c>
      <c r="C14" s="2" t="s">
        <v>146</v>
      </c>
      <c r="D14" s="21">
        <f>18000000/12</f>
        <v>1500000</v>
      </c>
      <c r="E14" s="161" t="s">
        <v>138</v>
      </c>
    </row>
    <row r="15" spans="1:10" x14ac:dyDescent="0.35">
      <c r="A15" s="57">
        <v>10</v>
      </c>
      <c r="B15" s="16" t="s">
        <v>148</v>
      </c>
      <c r="C15" s="2" t="s">
        <v>147</v>
      </c>
      <c r="D15" s="21">
        <f>12000000/12</f>
        <v>1000000</v>
      </c>
      <c r="E15" s="161" t="s">
        <v>138</v>
      </c>
    </row>
    <row r="16" spans="1:10" x14ac:dyDescent="0.35">
      <c r="A16" s="57">
        <v>11</v>
      </c>
      <c r="B16" s="16" t="s">
        <v>149</v>
      </c>
      <c r="C16" s="2" t="s">
        <v>150</v>
      </c>
      <c r="D16" s="21">
        <f>12000000/12</f>
        <v>1000000</v>
      </c>
      <c r="E16" s="161" t="s">
        <v>138</v>
      </c>
    </row>
    <row r="17" spans="1:5" x14ac:dyDescent="0.35">
      <c r="A17" s="57">
        <v>12</v>
      </c>
      <c r="B17" s="16" t="s">
        <v>151</v>
      </c>
      <c r="C17" s="2" t="s">
        <v>152</v>
      </c>
      <c r="D17" s="21">
        <f>60000000/12</f>
        <v>5000000</v>
      </c>
      <c r="E17" s="161" t="s">
        <v>138</v>
      </c>
    </row>
    <row r="18" spans="1:5" x14ac:dyDescent="0.35">
      <c r="A18" s="57">
        <v>13</v>
      </c>
      <c r="B18" s="16" t="s">
        <v>154</v>
      </c>
      <c r="C18" s="2" t="s">
        <v>155</v>
      </c>
      <c r="D18" s="21">
        <f>21600000/12</f>
        <v>1800000</v>
      </c>
      <c r="E18" s="161" t="s">
        <v>138</v>
      </c>
    </row>
    <row r="19" spans="1:5" x14ac:dyDescent="0.35">
      <c r="A19" s="57">
        <v>14</v>
      </c>
      <c r="B19" s="16" t="s">
        <v>156</v>
      </c>
      <c r="C19" s="2" t="s">
        <v>157</v>
      </c>
      <c r="D19" s="21">
        <f>24000000/12</f>
        <v>2000000</v>
      </c>
      <c r="E19" s="161" t="s">
        <v>138</v>
      </c>
    </row>
    <row r="20" spans="1:5" x14ac:dyDescent="0.35">
      <c r="A20" s="57">
        <v>15</v>
      </c>
      <c r="B20" s="16" t="s">
        <v>158</v>
      </c>
      <c r="C20" s="2" t="s">
        <v>159</v>
      </c>
      <c r="D20" s="21">
        <f>36000000/12</f>
        <v>3000000</v>
      </c>
      <c r="E20" s="161" t="s">
        <v>138</v>
      </c>
    </row>
    <row r="21" spans="1:5" x14ac:dyDescent="0.35">
      <c r="A21" s="57">
        <v>16</v>
      </c>
      <c r="B21" s="16" t="s">
        <v>160</v>
      </c>
      <c r="C21" s="2" t="s">
        <v>161</v>
      </c>
      <c r="D21" s="21">
        <f>60000000/12</f>
        <v>5000000</v>
      </c>
      <c r="E21" s="161" t="s">
        <v>138</v>
      </c>
    </row>
    <row r="22" spans="1:5" x14ac:dyDescent="0.35">
      <c r="A22" s="57">
        <v>17</v>
      </c>
      <c r="B22" s="16" t="s">
        <v>162</v>
      </c>
      <c r="C22" s="2" t="s">
        <v>163</v>
      </c>
      <c r="D22" s="21">
        <f>12000000/12</f>
        <v>1000000</v>
      </c>
      <c r="E22" s="161" t="s">
        <v>138</v>
      </c>
    </row>
    <row r="23" spans="1:5" x14ac:dyDescent="0.35">
      <c r="A23" s="57">
        <v>18</v>
      </c>
      <c r="B23" s="16" t="s">
        <v>164</v>
      </c>
      <c r="C23" s="2" t="s">
        <v>165</v>
      </c>
      <c r="D23" s="21">
        <v>666000</v>
      </c>
      <c r="E23" s="161" t="s">
        <v>138</v>
      </c>
    </row>
    <row r="24" spans="1:5" x14ac:dyDescent="0.35">
      <c r="A24" s="57">
        <v>19</v>
      </c>
      <c r="B24" s="16" t="s">
        <v>166</v>
      </c>
      <c r="C24" s="2" t="s">
        <v>91</v>
      </c>
      <c r="D24" s="21">
        <f>12000000/12</f>
        <v>1000000</v>
      </c>
      <c r="E24" s="160" t="s">
        <v>138</v>
      </c>
    </row>
    <row r="25" spans="1:5" x14ac:dyDescent="0.35">
      <c r="A25" s="57">
        <v>20</v>
      </c>
      <c r="B25" s="16" t="s">
        <v>167</v>
      </c>
      <c r="C25" s="2" t="s">
        <v>168</v>
      </c>
      <c r="D25" s="21">
        <f>24000000/12</f>
        <v>2000000</v>
      </c>
      <c r="E25" s="161" t="s">
        <v>138</v>
      </c>
    </row>
    <row r="26" spans="1:5" x14ac:dyDescent="0.35">
      <c r="A26" s="57">
        <v>21</v>
      </c>
      <c r="B26" s="16" t="s">
        <v>169</v>
      </c>
      <c r="C26" s="2" t="s">
        <v>170</v>
      </c>
      <c r="D26" s="21">
        <f>36000000/12</f>
        <v>3000000</v>
      </c>
      <c r="E26" s="161" t="s">
        <v>171</v>
      </c>
    </row>
    <row r="27" spans="1:5" x14ac:dyDescent="0.35">
      <c r="A27" s="57">
        <v>22</v>
      </c>
      <c r="B27" s="16" t="s">
        <v>172</v>
      </c>
      <c r="C27" s="2" t="s">
        <v>173</v>
      </c>
      <c r="D27" s="21" t="s">
        <v>174</v>
      </c>
      <c r="E27" s="161" t="s">
        <v>138</v>
      </c>
    </row>
    <row r="28" spans="1:5" x14ac:dyDescent="0.35">
      <c r="A28" s="57">
        <v>23</v>
      </c>
      <c r="B28" s="16" t="s">
        <v>175</v>
      </c>
      <c r="C28" s="2" t="s">
        <v>176</v>
      </c>
      <c r="D28" s="21">
        <f>12000000/12</f>
        <v>1000000</v>
      </c>
      <c r="E28" s="161" t="s">
        <v>138</v>
      </c>
    </row>
    <row r="29" spans="1:5" x14ac:dyDescent="0.35">
      <c r="A29" s="57">
        <v>24</v>
      </c>
      <c r="B29" s="16" t="s">
        <v>177</v>
      </c>
      <c r="C29" s="2" t="s">
        <v>178</v>
      </c>
      <c r="D29" s="21">
        <f>24000000/12</f>
        <v>2000000</v>
      </c>
      <c r="E29" s="161" t="s">
        <v>138</v>
      </c>
    </row>
    <row r="30" spans="1:5" x14ac:dyDescent="0.35">
      <c r="A30" s="57">
        <v>25</v>
      </c>
      <c r="B30" s="16" t="s">
        <v>179</v>
      </c>
      <c r="C30" s="2" t="s">
        <v>105</v>
      </c>
      <c r="D30" s="21">
        <v>800000</v>
      </c>
      <c r="E30" s="161" t="s">
        <v>138</v>
      </c>
    </row>
    <row r="31" spans="1:5" x14ac:dyDescent="0.35">
      <c r="A31" s="57">
        <v>26</v>
      </c>
      <c r="B31" s="16" t="s">
        <v>180</v>
      </c>
      <c r="C31" s="2" t="s">
        <v>181</v>
      </c>
      <c r="D31" s="21">
        <f>36000000/12</f>
        <v>3000000</v>
      </c>
      <c r="E31" s="161" t="s">
        <v>141</v>
      </c>
    </row>
    <row r="32" spans="1:5" x14ac:dyDescent="0.35">
      <c r="A32" s="57">
        <v>27</v>
      </c>
      <c r="B32" s="16" t="s">
        <v>182</v>
      </c>
      <c r="C32" s="2" t="s">
        <v>106</v>
      </c>
      <c r="D32" s="21">
        <f>12000000/12</f>
        <v>1000000</v>
      </c>
      <c r="E32" s="161" t="s">
        <v>138</v>
      </c>
    </row>
    <row r="33" spans="1:5" x14ac:dyDescent="0.35">
      <c r="A33" s="57">
        <v>28</v>
      </c>
      <c r="B33" s="16" t="s">
        <v>183</v>
      </c>
      <c r="C33" s="2" t="s">
        <v>107</v>
      </c>
      <c r="D33" s="21">
        <f>12000000/12</f>
        <v>1000000</v>
      </c>
      <c r="E33" s="161" t="s">
        <v>138</v>
      </c>
    </row>
    <row r="34" spans="1:5" x14ac:dyDescent="0.35">
      <c r="A34" s="57">
        <v>29</v>
      </c>
      <c r="B34" s="16" t="s">
        <v>184</v>
      </c>
      <c r="C34" s="2" t="s">
        <v>101</v>
      </c>
      <c r="D34" s="21">
        <f>12000000/12</f>
        <v>1000000</v>
      </c>
      <c r="E34" s="161" t="s">
        <v>185</v>
      </c>
    </row>
    <row r="35" spans="1:5" x14ac:dyDescent="0.35">
      <c r="A35" s="57">
        <v>30</v>
      </c>
      <c r="B35" s="16" t="s">
        <v>186</v>
      </c>
      <c r="C35" s="2" t="s">
        <v>187</v>
      </c>
      <c r="D35" s="21">
        <f>36000000/12</f>
        <v>3000000</v>
      </c>
      <c r="E35" s="161" t="s">
        <v>138</v>
      </c>
    </row>
    <row r="36" spans="1:5" x14ac:dyDescent="0.35">
      <c r="A36" s="57">
        <v>31</v>
      </c>
      <c r="B36" s="16" t="s">
        <v>188</v>
      </c>
      <c r="C36" s="2" t="s">
        <v>96</v>
      </c>
      <c r="D36" s="21" t="s">
        <v>174</v>
      </c>
      <c r="E36" s="161" t="s">
        <v>138</v>
      </c>
    </row>
    <row r="37" spans="1:5" x14ac:dyDescent="0.35">
      <c r="A37" s="57">
        <v>32</v>
      </c>
      <c r="B37" s="16" t="s">
        <v>189</v>
      </c>
      <c r="C37" s="2" t="s">
        <v>94</v>
      </c>
      <c r="D37" s="21">
        <v>800000</v>
      </c>
      <c r="E37" s="161" t="s">
        <v>138</v>
      </c>
    </row>
    <row r="38" spans="1:5" x14ac:dyDescent="0.35">
      <c r="A38" s="57">
        <v>33</v>
      </c>
      <c r="B38" s="16" t="s">
        <v>190</v>
      </c>
      <c r="C38" s="2" t="s">
        <v>98</v>
      </c>
      <c r="D38" s="21">
        <f>18000000/12</f>
        <v>1500000</v>
      </c>
      <c r="E38" s="161" t="s">
        <v>138</v>
      </c>
    </row>
    <row r="39" spans="1:5" x14ac:dyDescent="0.35">
      <c r="A39" s="57">
        <v>34</v>
      </c>
      <c r="B39" s="16" t="s">
        <v>191</v>
      </c>
      <c r="C39" s="2" t="s">
        <v>104</v>
      </c>
      <c r="D39" s="21" t="s">
        <v>174</v>
      </c>
      <c r="E39" s="161" t="s">
        <v>138</v>
      </c>
    </row>
    <row r="40" spans="1:5" x14ac:dyDescent="0.35">
      <c r="A40" s="57">
        <v>35</v>
      </c>
      <c r="B40" s="16" t="s">
        <v>192</v>
      </c>
      <c r="C40" s="2" t="s">
        <v>193</v>
      </c>
      <c r="D40" s="21">
        <f>60000000/12</f>
        <v>5000000</v>
      </c>
      <c r="E40" s="161" t="s">
        <v>138</v>
      </c>
    </row>
    <row r="41" spans="1:5" x14ac:dyDescent="0.35">
      <c r="A41" s="57">
        <v>36</v>
      </c>
      <c r="B41" s="16" t="s">
        <v>194</v>
      </c>
      <c r="C41" s="2" t="s">
        <v>99</v>
      </c>
      <c r="D41" s="21">
        <f>30000000/12</f>
        <v>2500000</v>
      </c>
      <c r="E41" s="161" t="s">
        <v>138</v>
      </c>
    </row>
    <row r="42" spans="1:5" x14ac:dyDescent="0.35">
      <c r="A42" s="57">
        <v>37</v>
      </c>
      <c r="B42" s="16" t="s">
        <v>195</v>
      </c>
      <c r="C42" s="2" t="s">
        <v>100</v>
      </c>
      <c r="D42" s="21">
        <f>18000000/12</f>
        <v>1500000</v>
      </c>
      <c r="E42" s="161" t="s">
        <v>141</v>
      </c>
    </row>
    <row r="43" spans="1:5" x14ac:dyDescent="0.35">
      <c r="A43" s="57">
        <v>38</v>
      </c>
      <c r="B43" s="16" t="s">
        <v>196</v>
      </c>
      <c r="C43" s="2" t="s">
        <v>113</v>
      </c>
      <c r="D43" s="21">
        <f>12000000/12</f>
        <v>1000000</v>
      </c>
      <c r="E43" s="161" t="s">
        <v>138</v>
      </c>
    </row>
    <row r="44" spans="1:5" x14ac:dyDescent="0.35">
      <c r="A44" s="57">
        <v>39</v>
      </c>
      <c r="B44" s="16" t="s">
        <v>197</v>
      </c>
      <c r="C44" s="2" t="s">
        <v>114</v>
      </c>
      <c r="D44" s="21">
        <f>48000000/12</f>
        <v>4000000</v>
      </c>
      <c r="E44" s="161" t="s">
        <v>138</v>
      </c>
    </row>
    <row r="45" spans="1:5" x14ac:dyDescent="0.35">
      <c r="A45" s="57">
        <v>40</v>
      </c>
      <c r="B45" s="16" t="s">
        <v>198</v>
      </c>
      <c r="C45" s="2" t="s">
        <v>199</v>
      </c>
      <c r="D45" s="21">
        <f>60000000/12</f>
        <v>5000000</v>
      </c>
      <c r="E45" s="161" t="s">
        <v>138</v>
      </c>
    </row>
    <row r="46" spans="1:5" x14ac:dyDescent="0.35">
      <c r="A46" s="57">
        <v>41</v>
      </c>
      <c r="B46" s="16" t="s">
        <v>231</v>
      </c>
      <c r="C46" s="2" t="s">
        <v>200</v>
      </c>
      <c r="D46" s="21">
        <v>800000</v>
      </c>
      <c r="E46" s="161" t="s">
        <v>138</v>
      </c>
    </row>
    <row r="47" spans="1:5" x14ac:dyDescent="0.35">
      <c r="A47" s="57">
        <v>42</v>
      </c>
      <c r="B47" s="16" t="s">
        <v>201</v>
      </c>
      <c r="C47" s="2" t="s">
        <v>118</v>
      </c>
      <c r="D47" s="21">
        <f>48000000/12</f>
        <v>4000000</v>
      </c>
      <c r="E47" s="161" t="s">
        <v>138</v>
      </c>
    </row>
    <row r="48" spans="1:5" x14ac:dyDescent="0.35">
      <c r="A48" s="57">
        <v>43</v>
      </c>
      <c r="B48" s="16" t="s">
        <v>202</v>
      </c>
      <c r="C48" s="2" t="s">
        <v>203</v>
      </c>
      <c r="D48" s="21">
        <f>12000000/12</f>
        <v>1000000</v>
      </c>
      <c r="E48" s="161" t="s">
        <v>137</v>
      </c>
    </row>
    <row r="49" spans="1:5" x14ac:dyDescent="0.35">
      <c r="A49" s="57">
        <v>44</v>
      </c>
      <c r="B49" s="16" t="s">
        <v>204</v>
      </c>
      <c r="C49" s="2" t="s">
        <v>205</v>
      </c>
      <c r="D49" s="21">
        <f>6000000/12</f>
        <v>500000</v>
      </c>
      <c r="E49" s="161" t="s">
        <v>141</v>
      </c>
    </row>
    <row r="50" spans="1:5" x14ac:dyDescent="0.35">
      <c r="A50" s="57">
        <v>45</v>
      </c>
      <c r="B50" s="16" t="s">
        <v>206</v>
      </c>
      <c r="C50" s="2" t="s">
        <v>207</v>
      </c>
      <c r="D50" s="21">
        <f>12000000/12</f>
        <v>1000000</v>
      </c>
      <c r="E50" s="161" t="s">
        <v>138</v>
      </c>
    </row>
    <row r="51" spans="1:5" x14ac:dyDescent="0.35">
      <c r="A51" s="57">
        <v>46</v>
      </c>
      <c r="B51" s="16" t="s">
        <v>208</v>
      </c>
      <c r="C51" s="2" t="s">
        <v>209</v>
      </c>
      <c r="D51" s="21">
        <f>25000000/12</f>
        <v>2083333.3333333333</v>
      </c>
      <c r="E51" s="161" t="s">
        <v>138</v>
      </c>
    </row>
    <row r="52" spans="1:5" x14ac:dyDescent="0.35">
      <c r="A52" s="57">
        <v>47</v>
      </c>
      <c r="B52" s="16" t="s">
        <v>210</v>
      </c>
      <c r="C52" s="2" t="s">
        <v>211</v>
      </c>
      <c r="D52" s="21">
        <f>44400000/12</f>
        <v>3700000</v>
      </c>
      <c r="E52" s="161" t="s">
        <v>138</v>
      </c>
    </row>
    <row r="53" spans="1:5" x14ac:dyDescent="0.35">
      <c r="A53" s="57">
        <v>48</v>
      </c>
      <c r="B53" s="16" t="s">
        <v>212</v>
      </c>
      <c r="C53" s="2" t="s">
        <v>213</v>
      </c>
      <c r="D53" s="21">
        <f>5830000</f>
        <v>5830000</v>
      </c>
      <c r="E53" s="161" t="s">
        <v>138</v>
      </c>
    </row>
    <row r="54" spans="1:5" x14ac:dyDescent="0.35">
      <c r="A54" s="57">
        <v>49</v>
      </c>
      <c r="B54" s="16" t="s">
        <v>214</v>
      </c>
      <c r="C54" s="2" t="s">
        <v>215</v>
      </c>
      <c r="D54" s="21">
        <f>18000000/12</f>
        <v>1500000</v>
      </c>
      <c r="E54" s="161" t="s">
        <v>138</v>
      </c>
    </row>
    <row r="55" spans="1:5" x14ac:dyDescent="0.35">
      <c r="A55" s="57">
        <v>50</v>
      </c>
      <c r="B55" s="16" t="s">
        <v>216</v>
      </c>
      <c r="C55" s="2" t="s">
        <v>217</v>
      </c>
      <c r="D55" s="21">
        <v>1600000</v>
      </c>
      <c r="E55" s="161" t="s">
        <v>137</v>
      </c>
    </row>
    <row r="56" spans="1:5" x14ac:dyDescent="0.35">
      <c r="A56" s="57">
        <v>51</v>
      </c>
      <c r="B56" s="16" t="s">
        <v>218</v>
      </c>
      <c r="C56" s="2" t="s">
        <v>219</v>
      </c>
      <c r="D56" s="21">
        <f>48000000/12</f>
        <v>4000000</v>
      </c>
      <c r="E56" s="161" t="s">
        <v>171</v>
      </c>
    </row>
    <row r="57" spans="1:5" x14ac:dyDescent="0.35">
      <c r="A57" s="57">
        <v>52</v>
      </c>
      <c r="B57" s="16" t="s">
        <v>220</v>
      </c>
      <c r="C57" s="2" t="s">
        <v>221</v>
      </c>
      <c r="D57" s="21">
        <f>12000000/12</f>
        <v>1000000</v>
      </c>
      <c r="E57" s="161" t="s">
        <v>171</v>
      </c>
    </row>
    <row r="58" spans="1:5" x14ac:dyDescent="0.35">
      <c r="A58" s="57">
        <v>53</v>
      </c>
      <c r="B58" s="16" t="s">
        <v>222</v>
      </c>
      <c r="C58" s="2" t="s">
        <v>223</v>
      </c>
      <c r="D58" s="21">
        <f>60000000/12</f>
        <v>5000000</v>
      </c>
      <c r="E58" s="161" t="s">
        <v>138</v>
      </c>
    </row>
    <row r="59" spans="1:5" x14ac:dyDescent="0.35">
      <c r="A59" s="57">
        <v>54</v>
      </c>
      <c r="B59" s="16" t="s">
        <v>224</v>
      </c>
      <c r="C59" s="2" t="s">
        <v>225</v>
      </c>
      <c r="D59" s="21">
        <f>36000000/12</f>
        <v>3000000</v>
      </c>
      <c r="E59" s="161" t="s">
        <v>138</v>
      </c>
    </row>
    <row r="60" spans="1:5" x14ac:dyDescent="0.35">
      <c r="A60" s="57">
        <v>55</v>
      </c>
      <c r="B60" s="16" t="s">
        <v>226</v>
      </c>
      <c r="C60" s="2" t="s">
        <v>227</v>
      </c>
      <c r="D60" s="21">
        <f>30000000/12</f>
        <v>2500000</v>
      </c>
      <c r="E60" s="161" t="s">
        <v>138</v>
      </c>
    </row>
    <row r="61" spans="1:5" x14ac:dyDescent="0.35">
      <c r="A61" s="146">
        <v>56</v>
      </c>
      <c r="B61" s="162" t="s">
        <v>228</v>
      </c>
      <c r="C61" s="38" t="s">
        <v>229</v>
      </c>
      <c r="D61" s="163">
        <f>24000000/12</f>
        <v>2000000</v>
      </c>
      <c r="E61" s="164" t="s">
        <v>138</v>
      </c>
    </row>
    <row r="64" spans="1:5" x14ac:dyDescent="0.35">
      <c r="A64" s="221" t="s">
        <v>253</v>
      </c>
      <c r="B64" s="221"/>
      <c r="C64" s="221"/>
      <c r="D64" s="221"/>
      <c r="E64" s="221"/>
    </row>
    <row r="65" spans="1:5" ht="15" thickBot="1" x14ac:dyDescent="0.4"/>
    <row r="66" spans="1:5" ht="15" thickTop="1" x14ac:dyDescent="0.35">
      <c r="A66" s="24" t="s">
        <v>120</v>
      </c>
      <c r="B66" s="25" t="s">
        <v>121</v>
      </c>
      <c r="C66" s="25" t="s">
        <v>254</v>
      </c>
      <c r="D66" s="25" t="s">
        <v>124</v>
      </c>
      <c r="E66" s="26" t="s">
        <v>3</v>
      </c>
    </row>
    <row r="67" spans="1:5" x14ac:dyDescent="0.35">
      <c r="A67" s="1">
        <v>1</v>
      </c>
      <c r="B67" s="16" t="s">
        <v>255</v>
      </c>
      <c r="C67" s="2" t="s">
        <v>36</v>
      </c>
      <c r="D67" s="2">
        <v>1500000</v>
      </c>
      <c r="E67" s="36" t="s">
        <v>13</v>
      </c>
    </row>
    <row r="68" spans="1:5" x14ac:dyDescent="0.35">
      <c r="A68" s="1">
        <v>2</v>
      </c>
      <c r="B68" s="2" t="str">
        <f>dataset!B6</f>
        <v>3523151708700001</v>
      </c>
      <c r="C68" s="2" t="str">
        <f>dataset!C6</f>
        <v>MUHAMMAD ABIDIN</v>
      </c>
      <c r="D68" s="2">
        <v>1500000</v>
      </c>
      <c r="E68" s="36" t="s">
        <v>13</v>
      </c>
    </row>
    <row r="69" spans="1:5" x14ac:dyDescent="0.35">
      <c r="A69" s="1">
        <v>3</v>
      </c>
      <c r="B69" s="2" t="str">
        <f>dataset!B7</f>
        <v>3523151403061494</v>
      </c>
      <c r="C69" s="2" t="str">
        <f>dataset!C7</f>
        <v>MULYONO</v>
      </c>
      <c r="D69" s="2">
        <v>1500000</v>
      </c>
      <c r="E69" s="36" t="s">
        <v>13</v>
      </c>
    </row>
    <row r="70" spans="1:5" x14ac:dyDescent="0.35">
      <c r="A70" s="1">
        <v>4</v>
      </c>
      <c r="B70" s="2" t="str">
        <f>dataset!B8</f>
        <v>3523150803680008</v>
      </c>
      <c r="C70" s="2" t="str">
        <f>dataset!C8</f>
        <v>CAMPUN</v>
      </c>
      <c r="D70" s="2">
        <f>dataset!E8</f>
        <v>3500000</v>
      </c>
      <c r="E70" s="36" t="s">
        <v>13</v>
      </c>
    </row>
    <row r="71" spans="1:5" x14ac:dyDescent="0.35">
      <c r="A71" s="1">
        <v>5</v>
      </c>
      <c r="B71" s="2" t="str">
        <f>dataset!B9</f>
        <v>3523152312110002</v>
      </c>
      <c r="C71" s="2" t="str">
        <f>dataset!C9</f>
        <v>SUNTONO</v>
      </c>
      <c r="D71" s="2">
        <v>1500000</v>
      </c>
      <c r="E71" s="36" t="s">
        <v>13</v>
      </c>
    </row>
    <row r="72" spans="1:5" x14ac:dyDescent="0.35">
      <c r="A72" s="1">
        <v>6</v>
      </c>
      <c r="B72" s="2" t="str">
        <f>dataset!B11</f>
        <v>3523153010120005</v>
      </c>
      <c r="C72" s="2" t="str">
        <f>dataset!C11</f>
        <v>IWAN SUGIYANTO</v>
      </c>
      <c r="D72" s="2">
        <f>dataset!E11</f>
        <v>3500000</v>
      </c>
      <c r="E72" s="36" t="s">
        <v>13</v>
      </c>
    </row>
    <row r="73" spans="1:5" x14ac:dyDescent="0.35">
      <c r="A73" s="1">
        <v>7</v>
      </c>
      <c r="B73" s="2" t="str">
        <f>dataset!B12</f>
        <v>3523151005780008</v>
      </c>
      <c r="C73" s="2" t="str">
        <f>dataset!C12</f>
        <v>MUNIR MUSTAQIM</v>
      </c>
      <c r="D73" s="2">
        <f>dataset!E12</f>
        <v>2000000</v>
      </c>
      <c r="E73" s="36" t="s">
        <v>13</v>
      </c>
    </row>
    <row r="74" spans="1:5" x14ac:dyDescent="0.35">
      <c r="A74" s="1">
        <v>8</v>
      </c>
      <c r="B74" s="2" t="str">
        <f>dataset!B13</f>
        <v>3523155002670004</v>
      </c>
      <c r="C74" s="2" t="str">
        <f>dataset!C13</f>
        <v>KASMINI</v>
      </c>
      <c r="D74" s="2">
        <v>1500000</v>
      </c>
      <c r="E74" s="36" t="s">
        <v>13</v>
      </c>
    </row>
    <row r="75" spans="1:5" x14ac:dyDescent="0.35">
      <c r="A75" s="1">
        <v>9</v>
      </c>
      <c r="B75" s="2" t="str">
        <f>dataset!B15</f>
        <v>3523151403061495</v>
      </c>
      <c r="C75" s="2" t="str">
        <f>dataset!C15</f>
        <v>TARNO</v>
      </c>
      <c r="D75" s="2">
        <v>1500000</v>
      </c>
      <c r="E75" s="36" t="s">
        <v>13</v>
      </c>
    </row>
    <row r="76" spans="1:5" x14ac:dyDescent="0.35">
      <c r="A76" s="1">
        <v>10</v>
      </c>
      <c r="B76" s="2" t="str">
        <f>dataset!B16</f>
        <v>3523151403061490</v>
      </c>
      <c r="C76" s="2" t="str">
        <f>dataset!C16</f>
        <v>MURSID</v>
      </c>
      <c r="D76" s="35" t="s">
        <v>295</v>
      </c>
      <c r="E76" s="36" t="s">
        <v>13</v>
      </c>
    </row>
    <row r="77" spans="1:5" x14ac:dyDescent="0.35">
      <c r="A77" s="1">
        <v>11</v>
      </c>
      <c r="B77" s="2" t="str">
        <f>dataset!B17</f>
        <v>3523151403061489</v>
      </c>
      <c r="C77" s="2" t="str">
        <f>dataset!C17</f>
        <v>ABDUL MAJID</v>
      </c>
      <c r="D77" s="2">
        <v>1500000</v>
      </c>
      <c r="E77" s="36" t="s">
        <v>13</v>
      </c>
    </row>
    <row r="78" spans="1:5" x14ac:dyDescent="0.35">
      <c r="A78" s="1">
        <v>12</v>
      </c>
      <c r="B78" s="2" t="str">
        <f>dataset!B18</f>
        <v>3523151210160002</v>
      </c>
      <c r="C78" s="2" t="str">
        <f>dataset!C18</f>
        <v>SUGENG WAHONO</v>
      </c>
      <c r="D78" s="2">
        <f>dataset!E18</f>
        <v>2000000</v>
      </c>
      <c r="E78" s="36" t="s">
        <v>13</v>
      </c>
    </row>
    <row r="79" spans="1:5" x14ac:dyDescent="0.35">
      <c r="A79" s="1">
        <v>13</v>
      </c>
      <c r="B79" s="2" t="str">
        <f>dataset!B19</f>
        <v>3523153012090392</v>
      </c>
      <c r="C79" s="2" t="str">
        <f>dataset!C19</f>
        <v>TAMIN</v>
      </c>
      <c r="D79" s="2">
        <v>1500000</v>
      </c>
      <c r="E79" s="36" t="s">
        <v>13</v>
      </c>
    </row>
    <row r="80" spans="1:5" x14ac:dyDescent="0.35">
      <c r="A80" s="1">
        <v>14</v>
      </c>
      <c r="B80" s="2" t="str">
        <f>dataset!B20</f>
        <v>3523153112090174</v>
      </c>
      <c r="C80" s="2" t="str">
        <f>dataset!C20</f>
        <v xml:space="preserve">ABDUH NAHLIAN </v>
      </c>
      <c r="D80" s="2">
        <f>dataset!E20</f>
        <v>2500000</v>
      </c>
      <c r="E80" s="36" t="s">
        <v>13</v>
      </c>
    </row>
    <row r="81" spans="1:5" x14ac:dyDescent="0.35">
      <c r="A81" s="1">
        <v>15</v>
      </c>
      <c r="B81" s="2" t="str">
        <f>dataset!B21</f>
        <v>3523151403061485</v>
      </c>
      <c r="C81" s="2" t="str">
        <f>dataset!C21</f>
        <v>TARMUDJI</v>
      </c>
      <c r="D81" s="2">
        <v>1500000</v>
      </c>
      <c r="E81" s="36" t="s">
        <v>13</v>
      </c>
    </row>
    <row r="82" spans="1:5" x14ac:dyDescent="0.35">
      <c r="A82" s="1">
        <v>16</v>
      </c>
      <c r="B82" s="2" t="str">
        <f>dataset!B22</f>
        <v>3523150305120003</v>
      </c>
      <c r="C82" s="2" t="str">
        <f>dataset!C22</f>
        <v>SUWANTO</v>
      </c>
      <c r="D82" s="2">
        <v>1500000</v>
      </c>
      <c r="E82" s="36" t="s">
        <v>13</v>
      </c>
    </row>
    <row r="83" spans="1:5" x14ac:dyDescent="0.35">
      <c r="A83" s="1">
        <v>17</v>
      </c>
      <c r="B83" s="2" t="str">
        <f>dataset!B23</f>
        <v>3523153112090228</v>
      </c>
      <c r="C83" s="2" t="str">
        <f>dataset!C23</f>
        <v>KASIMO</v>
      </c>
      <c r="D83" s="2">
        <f>dataset!E23</f>
        <v>1500000</v>
      </c>
      <c r="E83" s="36" t="s">
        <v>13</v>
      </c>
    </row>
    <row r="84" spans="1:5" x14ac:dyDescent="0.35">
      <c r="A84" s="1">
        <v>18</v>
      </c>
      <c r="B84" s="2" t="str">
        <f>dataset!B24</f>
        <v>3523152608190006</v>
      </c>
      <c r="C84" s="2" t="str">
        <f>dataset!C24</f>
        <v>KASMINAH</v>
      </c>
      <c r="D84" s="2">
        <f>dataset!E24</f>
        <v>1000000</v>
      </c>
      <c r="E84" s="36" t="s">
        <v>13</v>
      </c>
    </row>
    <row r="85" spans="1:5" x14ac:dyDescent="0.35">
      <c r="A85" s="1">
        <v>19</v>
      </c>
      <c r="B85" s="2" t="str">
        <f>dataset!B25</f>
        <v>3523150603820007</v>
      </c>
      <c r="C85" s="2" t="str">
        <f>dataset!C25</f>
        <v>DIDIK PRIANTO</v>
      </c>
      <c r="D85" s="2">
        <f>dataset!E25</f>
        <v>1500000</v>
      </c>
      <c r="E85" s="36" t="s">
        <v>13</v>
      </c>
    </row>
    <row r="86" spans="1:5" x14ac:dyDescent="0.35">
      <c r="A86" s="1">
        <v>20</v>
      </c>
      <c r="B86" s="2" t="str">
        <f>dataset!B26</f>
        <v>3523151403061487</v>
      </c>
      <c r="C86" s="2" t="str">
        <f>dataset!C26</f>
        <v>DASMIATI</v>
      </c>
      <c r="D86" s="35" t="s">
        <v>295</v>
      </c>
      <c r="E86" s="36" t="s">
        <v>13</v>
      </c>
    </row>
    <row r="87" spans="1:5" x14ac:dyDescent="0.35">
      <c r="A87" s="1">
        <v>21</v>
      </c>
      <c r="B87" s="2" t="str">
        <f>dataset!B27</f>
        <v>3523153112090184</v>
      </c>
      <c r="C87" s="2" t="str">
        <f>dataset!C27</f>
        <v>IMAM KHOIRI</v>
      </c>
      <c r="D87" s="2">
        <f>dataset!E27</f>
        <v>6000000</v>
      </c>
      <c r="E87" s="36" t="s">
        <v>13</v>
      </c>
    </row>
    <row r="88" spans="1:5" x14ac:dyDescent="0.35">
      <c r="A88" s="1">
        <v>22</v>
      </c>
      <c r="B88" s="2" t="str">
        <f>dataset!B28</f>
        <v>3523151403061482</v>
      </c>
      <c r="C88" s="2" t="str">
        <f>dataset!C28</f>
        <v>IMAM TOKO</v>
      </c>
      <c r="D88" s="2">
        <v>1500000</v>
      </c>
      <c r="E88" s="36" t="s">
        <v>13</v>
      </c>
    </row>
    <row r="89" spans="1:5" x14ac:dyDescent="0.35">
      <c r="A89" s="1">
        <v>23</v>
      </c>
      <c r="B89" s="2" t="str">
        <f>dataset!B29</f>
        <v>3523150212140009</v>
      </c>
      <c r="C89" s="2" t="str">
        <f>dataset!C29</f>
        <v>TUTIK</v>
      </c>
      <c r="D89" s="2">
        <v>2000000</v>
      </c>
      <c r="E89" s="36" t="s">
        <v>13</v>
      </c>
    </row>
    <row r="90" spans="1:5" x14ac:dyDescent="0.35">
      <c r="A90" s="1">
        <v>24</v>
      </c>
      <c r="B90" s="2" t="str">
        <f>dataset!B30</f>
        <v>3523151403061478</v>
      </c>
      <c r="C90" s="2" t="str">
        <f>dataset!C30</f>
        <v>RAKIJAH</v>
      </c>
      <c r="D90" s="35" t="str">
        <f>dataset!E30</f>
        <v>Tidak bekerja</v>
      </c>
      <c r="E90" s="36" t="s">
        <v>13</v>
      </c>
    </row>
    <row r="91" spans="1:5" x14ac:dyDescent="0.35">
      <c r="A91" s="1">
        <v>25</v>
      </c>
      <c r="B91" s="2" t="str">
        <f>dataset!B31</f>
        <v>3523151403061480</v>
      </c>
      <c r="C91" s="2" t="str">
        <f>dataset!C31</f>
        <v>SARDI</v>
      </c>
      <c r="D91" s="2">
        <v>1000000</v>
      </c>
      <c r="E91" s="36" t="s">
        <v>13</v>
      </c>
    </row>
    <row r="92" spans="1:5" x14ac:dyDescent="0.35">
      <c r="A92" s="1">
        <v>26</v>
      </c>
      <c r="B92" s="2" t="str">
        <f>dataset!B32</f>
        <v>3523150507190002</v>
      </c>
      <c r="C92" s="2" t="str">
        <f>dataset!C32</f>
        <v>KASLIK</v>
      </c>
      <c r="D92" s="2">
        <v>1500000</v>
      </c>
      <c r="E92" s="36" t="s">
        <v>13</v>
      </c>
    </row>
    <row r="93" spans="1:5" x14ac:dyDescent="0.35">
      <c r="A93" s="1">
        <v>27</v>
      </c>
      <c r="B93" s="2" t="str">
        <f>dataset!B33</f>
        <v>3523152906120007</v>
      </c>
      <c r="C93" s="2" t="str">
        <f>dataset!C33</f>
        <v>TOTOK AGUSTARI</v>
      </c>
      <c r="D93" s="2">
        <v>2000000</v>
      </c>
      <c r="E93" s="36" t="s">
        <v>13</v>
      </c>
    </row>
    <row r="94" spans="1:5" x14ac:dyDescent="0.35">
      <c r="A94" s="1">
        <v>28</v>
      </c>
      <c r="B94" s="2" t="str">
        <f>dataset!B34</f>
        <v>3523151403061479</v>
      </c>
      <c r="C94" s="2" t="str">
        <f>dataset!C34</f>
        <v>WASIR</v>
      </c>
      <c r="D94" s="2">
        <v>3000000</v>
      </c>
      <c r="E94" s="36" t="s">
        <v>13</v>
      </c>
    </row>
    <row r="95" spans="1:5" x14ac:dyDescent="0.35">
      <c r="A95" s="1">
        <v>29</v>
      </c>
      <c r="B95" s="2" t="str">
        <f>dataset!B35</f>
        <v>3523151403061477</v>
      </c>
      <c r="C95" s="2" t="str">
        <f>dataset!C35</f>
        <v xml:space="preserve">SUDIRO </v>
      </c>
      <c r="D95" s="35" t="s">
        <v>295</v>
      </c>
      <c r="E95" s="36" t="s">
        <v>13</v>
      </c>
    </row>
    <row r="96" spans="1:5" x14ac:dyDescent="0.35">
      <c r="A96" s="1">
        <v>30</v>
      </c>
      <c r="B96" s="2" t="str">
        <f>dataset!B36</f>
        <v>3523153112090244</v>
      </c>
      <c r="C96" s="2" t="str">
        <f>dataset!C36</f>
        <v>SUYANTO</v>
      </c>
      <c r="D96" s="2">
        <f>dataset!E36</f>
        <v>1500000</v>
      </c>
      <c r="E96" s="36" t="s">
        <v>13</v>
      </c>
    </row>
    <row r="97" spans="1:5" x14ac:dyDescent="0.35">
      <c r="A97" s="1">
        <v>31</v>
      </c>
      <c r="B97" s="2" t="str">
        <f>dataset!B37</f>
        <v>3523141108840001</v>
      </c>
      <c r="C97" s="2" t="str">
        <f>dataset!C37</f>
        <v>SUWANDI</v>
      </c>
      <c r="D97" s="2">
        <f>dataset!E37</f>
        <v>2000000</v>
      </c>
      <c r="E97" s="36" t="s">
        <v>13</v>
      </c>
    </row>
    <row r="98" spans="1:5" x14ac:dyDescent="0.35">
      <c r="A98" s="1">
        <v>32</v>
      </c>
      <c r="B98" s="2" t="str">
        <f>dataset!B38</f>
        <v>3523150107580287</v>
      </c>
      <c r="C98" s="2" t="str">
        <f>dataset!C38</f>
        <v>LIK DJOYO</v>
      </c>
      <c r="D98" s="35" t="s">
        <v>295</v>
      </c>
      <c r="E98" s="36" t="s">
        <v>13</v>
      </c>
    </row>
    <row r="99" spans="1:5" x14ac:dyDescent="0.35">
      <c r="A99" s="1">
        <v>33</v>
      </c>
      <c r="B99" s="2" t="str">
        <f>dataset!B39</f>
        <v>3523150202500002</v>
      </c>
      <c r="C99" s="2" t="str">
        <f>dataset!C39</f>
        <v>KARMADI</v>
      </c>
      <c r="D99" s="2">
        <f>dataset!E39</f>
        <v>2500000</v>
      </c>
      <c r="E99" s="36" t="s">
        <v>13</v>
      </c>
    </row>
    <row r="100" spans="1:5" x14ac:dyDescent="0.35">
      <c r="A100" s="1">
        <v>34</v>
      </c>
      <c r="B100" s="2" t="str">
        <f>dataset!B40</f>
        <v>3523150107510085</v>
      </c>
      <c r="C100" s="2" t="str">
        <f>dataset!C40</f>
        <v>WIBOWO SLAMET</v>
      </c>
      <c r="D100" s="35" t="s">
        <v>295</v>
      </c>
      <c r="E100" s="36" t="s">
        <v>13</v>
      </c>
    </row>
    <row r="101" spans="1:5" x14ac:dyDescent="0.35">
      <c r="A101" s="1">
        <v>35</v>
      </c>
      <c r="B101" s="2" t="str">
        <f>dataset!B41</f>
        <v>3523151604600002</v>
      </c>
      <c r="C101" s="2" t="str">
        <f>dataset!C41</f>
        <v>WINARTO</v>
      </c>
      <c r="D101" s="2">
        <v>1500000</v>
      </c>
      <c r="E101" s="36" t="s">
        <v>13</v>
      </c>
    </row>
    <row r="102" spans="1:5" x14ac:dyDescent="0.35">
      <c r="A102" s="1">
        <v>36</v>
      </c>
      <c r="B102" s="2" t="str">
        <f>dataset!B42</f>
        <v>3523152603110001</v>
      </c>
      <c r="C102" s="2" t="str">
        <f>dataset!C42</f>
        <v>HADI</v>
      </c>
      <c r="D102" s="2">
        <v>2000000</v>
      </c>
      <c r="E102" s="36" t="s">
        <v>13</v>
      </c>
    </row>
    <row r="103" spans="1:5" x14ac:dyDescent="0.35">
      <c r="A103" s="1">
        <v>37</v>
      </c>
      <c r="B103" s="2" t="str">
        <f>dataset!B43</f>
        <v>3523152212200001</v>
      </c>
      <c r="C103" s="2" t="str">
        <f>dataset!C43</f>
        <v>NGATOLAN</v>
      </c>
      <c r="D103" s="2" t="str">
        <f>dataset!E43</f>
        <v>Tidak bekerja</v>
      </c>
      <c r="E103" s="36" t="s">
        <v>13</v>
      </c>
    </row>
    <row r="104" spans="1:5" x14ac:dyDescent="0.35">
      <c r="A104" s="1">
        <v>38</v>
      </c>
      <c r="B104" s="2" t="str">
        <f>dataset!B44</f>
        <v>3523154107540103</v>
      </c>
      <c r="C104" s="2" t="str">
        <f>dataset!C44</f>
        <v>KARSIYAH</v>
      </c>
      <c r="D104" s="2" t="str">
        <f>dataset!E44</f>
        <v>Tidak bekerja</v>
      </c>
      <c r="E104" s="36" t="s">
        <v>13</v>
      </c>
    </row>
    <row r="105" spans="1:5" x14ac:dyDescent="0.35">
      <c r="A105" s="1">
        <v>39</v>
      </c>
      <c r="B105" s="2" t="str">
        <f>dataset!B45</f>
        <v>3523151403170009</v>
      </c>
      <c r="C105" s="2" t="str">
        <f>dataset!C45</f>
        <v>KARDIYONO</v>
      </c>
      <c r="D105" s="2">
        <f>dataset!E45</f>
        <v>1500000</v>
      </c>
      <c r="E105" s="36" t="s">
        <v>13</v>
      </c>
    </row>
    <row r="106" spans="1:5" x14ac:dyDescent="0.35">
      <c r="A106" s="1">
        <v>40</v>
      </c>
      <c r="B106" s="2" t="str">
        <f>dataset!B46</f>
        <v>3523151403061471</v>
      </c>
      <c r="C106" s="2" t="str">
        <f>dataset!C46</f>
        <v>LILIK</v>
      </c>
      <c r="D106" s="2">
        <f>dataset!E46</f>
        <v>2500000</v>
      </c>
      <c r="E106" s="36" t="s">
        <v>13</v>
      </c>
    </row>
    <row r="107" spans="1:5" x14ac:dyDescent="0.35">
      <c r="A107" s="1"/>
      <c r="B107" s="2"/>
      <c r="C107" s="2"/>
      <c r="D107" s="2"/>
      <c r="E107" s="17"/>
    </row>
    <row r="108" spans="1:5" ht="15" thickBot="1" x14ac:dyDescent="0.4">
      <c r="A108" s="37"/>
      <c r="B108" s="38"/>
      <c r="C108" s="38"/>
      <c r="D108" s="38"/>
      <c r="E108" s="39"/>
    </row>
    <row r="109" spans="1:5" ht="15" thickTop="1" x14ac:dyDescent="0.35">
      <c r="A109" s="40"/>
      <c r="B109" s="40"/>
      <c r="C109" s="40"/>
      <c r="D109" s="40"/>
      <c r="E109" s="40"/>
    </row>
    <row r="110" spans="1:5" x14ac:dyDescent="0.35">
      <c r="A110" s="41"/>
      <c r="B110" s="41"/>
      <c r="C110" s="41"/>
      <c r="D110" s="41"/>
      <c r="E110" s="41"/>
    </row>
    <row r="111" spans="1:5" x14ac:dyDescent="0.35">
      <c r="A111" s="41"/>
      <c r="B111" s="41"/>
      <c r="C111" s="41"/>
      <c r="D111" s="41"/>
      <c r="E111" s="41"/>
    </row>
    <row r="112" spans="1:5" x14ac:dyDescent="0.35">
      <c r="A112" s="41"/>
      <c r="B112" s="41"/>
      <c r="C112" s="41"/>
      <c r="D112" s="41"/>
      <c r="E112" s="41"/>
    </row>
    <row r="113" spans="1:5" x14ac:dyDescent="0.35">
      <c r="A113" s="41"/>
      <c r="B113" s="41"/>
      <c r="C113" s="41"/>
      <c r="D113" s="41"/>
      <c r="E113" s="41"/>
    </row>
    <row r="114" spans="1:5" x14ac:dyDescent="0.35">
      <c r="A114" s="41"/>
      <c r="B114" s="41"/>
      <c r="C114" s="41"/>
      <c r="D114" s="41"/>
      <c r="E114" s="41"/>
    </row>
    <row r="115" spans="1:5" x14ac:dyDescent="0.35">
      <c r="A115" s="41"/>
      <c r="B115" s="41"/>
      <c r="C115" s="41"/>
      <c r="D115" s="41"/>
      <c r="E115" s="41"/>
    </row>
    <row r="116" spans="1:5" x14ac:dyDescent="0.35">
      <c r="A116" s="41"/>
      <c r="B116" s="41"/>
      <c r="C116" s="41"/>
      <c r="D116" s="41"/>
      <c r="E116" s="41"/>
    </row>
    <row r="117" spans="1:5" x14ac:dyDescent="0.35">
      <c r="A117" s="41"/>
      <c r="B117" s="41"/>
      <c r="C117" s="41"/>
      <c r="D117" s="41"/>
      <c r="E117" s="41"/>
    </row>
    <row r="118" spans="1:5" x14ac:dyDescent="0.35">
      <c r="A118" s="41"/>
      <c r="B118" s="41"/>
      <c r="C118" s="41"/>
      <c r="D118" s="41"/>
      <c r="E118" s="41"/>
    </row>
    <row r="119" spans="1:5" x14ac:dyDescent="0.35">
      <c r="A119" s="41"/>
      <c r="B119" s="41"/>
      <c r="C119" s="41"/>
      <c r="D119" s="41"/>
      <c r="E119" s="41"/>
    </row>
    <row r="120" spans="1:5" x14ac:dyDescent="0.35">
      <c r="A120" s="41"/>
      <c r="B120" s="41"/>
      <c r="C120" s="41"/>
      <c r="D120" s="41"/>
      <c r="E120" s="41"/>
    </row>
    <row r="121" spans="1:5" x14ac:dyDescent="0.35">
      <c r="A121" s="41"/>
      <c r="B121" s="41"/>
      <c r="C121" s="41"/>
      <c r="D121" s="41"/>
      <c r="E121" s="41"/>
    </row>
    <row r="122" spans="1:5" x14ac:dyDescent="0.35">
      <c r="A122" s="41"/>
      <c r="B122" s="41"/>
      <c r="C122" s="41"/>
      <c r="D122" s="41"/>
      <c r="E122" s="41"/>
    </row>
    <row r="123" spans="1:5" x14ac:dyDescent="0.35">
      <c r="A123" s="41"/>
      <c r="B123" s="41"/>
      <c r="C123" s="41"/>
      <c r="D123" s="41"/>
      <c r="E123" s="41"/>
    </row>
    <row r="124" spans="1:5" x14ac:dyDescent="0.35">
      <c r="A124" s="41"/>
      <c r="B124" s="41"/>
      <c r="C124" s="41"/>
      <c r="D124" s="41"/>
      <c r="E124" s="41"/>
    </row>
    <row r="125" spans="1:5" x14ac:dyDescent="0.35">
      <c r="A125" s="41"/>
      <c r="B125" s="41"/>
      <c r="C125" s="41"/>
      <c r="D125" s="41"/>
      <c r="E125" s="41"/>
    </row>
    <row r="126" spans="1:5" x14ac:dyDescent="0.35">
      <c r="A126" s="41"/>
      <c r="B126" s="41"/>
      <c r="C126" s="41"/>
      <c r="D126" s="41"/>
      <c r="E126" s="41"/>
    </row>
    <row r="127" spans="1:5" x14ac:dyDescent="0.35">
      <c r="A127" s="41"/>
      <c r="B127" s="41"/>
      <c r="C127" s="41"/>
      <c r="D127" s="41"/>
      <c r="E127" s="41"/>
    </row>
    <row r="128" spans="1:5" x14ac:dyDescent="0.35">
      <c r="A128" s="41"/>
      <c r="B128" s="41"/>
      <c r="C128" s="41"/>
      <c r="D128" s="41"/>
      <c r="E128" s="41"/>
    </row>
    <row r="129" spans="1:5" x14ac:dyDescent="0.35">
      <c r="A129" s="41"/>
      <c r="B129" s="41"/>
      <c r="C129" s="41"/>
      <c r="D129" s="41"/>
      <c r="E129" s="41"/>
    </row>
    <row r="130" spans="1:5" x14ac:dyDescent="0.35">
      <c r="A130" s="41"/>
      <c r="B130" s="41"/>
      <c r="C130" s="41"/>
      <c r="D130" s="41"/>
      <c r="E130" s="41"/>
    </row>
    <row r="131" spans="1:5" x14ac:dyDescent="0.35">
      <c r="A131" s="41"/>
      <c r="B131" s="41"/>
      <c r="C131" s="41"/>
      <c r="D131" s="41"/>
      <c r="E131" s="41"/>
    </row>
    <row r="132" spans="1:5" x14ac:dyDescent="0.35">
      <c r="A132" s="41"/>
      <c r="B132" s="41"/>
      <c r="C132" s="41"/>
      <c r="D132" s="41"/>
      <c r="E132" s="41"/>
    </row>
    <row r="133" spans="1:5" x14ac:dyDescent="0.35">
      <c r="A133" s="41"/>
      <c r="B133" s="41"/>
      <c r="C133" s="41"/>
      <c r="D133" s="41"/>
      <c r="E133" s="41"/>
    </row>
    <row r="134" spans="1:5" x14ac:dyDescent="0.35">
      <c r="A134" s="41"/>
      <c r="B134" s="41"/>
      <c r="C134" s="41"/>
      <c r="D134" s="41"/>
      <c r="E134" s="41"/>
    </row>
    <row r="135" spans="1:5" x14ac:dyDescent="0.35">
      <c r="A135" s="41"/>
      <c r="B135" s="41"/>
      <c r="C135" s="41"/>
      <c r="D135" s="41"/>
      <c r="E135" s="41"/>
    </row>
    <row r="136" spans="1:5" x14ac:dyDescent="0.35">
      <c r="A136" s="41"/>
      <c r="B136" s="41"/>
      <c r="C136" s="41"/>
      <c r="D136" s="41"/>
      <c r="E136" s="41"/>
    </row>
    <row r="137" spans="1:5" x14ac:dyDescent="0.35">
      <c r="A137" s="41"/>
      <c r="B137" s="41"/>
      <c r="C137" s="41"/>
      <c r="D137" s="41"/>
      <c r="E137" s="41"/>
    </row>
    <row r="138" spans="1:5" x14ac:dyDescent="0.35">
      <c r="A138" s="41"/>
      <c r="B138" s="41"/>
      <c r="C138" s="41"/>
      <c r="D138" s="41"/>
      <c r="E138" s="41"/>
    </row>
    <row r="139" spans="1:5" x14ac:dyDescent="0.35">
      <c r="A139" s="41"/>
      <c r="B139" s="41"/>
      <c r="C139" s="41"/>
      <c r="D139" s="41"/>
      <c r="E139" s="41"/>
    </row>
    <row r="140" spans="1:5" x14ac:dyDescent="0.35">
      <c r="A140" s="41"/>
      <c r="B140" s="41"/>
      <c r="C140" s="41"/>
      <c r="D140" s="41"/>
      <c r="E140" s="41"/>
    </row>
    <row r="141" spans="1:5" x14ac:dyDescent="0.35">
      <c r="A141" s="41"/>
      <c r="B141" s="41"/>
      <c r="C141" s="41"/>
      <c r="D141" s="41"/>
      <c r="E141" s="41"/>
    </row>
    <row r="142" spans="1:5" x14ac:dyDescent="0.35">
      <c r="A142" s="41"/>
      <c r="B142" s="41"/>
      <c r="C142" s="41"/>
      <c r="D142" s="41"/>
      <c r="E142" s="41"/>
    </row>
    <row r="143" spans="1:5" x14ac:dyDescent="0.35">
      <c r="A143" s="41"/>
      <c r="B143" s="41"/>
      <c r="C143" s="41"/>
      <c r="D143" s="41"/>
      <c r="E143" s="41"/>
    </row>
    <row r="144" spans="1:5" x14ac:dyDescent="0.35">
      <c r="A144" s="41"/>
      <c r="B144" s="41"/>
      <c r="C144" s="41"/>
      <c r="D144" s="41"/>
      <c r="E144" s="41"/>
    </row>
  </sheetData>
  <mergeCells count="2">
    <mergeCell ref="A3:E3"/>
    <mergeCell ref="A64:E64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E4BC-0D10-4873-9633-0D22D38ABE9C}">
  <dimension ref="A2:E97"/>
  <sheetViews>
    <sheetView topLeftCell="A28" workbookViewId="0">
      <selection activeCell="B23" sqref="B23"/>
    </sheetView>
  </sheetViews>
  <sheetFormatPr defaultRowHeight="14.5" x14ac:dyDescent="0.35"/>
  <cols>
    <col min="1" max="1" width="23.26953125" customWidth="1"/>
    <col min="2" max="2" width="13.26953125" bestFit="1" customWidth="1"/>
  </cols>
  <sheetData>
    <row r="2" spans="1:5" ht="15.5" x14ac:dyDescent="0.35">
      <c r="A2" s="42" t="s">
        <v>302</v>
      </c>
    </row>
    <row r="3" spans="1:5" x14ac:dyDescent="0.35">
      <c r="E3" t="s">
        <v>355</v>
      </c>
    </row>
    <row r="4" spans="1:5" x14ac:dyDescent="0.35">
      <c r="A4" s="43" t="s">
        <v>296</v>
      </c>
    </row>
    <row r="6" spans="1:5" x14ac:dyDescent="0.35">
      <c r="A6" s="34" t="s">
        <v>297</v>
      </c>
      <c r="B6" s="34" t="s">
        <v>298</v>
      </c>
      <c r="C6" s="34" t="s">
        <v>299</v>
      </c>
    </row>
    <row r="7" spans="1:5" x14ac:dyDescent="0.35">
      <c r="A7" s="2" t="str">
        <f>dataset!E5</f>
        <v xml:space="preserve">Penghasilan </v>
      </c>
      <c r="B7" s="2" t="s">
        <v>300</v>
      </c>
      <c r="C7" s="34">
        <v>2</v>
      </c>
    </row>
    <row r="8" spans="1:5" x14ac:dyDescent="0.35">
      <c r="A8" s="2" t="str">
        <f>dataset!F5</f>
        <v>Luas Rumah</v>
      </c>
      <c r="B8" s="2" t="s">
        <v>300</v>
      </c>
      <c r="C8" s="34">
        <v>1.5</v>
      </c>
    </row>
    <row r="9" spans="1:5" x14ac:dyDescent="0.35">
      <c r="A9" s="2" t="str">
        <f>dataset!G5</f>
        <v xml:space="preserve">Status Kepemilikan Rumah </v>
      </c>
      <c r="B9" s="2" t="s">
        <v>300</v>
      </c>
      <c r="C9" s="34">
        <v>1</v>
      </c>
    </row>
    <row r="10" spans="1:5" x14ac:dyDescent="0.35">
      <c r="A10" s="2" t="str">
        <f>dataset!H5</f>
        <v>Sumber Air</v>
      </c>
      <c r="B10" s="2" t="s">
        <v>300</v>
      </c>
      <c r="C10" s="34">
        <v>0.5</v>
      </c>
    </row>
    <row r="11" spans="1:5" x14ac:dyDescent="0.35">
      <c r="A11" s="2" t="str">
        <f>dataset!I5</f>
        <v>ibu Hamil / menyusui</v>
      </c>
      <c r="B11" s="2" t="s">
        <v>301</v>
      </c>
      <c r="C11" s="34">
        <v>0.5</v>
      </c>
    </row>
    <row r="12" spans="1:5" x14ac:dyDescent="0.35">
      <c r="A12" s="2" t="str">
        <f>dataset!J5</f>
        <v>lansia</v>
      </c>
      <c r="B12" s="2" t="s">
        <v>301</v>
      </c>
      <c r="C12" s="34">
        <v>0.5</v>
      </c>
    </row>
    <row r="13" spans="1:5" x14ac:dyDescent="0.35">
      <c r="A13" s="2" t="str">
        <f>dataset!L5</f>
        <v>jenis dinding</v>
      </c>
      <c r="B13" s="2" t="s">
        <v>300</v>
      </c>
      <c r="C13" s="34">
        <v>1</v>
      </c>
    </row>
    <row r="14" spans="1:5" x14ac:dyDescent="0.35">
      <c r="A14" s="2" t="str">
        <f>dataset!M5</f>
        <v xml:space="preserve">jenis lantai </v>
      </c>
      <c r="B14" s="2" t="s">
        <v>300</v>
      </c>
      <c r="C14" s="34">
        <v>1</v>
      </c>
    </row>
    <row r="15" spans="1:5" x14ac:dyDescent="0.35">
      <c r="A15" s="2" t="str">
        <f>dataset!K5</f>
        <v>jumlah tanggungan (Anak)</v>
      </c>
      <c r="B15" s="2" t="s">
        <v>301</v>
      </c>
      <c r="C15" s="34">
        <v>0.5</v>
      </c>
    </row>
    <row r="16" spans="1:5" x14ac:dyDescent="0.35">
      <c r="A16" s="44" t="s">
        <v>305</v>
      </c>
    </row>
    <row r="17" spans="1:3" x14ac:dyDescent="0.35">
      <c r="A17" s="45"/>
    </row>
    <row r="18" spans="1:3" x14ac:dyDescent="0.35">
      <c r="A18" s="43" t="s">
        <v>303</v>
      </c>
    </row>
    <row r="20" spans="1:3" x14ac:dyDescent="0.35">
      <c r="A20" s="44" t="s">
        <v>304</v>
      </c>
    </row>
    <row r="22" spans="1:3" x14ac:dyDescent="0.35">
      <c r="A22" s="9" t="s">
        <v>297</v>
      </c>
      <c r="B22" s="9" t="s">
        <v>306</v>
      </c>
      <c r="C22" s="9" t="s">
        <v>307</v>
      </c>
    </row>
    <row r="23" spans="1:3" x14ac:dyDescent="0.35">
      <c r="A23" s="46" t="s">
        <v>308</v>
      </c>
      <c r="B23" s="2" t="s">
        <v>311</v>
      </c>
      <c r="C23" s="34">
        <v>2.5</v>
      </c>
    </row>
    <row r="24" spans="1:3" x14ac:dyDescent="0.35">
      <c r="A24" s="34" t="s">
        <v>309</v>
      </c>
      <c r="B24" s="2" t="s">
        <v>312</v>
      </c>
      <c r="C24" s="34">
        <v>5</v>
      </c>
    </row>
    <row r="25" spans="1:3" x14ac:dyDescent="0.35">
      <c r="A25" s="34" t="s">
        <v>310</v>
      </c>
      <c r="B25" s="2" t="s">
        <v>313</v>
      </c>
      <c r="C25" s="34">
        <v>7.5</v>
      </c>
    </row>
    <row r="26" spans="1:3" x14ac:dyDescent="0.35">
      <c r="A26" s="44" t="s">
        <v>305</v>
      </c>
    </row>
    <row r="28" spans="1:3" x14ac:dyDescent="0.35">
      <c r="A28" s="47" t="s">
        <v>314</v>
      </c>
    </row>
    <row r="30" spans="1:3" x14ac:dyDescent="0.35">
      <c r="A30" s="34" t="s">
        <v>315</v>
      </c>
      <c r="B30" s="34" t="s">
        <v>306</v>
      </c>
      <c r="C30" s="34" t="s">
        <v>307</v>
      </c>
    </row>
    <row r="31" spans="1:3" x14ac:dyDescent="0.35">
      <c r="A31" s="34" t="s">
        <v>316</v>
      </c>
      <c r="B31" s="34" t="s">
        <v>317</v>
      </c>
      <c r="C31" s="34">
        <v>1</v>
      </c>
    </row>
    <row r="32" spans="1:3" x14ac:dyDescent="0.35">
      <c r="A32" s="34" t="s">
        <v>318</v>
      </c>
      <c r="B32" s="34" t="s">
        <v>319</v>
      </c>
      <c r="C32" s="34">
        <v>2.5</v>
      </c>
    </row>
    <row r="33" spans="1:3" x14ac:dyDescent="0.35">
      <c r="A33" s="34" t="s">
        <v>320</v>
      </c>
      <c r="B33" s="34" t="s">
        <v>321</v>
      </c>
      <c r="C33" s="34">
        <v>5</v>
      </c>
    </row>
    <row r="34" spans="1:3" x14ac:dyDescent="0.35">
      <c r="A34" s="34" t="s">
        <v>322</v>
      </c>
      <c r="B34" s="34" t="s">
        <v>323</v>
      </c>
      <c r="C34" s="34">
        <v>7.5</v>
      </c>
    </row>
    <row r="35" spans="1:3" x14ac:dyDescent="0.35">
      <c r="A35" s="34" t="s">
        <v>324</v>
      </c>
      <c r="B35" s="34" t="s">
        <v>325</v>
      </c>
      <c r="C35" s="34">
        <v>10</v>
      </c>
    </row>
    <row r="36" spans="1:3" x14ac:dyDescent="0.35">
      <c r="A36" s="44" t="s">
        <v>305</v>
      </c>
    </row>
    <row r="38" spans="1:3" x14ac:dyDescent="0.35">
      <c r="A38" s="47" t="s">
        <v>326</v>
      </c>
    </row>
    <row r="40" spans="1:3" x14ac:dyDescent="0.35">
      <c r="A40" s="34" t="s">
        <v>297</v>
      </c>
      <c r="B40" s="34" t="s">
        <v>306</v>
      </c>
      <c r="C40" s="34" t="s">
        <v>307</v>
      </c>
    </row>
    <row r="41" spans="1:3" x14ac:dyDescent="0.35">
      <c r="A41" s="34" t="s">
        <v>15</v>
      </c>
      <c r="B41" s="34" t="s">
        <v>327</v>
      </c>
      <c r="C41" s="34">
        <v>2.5</v>
      </c>
    </row>
    <row r="42" spans="1:3" x14ac:dyDescent="0.35">
      <c r="A42" s="34" t="s">
        <v>328</v>
      </c>
      <c r="B42" s="34" t="s">
        <v>321</v>
      </c>
      <c r="C42" s="34">
        <v>5</v>
      </c>
    </row>
    <row r="43" spans="1:3" x14ac:dyDescent="0.35">
      <c r="A43" s="34" t="s">
        <v>38</v>
      </c>
      <c r="B43" s="34" t="s">
        <v>323</v>
      </c>
      <c r="C43" s="34">
        <v>7.5</v>
      </c>
    </row>
    <row r="44" spans="1:3" x14ac:dyDescent="0.35">
      <c r="A44" s="44" t="s">
        <v>305</v>
      </c>
    </row>
    <row r="46" spans="1:3" x14ac:dyDescent="0.35">
      <c r="A46" s="48" t="s">
        <v>329</v>
      </c>
    </row>
    <row r="48" spans="1:3" x14ac:dyDescent="0.35">
      <c r="A48" s="34" t="s">
        <v>297</v>
      </c>
      <c r="B48" s="34" t="s">
        <v>306</v>
      </c>
      <c r="C48" s="34" t="s">
        <v>307</v>
      </c>
    </row>
    <row r="49" spans="1:3" x14ac:dyDescent="0.35">
      <c r="A49" s="34" t="s">
        <v>330</v>
      </c>
      <c r="B49" s="34" t="s">
        <v>327</v>
      </c>
      <c r="C49" s="34">
        <v>2.5</v>
      </c>
    </row>
    <row r="50" spans="1:3" x14ac:dyDescent="0.35">
      <c r="A50" s="34" t="s">
        <v>331</v>
      </c>
      <c r="B50" s="34" t="s">
        <v>321</v>
      </c>
      <c r="C50" s="34">
        <v>5</v>
      </c>
    </row>
    <row r="51" spans="1:3" x14ac:dyDescent="0.35">
      <c r="A51" s="34" t="s">
        <v>332</v>
      </c>
      <c r="B51" s="34" t="s">
        <v>323</v>
      </c>
      <c r="C51" s="34">
        <v>7.5</v>
      </c>
    </row>
    <row r="52" spans="1:3" x14ac:dyDescent="0.35">
      <c r="A52" s="44" t="s">
        <v>305</v>
      </c>
    </row>
    <row r="54" spans="1:3" x14ac:dyDescent="0.35">
      <c r="A54" s="48" t="s">
        <v>333</v>
      </c>
    </row>
    <row r="56" spans="1:3" x14ac:dyDescent="0.35">
      <c r="A56" s="9" t="s">
        <v>334</v>
      </c>
      <c r="B56" s="9" t="s">
        <v>335</v>
      </c>
      <c r="C56" s="9" t="s">
        <v>307</v>
      </c>
    </row>
    <row r="57" spans="1:3" x14ac:dyDescent="0.35">
      <c r="A57" s="9" t="s">
        <v>19</v>
      </c>
      <c r="B57" s="9" t="s">
        <v>327</v>
      </c>
      <c r="C57" s="9">
        <v>2.5</v>
      </c>
    </row>
    <row r="58" spans="1:3" x14ac:dyDescent="0.35">
      <c r="A58" s="9" t="s">
        <v>43</v>
      </c>
      <c r="B58" s="9" t="s">
        <v>321</v>
      </c>
      <c r="C58" s="9">
        <v>5</v>
      </c>
    </row>
    <row r="59" spans="1:3" x14ac:dyDescent="0.35">
      <c r="A59" s="9" t="s">
        <v>73</v>
      </c>
      <c r="B59" s="9" t="s">
        <v>323</v>
      </c>
      <c r="C59" s="9">
        <v>7.5</v>
      </c>
    </row>
    <row r="60" spans="1:3" x14ac:dyDescent="0.35">
      <c r="A60" s="44" t="s">
        <v>305</v>
      </c>
    </row>
    <row r="62" spans="1:3" x14ac:dyDescent="0.35">
      <c r="A62" s="47" t="s">
        <v>336</v>
      </c>
    </row>
    <row r="64" spans="1:3" x14ac:dyDescent="0.35">
      <c r="A64" s="34" t="s">
        <v>297</v>
      </c>
      <c r="B64" s="34" t="s">
        <v>337</v>
      </c>
      <c r="C64" s="2" t="s">
        <v>307</v>
      </c>
    </row>
    <row r="65" spans="1:3" x14ac:dyDescent="0.35">
      <c r="A65" s="34" t="s">
        <v>20</v>
      </c>
      <c r="B65" s="34" t="s">
        <v>327</v>
      </c>
      <c r="C65" s="2">
        <v>1</v>
      </c>
    </row>
    <row r="66" spans="1:3" x14ac:dyDescent="0.35">
      <c r="A66" s="34" t="s">
        <v>41</v>
      </c>
      <c r="B66" s="34" t="s">
        <v>321</v>
      </c>
      <c r="C66" s="2">
        <v>2</v>
      </c>
    </row>
    <row r="67" spans="1:3" x14ac:dyDescent="0.35">
      <c r="A67" s="34" t="s">
        <v>338</v>
      </c>
      <c r="B67" s="34" t="s">
        <v>323</v>
      </c>
      <c r="C67" s="2">
        <v>3</v>
      </c>
    </row>
    <row r="68" spans="1:3" x14ac:dyDescent="0.35">
      <c r="A68" s="44" t="s">
        <v>406</v>
      </c>
    </row>
    <row r="69" spans="1:3" x14ac:dyDescent="0.35">
      <c r="A69" s="48" t="s">
        <v>339</v>
      </c>
    </row>
    <row r="71" spans="1:3" x14ac:dyDescent="0.35">
      <c r="A71" s="49" t="s">
        <v>297</v>
      </c>
      <c r="B71" s="49" t="s">
        <v>306</v>
      </c>
      <c r="C71" s="49" t="s">
        <v>307</v>
      </c>
    </row>
    <row r="72" spans="1:3" x14ac:dyDescent="0.35">
      <c r="A72" s="49" t="s">
        <v>22</v>
      </c>
      <c r="B72" s="49" t="s">
        <v>327</v>
      </c>
      <c r="C72" s="49">
        <v>2.5</v>
      </c>
    </row>
    <row r="73" spans="1:3" x14ac:dyDescent="0.35">
      <c r="A73" s="49" t="s">
        <v>340</v>
      </c>
      <c r="B73" s="49" t="s">
        <v>321</v>
      </c>
      <c r="C73" s="49">
        <v>5</v>
      </c>
    </row>
    <row r="74" spans="1:3" x14ac:dyDescent="0.35">
      <c r="A74" s="49" t="s">
        <v>93</v>
      </c>
      <c r="B74" s="49" t="s">
        <v>323</v>
      </c>
      <c r="C74" s="49">
        <v>7.5</v>
      </c>
    </row>
    <row r="75" spans="1:3" x14ac:dyDescent="0.35">
      <c r="A75" s="44" t="s">
        <v>305</v>
      </c>
    </row>
    <row r="77" spans="1:3" x14ac:dyDescent="0.35">
      <c r="A77" s="48" t="s">
        <v>341</v>
      </c>
    </row>
    <row r="79" spans="1:3" x14ac:dyDescent="0.35">
      <c r="A79" s="9" t="s">
        <v>334</v>
      </c>
      <c r="B79" s="9" t="s">
        <v>306</v>
      </c>
      <c r="C79" s="9" t="s">
        <v>307</v>
      </c>
    </row>
    <row r="80" spans="1:3" x14ac:dyDescent="0.35">
      <c r="A80" s="9" t="s">
        <v>17</v>
      </c>
      <c r="B80" s="9" t="s">
        <v>327</v>
      </c>
      <c r="C80" s="9">
        <v>2.5</v>
      </c>
    </row>
    <row r="81" spans="1:3" x14ac:dyDescent="0.35">
      <c r="A81" s="9" t="s">
        <v>237</v>
      </c>
      <c r="B81" s="9" t="s">
        <v>323</v>
      </c>
      <c r="C81" s="9">
        <v>7.5</v>
      </c>
    </row>
    <row r="82" spans="1:3" x14ac:dyDescent="0.35">
      <c r="A82" s="44" t="s">
        <v>305</v>
      </c>
    </row>
    <row r="84" spans="1:3" x14ac:dyDescent="0.35">
      <c r="A84" s="47" t="s">
        <v>342</v>
      </c>
    </row>
    <row r="86" spans="1:3" x14ac:dyDescent="0.35">
      <c r="A86" s="9" t="s">
        <v>334</v>
      </c>
      <c r="B86" s="9" t="s">
        <v>306</v>
      </c>
      <c r="C86" s="9" t="s">
        <v>307</v>
      </c>
    </row>
    <row r="87" spans="1:3" x14ac:dyDescent="0.35">
      <c r="A87" s="9" t="s">
        <v>343</v>
      </c>
      <c r="B87" s="9" t="s">
        <v>311</v>
      </c>
      <c r="C87" s="9">
        <v>7.5</v>
      </c>
    </row>
    <row r="88" spans="1:3" x14ac:dyDescent="0.35">
      <c r="A88" s="12" t="s">
        <v>344</v>
      </c>
      <c r="B88" s="9" t="s">
        <v>321</v>
      </c>
      <c r="C88" s="9">
        <v>5</v>
      </c>
    </row>
    <row r="89" spans="1:3" x14ac:dyDescent="0.35">
      <c r="A89" s="9">
        <v>1</v>
      </c>
      <c r="B89" s="9" t="s">
        <v>313</v>
      </c>
      <c r="C89" s="9">
        <v>2.5</v>
      </c>
    </row>
    <row r="90" spans="1:3" x14ac:dyDescent="0.35">
      <c r="A90" s="9">
        <v>0</v>
      </c>
      <c r="B90" s="9" t="s">
        <v>345</v>
      </c>
      <c r="C90" s="9">
        <v>1</v>
      </c>
    </row>
    <row r="92" spans="1:3" x14ac:dyDescent="0.35">
      <c r="A92" s="44" t="s">
        <v>352</v>
      </c>
    </row>
    <row r="94" spans="1:3" x14ac:dyDescent="0.35">
      <c r="A94" s="9" t="s">
        <v>334</v>
      </c>
      <c r="B94" s="9" t="s">
        <v>306</v>
      </c>
      <c r="C94" s="9" t="s">
        <v>353</v>
      </c>
    </row>
    <row r="95" spans="1:3" x14ac:dyDescent="0.35">
      <c r="A95" s="9" t="s">
        <v>17</v>
      </c>
      <c r="B95" s="9" t="s">
        <v>327</v>
      </c>
      <c r="C95" s="9">
        <v>2.5</v>
      </c>
    </row>
    <row r="96" spans="1:3" x14ac:dyDescent="0.35">
      <c r="A96" s="9" t="s">
        <v>237</v>
      </c>
      <c r="B96" s="9" t="s">
        <v>323</v>
      </c>
      <c r="C96" s="9">
        <v>7.5</v>
      </c>
    </row>
    <row r="97" spans="1:1" x14ac:dyDescent="0.35">
      <c r="A97" s="44" t="s">
        <v>305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24B1-B429-425E-AF9F-8C92307C1B2E}">
  <dimension ref="A1:AO332"/>
  <sheetViews>
    <sheetView topLeftCell="A34" zoomScale="90" zoomScaleNormal="90" workbookViewId="0">
      <selection activeCell="O34" sqref="O34"/>
    </sheetView>
  </sheetViews>
  <sheetFormatPr defaultRowHeight="14.5" x14ac:dyDescent="0.35"/>
  <cols>
    <col min="1" max="1" width="4.1796875" bestFit="1" customWidth="1"/>
    <col min="2" max="2" width="17.08984375" hidden="1" customWidth="1"/>
    <col min="3" max="3" width="23.54296875" bestFit="1" customWidth="1"/>
    <col min="4" max="4" width="13" customWidth="1"/>
    <col min="5" max="5" width="11.90625" bestFit="1" customWidth="1"/>
    <col min="6" max="6" width="11.6328125" bestFit="1" customWidth="1"/>
    <col min="7" max="7" width="11.453125" bestFit="1" customWidth="1"/>
    <col min="8" max="8" width="10.54296875" customWidth="1"/>
    <col min="9" max="9" width="11.36328125" customWidth="1"/>
    <col min="10" max="10" width="9" bestFit="1" customWidth="1"/>
    <col min="11" max="11" width="13.54296875" customWidth="1"/>
    <col min="12" max="12" width="12.7265625" bestFit="1" customWidth="1"/>
    <col min="13" max="13" width="13" customWidth="1"/>
    <col min="14" max="14" width="11.36328125" bestFit="1" customWidth="1"/>
    <col min="15" max="15" width="9.7265625" customWidth="1"/>
    <col min="16" max="16" width="0" hidden="1" customWidth="1"/>
    <col min="17" max="17" width="8.90625" bestFit="1" customWidth="1"/>
    <col min="20" max="20" width="17" customWidth="1"/>
    <col min="25" max="25" width="9.08984375" bestFit="1" customWidth="1"/>
    <col min="28" max="28" width="16.6328125" customWidth="1"/>
    <col min="33" max="33" width="9.08984375" bestFit="1" customWidth="1"/>
  </cols>
  <sheetData>
    <row r="1" spans="1:16" x14ac:dyDescent="0.35">
      <c r="A1" s="221" t="s">
        <v>354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2" spans="1:16" ht="15" thickBot="1" x14ac:dyDescent="0.4"/>
    <row r="3" spans="1:16" ht="44.5" thickTop="1" thickBot="1" x14ac:dyDescent="0.4">
      <c r="A3" s="13" t="s">
        <v>0</v>
      </c>
      <c r="B3" s="14" t="s">
        <v>1</v>
      </c>
      <c r="C3" s="15" t="s">
        <v>2</v>
      </c>
      <c r="D3" s="14" t="s">
        <v>3</v>
      </c>
      <c r="E3" s="14" t="s">
        <v>4</v>
      </c>
      <c r="F3" s="15" t="s">
        <v>5</v>
      </c>
      <c r="G3" s="15" t="s">
        <v>6</v>
      </c>
      <c r="H3" s="15" t="s">
        <v>21</v>
      </c>
      <c r="I3" s="15" t="s">
        <v>7</v>
      </c>
      <c r="J3" s="15" t="s">
        <v>8</v>
      </c>
      <c r="K3" s="15" t="s">
        <v>25</v>
      </c>
      <c r="L3" s="15" t="s">
        <v>9</v>
      </c>
      <c r="M3" s="15" t="s">
        <v>10</v>
      </c>
      <c r="N3" s="50" t="s">
        <v>11</v>
      </c>
      <c r="O3" s="120" t="s">
        <v>346</v>
      </c>
      <c r="P3" s="149" t="s">
        <v>419</v>
      </c>
    </row>
    <row r="4" spans="1:16" ht="15" thickTop="1" x14ac:dyDescent="0.35">
      <c r="A4" s="5">
        <v>1</v>
      </c>
      <c r="B4" s="33" t="s">
        <v>284</v>
      </c>
      <c r="C4" s="6" t="s">
        <v>12</v>
      </c>
      <c r="D4" s="7" t="s">
        <v>13</v>
      </c>
      <c r="E4" s="32" t="str">
        <f>'B.kriteria &amp; R.kecocokan'!$B$24</f>
        <v>Cukup</v>
      </c>
      <c r="F4" s="8" t="str">
        <f>'B.kriteria &amp; R.kecocokan'!$B$34</f>
        <v>Tinggi</v>
      </c>
      <c r="G4" s="8" t="str">
        <f>'B.kriteria &amp; R.kecocokan'!$B$41</f>
        <v>Rendah</v>
      </c>
      <c r="H4" s="8" t="str">
        <f>'B.kriteria &amp; R.kecocokan'!$B$72</f>
        <v>Rendah</v>
      </c>
      <c r="I4" s="8" t="str">
        <f>'B.kriteria &amp; R.kecocokan'!$B$95</f>
        <v>Rendah</v>
      </c>
      <c r="J4" s="8" t="str">
        <f>'B.kriteria &amp; R.kecocokan'!$B$80</f>
        <v>Rendah</v>
      </c>
      <c r="K4" s="8" t="str">
        <f>'B.kriteria &amp; R.kecocokan'!$B$89</f>
        <v>Sedikit</v>
      </c>
      <c r="L4" s="8" t="str">
        <f>'B.kriteria &amp; R.kecocokan'!$B$49</f>
        <v>Rendah</v>
      </c>
      <c r="M4" s="8" t="str">
        <f>'B.kriteria &amp; R.kecocokan'!$B$57</f>
        <v>Rendah</v>
      </c>
      <c r="N4" s="51" t="str">
        <f>'B.kriteria &amp; R.kecocokan'!$B$65</f>
        <v>Rendah</v>
      </c>
      <c r="O4" s="110" t="s">
        <v>347</v>
      </c>
      <c r="P4" s="17"/>
    </row>
    <row r="5" spans="1:16" x14ac:dyDescent="0.35">
      <c r="A5" s="1">
        <v>2</v>
      </c>
      <c r="B5" s="16" t="s">
        <v>279</v>
      </c>
      <c r="C5" s="2" t="s">
        <v>24</v>
      </c>
      <c r="D5" s="11" t="s">
        <v>13</v>
      </c>
      <c r="E5" s="32" t="str">
        <f>'B.kriteria &amp; R.kecocokan'!$B$24</f>
        <v>Cukup</v>
      </c>
      <c r="F5" s="9" t="str">
        <f>'B.kriteria &amp; R.kecocokan'!$B$34</f>
        <v>Tinggi</v>
      </c>
      <c r="G5" s="8" t="str">
        <f>'B.kriteria &amp; R.kecocokan'!$B$41</f>
        <v>Rendah</v>
      </c>
      <c r="H5" s="8" t="str">
        <f>'B.kriteria &amp; R.kecocokan'!$B$72</f>
        <v>Rendah</v>
      </c>
      <c r="I5" s="8" t="str">
        <f>'B.kriteria &amp; R.kecocokan'!$B$95</f>
        <v>Rendah</v>
      </c>
      <c r="J5" s="9" t="str">
        <f>'B.kriteria &amp; R.kecocokan'!$B$81</f>
        <v>Tinggi</v>
      </c>
      <c r="K5" s="9" t="str">
        <f>'B.kriteria &amp; R.kecocokan'!$B$90</f>
        <v>Sangat Sedikit</v>
      </c>
      <c r="L5" s="8" t="str">
        <f>'B.kriteria &amp; R.kecocokan'!$B$49</f>
        <v>Rendah</v>
      </c>
      <c r="M5" s="8" t="str">
        <f>'B.kriteria &amp; R.kecocokan'!$B$57</f>
        <v>Rendah</v>
      </c>
      <c r="N5" s="51" t="str">
        <f>'B.kriteria &amp; R.kecocokan'!$B$65</f>
        <v>Rendah</v>
      </c>
      <c r="O5" s="9" t="s">
        <v>347</v>
      </c>
      <c r="P5" s="17"/>
    </row>
    <row r="6" spans="1:16" x14ac:dyDescent="0.35">
      <c r="A6" s="5">
        <v>3</v>
      </c>
      <c r="B6" s="16" t="s">
        <v>285</v>
      </c>
      <c r="C6" s="2" t="s">
        <v>26</v>
      </c>
      <c r="D6" s="11" t="s">
        <v>13</v>
      </c>
      <c r="E6" s="9" t="str">
        <f>'B.kriteria &amp; R.kecocokan'!$B$23</f>
        <v>Banyak</v>
      </c>
      <c r="F6" s="9" t="str">
        <f>'B.kriteria &amp; R.kecocokan'!$B$34</f>
        <v>Tinggi</v>
      </c>
      <c r="G6" s="8" t="str">
        <f>'B.kriteria &amp; R.kecocokan'!$B$41</f>
        <v>Rendah</v>
      </c>
      <c r="H6" s="8" t="str">
        <f>'B.kriteria &amp; R.kecocokan'!$B$72</f>
        <v>Rendah</v>
      </c>
      <c r="I6" s="8" t="str">
        <f>'B.kriteria &amp; R.kecocokan'!$B$95</f>
        <v>Rendah</v>
      </c>
      <c r="J6" s="8" t="str">
        <f>'B.kriteria &amp; R.kecocokan'!$B$80</f>
        <v>Rendah</v>
      </c>
      <c r="K6" s="9" t="str">
        <f>'B.kriteria &amp; R.kecocokan'!$B$90</f>
        <v>Sangat Sedikit</v>
      </c>
      <c r="L6" s="8" t="str">
        <f>'B.kriteria &amp; R.kecocokan'!$B$49</f>
        <v>Rendah</v>
      </c>
      <c r="M6" s="8" t="str">
        <f>'B.kriteria &amp; R.kecocokan'!$B$57</f>
        <v>Rendah</v>
      </c>
      <c r="N6" s="51" t="str">
        <f>'B.kriteria &amp; R.kecocokan'!$B$65</f>
        <v>Rendah</v>
      </c>
      <c r="O6" s="9" t="s">
        <v>347</v>
      </c>
      <c r="P6" s="17"/>
    </row>
    <row r="7" spans="1:16" x14ac:dyDescent="0.35">
      <c r="A7" s="5">
        <v>4</v>
      </c>
      <c r="B7" s="16" t="s">
        <v>256</v>
      </c>
      <c r="C7" s="2" t="s">
        <v>27</v>
      </c>
      <c r="D7" s="11" t="s">
        <v>13</v>
      </c>
      <c r="E7" s="32" t="str">
        <f>'B.kriteria &amp; R.kecocokan'!$B$24</f>
        <v>Cukup</v>
      </c>
      <c r="F7" s="9" t="str">
        <f>'B.kriteria &amp; R.kecocokan'!$B$34</f>
        <v>Tinggi</v>
      </c>
      <c r="G7" s="8" t="str">
        <f>'B.kriteria &amp; R.kecocokan'!$B$41</f>
        <v>Rendah</v>
      </c>
      <c r="H7" s="8" t="str">
        <f>'B.kriteria &amp; R.kecocokan'!$B$72</f>
        <v>Rendah</v>
      </c>
      <c r="I7" s="8" t="str">
        <f>'B.kriteria &amp; R.kecocokan'!$B$95</f>
        <v>Rendah</v>
      </c>
      <c r="J7" s="8" t="str">
        <f>'B.kriteria &amp; R.kecocokan'!$B$80</f>
        <v>Rendah</v>
      </c>
      <c r="K7" s="8" t="str">
        <f>'B.kriteria &amp; R.kecocokan'!$B$89</f>
        <v>Sedikit</v>
      </c>
      <c r="L7" s="8" t="str">
        <f>'B.kriteria &amp; R.kecocokan'!$B$49</f>
        <v>Rendah</v>
      </c>
      <c r="M7" s="8" t="str">
        <f>'B.kriteria &amp; R.kecocokan'!$B$57</f>
        <v>Rendah</v>
      </c>
      <c r="N7" s="51" t="str">
        <f>'B.kriteria &amp; R.kecocokan'!$B$65</f>
        <v>Rendah</v>
      </c>
      <c r="O7" s="9" t="s">
        <v>347</v>
      </c>
      <c r="P7" s="17"/>
    </row>
    <row r="8" spans="1:16" x14ac:dyDescent="0.35">
      <c r="A8" s="1">
        <v>5</v>
      </c>
      <c r="B8" s="2" t="str">
        <f>Penghasilan!B19</f>
        <v>3523152901190003</v>
      </c>
      <c r="C8" s="2" t="s">
        <v>31</v>
      </c>
      <c r="D8" s="11" t="s">
        <v>95</v>
      </c>
      <c r="E8" s="32" t="str">
        <f>'B.kriteria &amp; R.kecocokan'!$B$24</f>
        <v>Cukup</v>
      </c>
      <c r="F8" s="9" t="str">
        <f>'B.kriteria &amp; R.kecocokan'!$B$34</f>
        <v>Tinggi</v>
      </c>
      <c r="G8" s="8" t="str">
        <f>'B.kriteria &amp; R.kecocokan'!$B$41</f>
        <v>Rendah</v>
      </c>
      <c r="H8" s="8" t="str">
        <f>'B.kriteria &amp; R.kecocokan'!$B$72</f>
        <v>Rendah</v>
      </c>
      <c r="I8" s="8" t="str">
        <f>'B.kriteria &amp; R.kecocokan'!$B$95</f>
        <v>Rendah</v>
      </c>
      <c r="J8" s="8" t="str">
        <f>'B.kriteria &amp; R.kecocokan'!$B$80</f>
        <v>Rendah</v>
      </c>
      <c r="K8" s="9" t="str">
        <f>'B.kriteria &amp; R.kecocokan'!$B$88</f>
        <v>Sedang</v>
      </c>
      <c r="L8" s="8" t="str">
        <f>'B.kriteria &amp; R.kecocokan'!$B$49</f>
        <v>Rendah</v>
      </c>
      <c r="M8" s="8" t="str">
        <f>'B.kriteria &amp; R.kecocokan'!$B$57</f>
        <v>Rendah</v>
      </c>
      <c r="N8" s="51" t="str">
        <f>'B.kriteria &amp; R.kecocokan'!$B$65</f>
        <v>Rendah</v>
      </c>
      <c r="O8" s="9" t="s">
        <v>347</v>
      </c>
      <c r="P8" s="17"/>
    </row>
    <row r="9" spans="1:16" x14ac:dyDescent="0.35">
      <c r="A9" s="5">
        <v>6</v>
      </c>
      <c r="B9" s="16" t="s">
        <v>275</v>
      </c>
      <c r="C9" s="2" t="s">
        <v>32</v>
      </c>
      <c r="D9" s="11" t="s">
        <v>13</v>
      </c>
      <c r="E9" s="9" t="str">
        <f>'B.kriteria &amp; R.kecocokan'!$B$23</f>
        <v>Banyak</v>
      </c>
      <c r="F9" s="9" t="str">
        <f>'B.kriteria &amp; R.kecocokan'!$B$34</f>
        <v>Tinggi</v>
      </c>
      <c r="G9" s="8" t="str">
        <f>'B.kriteria &amp; R.kecocokan'!$B$41</f>
        <v>Rendah</v>
      </c>
      <c r="H9" s="8" t="str">
        <f>'B.kriteria &amp; R.kecocokan'!$B$72</f>
        <v>Rendah</v>
      </c>
      <c r="I9" s="8" t="str">
        <f>'B.kriteria &amp; R.kecocokan'!$B$95</f>
        <v>Rendah</v>
      </c>
      <c r="J9" s="8" t="str">
        <f>'B.kriteria &amp; R.kecocokan'!$B$80</f>
        <v>Rendah</v>
      </c>
      <c r="K9" s="8" t="str">
        <f>'B.kriteria &amp; R.kecocokan'!$B$89</f>
        <v>Sedikit</v>
      </c>
      <c r="L9" s="8" t="str">
        <f>'B.kriteria &amp; R.kecocokan'!$B$49</f>
        <v>Rendah</v>
      </c>
      <c r="M9" s="8" t="str">
        <f>'B.kriteria &amp; R.kecocokan'!$B$57</f>
        <v>Rendah</v>
      </c>
      <c r="N9" s="51" t="str">
        <f>'B.kriteria &amp; R.kecocokan'!$B$65</f>
        <v>Rendah</v>
      </c>
      <c r="O9" s="9" t="s">
        <v>347</v>
      </c>
      <c r="P9" s="17"/>
    </row>
    <row r="10" spans="1:16" x14ac:dyDescent="0.35">
      <c r="A10" s="5">
        <v>7</v>
      </c>
      <c r="B10" s="16" t="s">
        <v>286</v>
      </c>
      <c r="C10" s="2" t="s">
        <v>34</v>
      </c>
      <c r="D10" s="11" t="s">
        <v>13</v>
      </c>
      <c r="E10" s="9" t="str">
        <f>'B.kriteria &amp; R.kecocokan'!$B$23</f>
        <v>Banyak</v>
      </c>
      <c r="F10" s="9" t="str">
        <f>'B.kriteria &amp; R.kecocokan'!$B$34</f>
        <v>Tinggi</v>
      </c>
      <c r="G10" s="8" t="str">
        <f>'B.kriteria &amp; R.kecocokan'!$B$41</f>
        <v>Rendah</v>
      </c>
      <c r="H10" s="8" t="str">
        <f>'B.kriteria &amp; R.kecocokan'!$B$72</f>
        <v>Rendah</v>
      </c>
      <c r="I10" s="8" t="str">
        <f>'B.kriteria &amp; R.kecocokan'!$B$95</f>
        <v>Rendah</v>
      </c>
      <c r="J10" s="9" t="str">
        <f>'B.kriteria &amp; R.kecocokan'!$B$81</f>
        <v>Tinggi</v>
      </c>
      <c r="K10" s="9" t="str">
        <f>'B.kriteria &amp; R.kecocokan'!$B$88</f>
        <v>Sedang</v>
      </c>
      <c r="L10" s="8" t="str">
        <f>'B.kriteria &amp; R.kecocokan'!$B$49</f>
        <v>Rendah</v>
      </c>
      <c r="M10" s="8" t="str">
        <f>'B.kriteria &amp; R.kecocokan'!$B$57</f>
        <v>Rendah</v>
      </c>
      <c r="N10" s="51" t="str">
        <f>'B.kriteria &amp; R.kecocokan'!$B$65</f>
        <v>Rendah</v>
      </c>
      <c r="O10" s="9" t="s">
        <v>347</v>
      </c>
      <c r="P10" s="17"/>
    </row>
    <row r="11" spans="1:16" x14ac:dyDescent="0.35">
      <c r="A11" s="1">
        <v>8</v>
      </c>
      <c r="B11" s="16" t="s">
        <v>287</v>
      </c>
      <c r="C11" s="2" t="s">
        <v>35</v>
      </c>
      <c r="D11" s="12" t="s">
        <v>13</v>
      </c>
      <c r="E11" s="32" t="str">
        <f>'B.kriteria &amp; R.kecocokan'!$B$24</f>
        <v>Cukup</v>
      </c>
      <c r="F11" s="9" t="str">
        <f>'B.kriteria &amp; R.kecocokan'!$B$34</f>
        <v>Tinggi</v>
      </c>
      <c r="G11" s="8" t="str">
        <f>'B.kriteria &amp; R.kecocokan'!$B$41</f>
        <v>Rendah</v>
      </c>
      <c r="H11" s="8" t="str">
        <f>'B.kriteria &amp; R.kecocokan'!$B$72</f>
        <v>Rendah</v>
      </c>
      <c r="I11" s="8" t="str">
        <f>'B.kriteria &amp; R.kecocokan'!$B$95</f>
        <v>Rendah</v>
      </c>
      <c r="J11" s="8" t="str">
        <f>'B.kriteria &amp; R.kecocokan'!$B$80</f>
        <v>Rendah</v>
      </c>
      <c r="K11" s="8" t="str">
        <f>'B.kriteria &amp; R.kecocokan'!$B$89</f>
        <v>Sedikit</v>
      </c>
      <c r="L11" s="8" t="str">
        <f>'B.kriteria &amp; R.kecocokan'!$B$49</f>
        <v>Rendah</v>
      </c>
      <c r="M11" s="8" t="str">
        <f>'B.kriteria &amp; R.kecocokan'!$B$57</f>
        <v>Rendah</v>
      </c>
      <c r="N11" s="51" t="str">
        <f>'B.kriteria &amp; R.kecocokan'!$B$65</f>
        <v>Rendah</v>
      </c>
      <c r="O11" s="9" t="s">
        <v>347</v>
      </c>
      <c r="P11" s="17"/>
    </row>
    <row r="12" spans="1:16" x14ac:dyDescent="0.35">
      <c r="A12" s="5">
        <v>9</v>
      </c>
      <c r="B12" s="2" t="str">
        <f>Penghasilan!B67</f>
        <v>3523122711140001</v>
      </c>
      <c r="C12" s="2" t="s">
        <v>36</v>
      </c>
      <c r="D12" s="11" t="s">
        <v>13</v>
      </c>
      <c r="E12" s="32" t="str">
        <f>'B.kriteria &amp; R.kecocokan'!$B$24</f>
        <v>Cukup</v>
      </c>
      <c r="F12" s="9" t="str">
        <f>'B.kriteria &amp; R.kecocokan'!$B$34</f>
        <v>Tinggi</v>
      </c>
      <c r="G12" s="9" t="str">
        <f>'B.kriteria &amp; R.kecocokan'!B43</f>
        <v>Tinggi</v>
      </c>
      <c r="H12" s="8" t="str">
        <f>'B.kriteria &amp; R.kecocokan'!$B$72</f>
        <v>Rendah</v>
      </c>
      <c r="I12" s="8" t="str">
        <f>'B.kriteria &amp; R.kecocokan'!$B$95</f>
        <v>Rendah</v>
      </c>
      <c r="J12" s="8" t="str">
        <f>'B.kriteria &amp; R.kecocokan'!$B$80</f>
        <v>Rendah</v>
      </c>
      <c r="K12" s="9" t="str">
        <f>'B.kriteria &amp; R.kecocokan'!$B$88</f>
        <v>Sedang</v>
      </c>
      <c r="L12" s="8" t="str">
        <f>'B.kriteria &amp; R.kecocokan'!$B$49</f>
        <v>Rendah</v>
      </c>
      <c r="M12" s="8" t="str">
        <f>'B.kriteria &amp; R.kecocokan'!$B$57</f>
        <v>Rendah</v>
      </c>
      <c r="N12" s="51" t="str">
        <f>'B.kriteria &amp; R.kecocokan'!$B$65</f>
        <v>Rendah</v>
      </c>
      <c r="O12" s="9" t="s">
        <v>347</v>
      </c>
      <c r="P12" s="17"/>
    </row>
    <row r="13" spans="1:16" x14ac:dyDescent="0.35">
      <c r="A13" s="5">
        <v>10</v>
      </c>
      <c r="B13" s="16" t="s">
        <v>266</v>
      </c>
      <c r="C13" s="2" t="s">
        <v>39</v>
      </c>
      <c r="D13" s="12" t="s">
        <v>13</v>
      </c>
      <c r="E13" s="32" t="str">
        <f>'B.kriteria &amp; R.kecocokan'!$B$24</f>
        <v>Cukup</v>
      </c>
      <c r="F13" s="9" t="str">
        <f>'B.kriteria &amp; R.kecocokan'!$B$34</f>
        <v>Tinggi</v>
      </c>
      <c r="G13" s="8" t="str">
        <f>'B.kriteria &amp; R.kecocokan'!$B$41</f>
        <v>Rendah</v>
      </c>
      <c r="H13" s="8" t="str">
        <f>'B.kriteria &amp; R.kecocokan'!$B$72</f>
        <v>Rendah</v>
      </c>
      <c r="I13" s="8" t="str">
        <f>'B.kriteria &amp; R.kecocokan'!$B$95</f>
        <v>Rendah</v>
      </c>
      <c r="J13" s="9" t="str">
        <f>'B.kriteria &amp; R.kecocokan'!$B$81</f>
        <v>Tinggi</v>
      </c>
      <c r="K13" s="9" t="str">
        <f>'B.kriteria &amp; R.kecocokan'!$B$90</f>
        <v>Sangat Sedikit</v>
      </c>
      <c r="L13" s="8" t="str">
        <f>'B.kriteria &amp; R.kecocokan'!$B$49</f>
        <v>Rendah</v>
      </c>
      <c r="M13" s="8" t="str">
        <f>'B.kriteria &amp; R.kecocokan'!$B$57</f>
        <v>Rendah</v>
      </c>
      <c r="N13" s="51" t="str">
        <f>'B.kriteria &amp; R.kecocokan'!$B$65</f>
        <v>Rendah</v>
      </c>
      <c r="O13" s="9" t="s">
        <v>349</v>
      </c>
      <c r="P13" s="17"/>
    </row>
    <row r="14" spans="1:16" x14ac:dyDescent="0.35">
      <c r="A14" s="1">
        <v>11</v>
      </c>
      <c r="B14" s="16" t="s">
        <v>139</v>
      </c>
      <c r="C14" s="2" t="s">
        <v>40</v>
      </c>
      <c r="D14" s="11" t="s">
        <v>13</v>
      </c>
      <c r="E14" s="9" t="str">
        <f>'B.kriteria &amp; R.kecocokan'!$B$25</f>
        <v>Sedikit</v>
      </c>
      <c r="F14" s="9" t="str">
        <f>'B.kriteria &amp; R.kecocokan'!$B$34</f>
        <v>Tinggi</v>
      </c>
      <c r="G14" s="8" t="str">
        <f>'B.kriteria &amp; R.kecocokan'!$B$41</f>
        <v>Rendah</v>
      </c>
      <c r="H14" s="8" t="str">
        <f>'B.kriteria &amp; R.kecocokan'!$B$72</f>
        <v>Rendah</v>
      </c>
      <c r="I14" s="8" t="str">
        <f>'B.kriteria &amp; R.kecocokan'!$B$95</f>
        <v>Rendah</v>
      </c>
      <c r="J14" s="9" t="str">
        <f>'B.kriteria &amp; R.kecocokan'!$B$81</f>
        <v>Tinggi</v>
      </c>
      <c r="K14" s="9" t="str">
        <f>'B.kriteria &amp; R.kecocokan'!$B$90</f>
        <v>Sangat Sedikit</v>
      </c>
      <c r="L14" s="9" t="str">
        <f>'B.kriteria &amp; R.kecocokan'!$B$50</f>
        <v>Sedang</v>
      </c>
      <c r="M14" s="9" t="str">
        <f>'B.kriteria &amp; R.kecocokan'!$B$58</f>
        <v>Sedang</v>
      </c>
      <c r="N14" s="52" t="str">
        <f>'B.kriteria &amp; R.kecocokan'!$B$66</f>
        <v>Sedang</v>
      </c>
      <c r="O14" s="9" t="s">
        <v>349</v>
      </c>
      <c r="P14" s="17"/>
    </row>
    <row r="15" spans="1:16" x14ac:dyDescent="0.35">
      <c r="A15" s="5">
        <v>12</v>
      </c>
      <c r="B15" s="16" t="s">
        <v>274</v>
      </c>
      <c r="C15" s="2" t="s">
        <v>44</v>
      </c>
      <c r="D15" s="11" t="s">
        <v>13</v>
      </c>
      <c r="E15" s="32" t="str">
        <f>'B.kriteria &amp; R.kecocokan'!$B$24</f>
        <v>Cukup</v>
      </c>
      <c r="F15" s="9" t="str">
        <f>'B.kriteria &amp; R.kecocokan'!$B$34</f>
        <v>Tinggi</v>
      </c>
      <c r="G15" s="8" t="str">
        <f>'B.kriteria &amp; R.kecocokan'!$B$41</f>
        <v>Rendah</v>
      </c>
      <c r="H15" s="8" t="str">
        <f>'B.kriteria &amp; R.kecocokan'!$B$72</f>
        <v>Rendah</v>
      </c>
      <c r="I15" s="8" t="str">
        <f>'B.kriteria &amp; R.kecocokan'!$B$95</f>
        <v>Rendah</v>
      </c>
      <c r="J15" s="9" t="str">
        <f>'B.kriteria &amp; R.kecocokan'!$B$81</f>
        <v>Tinggi</v>
      </c>
      <c r="K15" s="9" t="str">
        <f>'B.kriteria &amp; R.kecocokan'!$B$90</f>
        <v>Sangat Sedikit</v>
      </c>
      <c r="L15" s="8" t="str">
        <f>'B.kriteria &amp; R.kecocokan'!$B$49</f>
        <v>Rendah</v>
      </c>
      <c r="M15" s="8" t="str">
        <f>'B.kriteria &amp; R.kecocokan'!$B$57</f>
        <v>Rendah</v>
      </c>
      <c r="N15" s="51" t="str">
        <f>'B.kriteria &amp; R.kecocokan'!$B$65</f>
        <v>Rendah</v>
      </c>
      <c r="O15" s="9" t="s">
        <v>347</v>
      </c>
      <c r="P15" s="17"/>
    </row>
    <row r="16" spans="1:16" x14ac:dyDescent="0.35">
      <c r="A16" s="5">
        <v>13</v>
      </c>
      <c r="B16" s="16" t="s">
        <v>273</v>
      </c>
      <c r="C16" s="2" t="s">
        <v>45</v>
      </c>
      <c r="D16" s="11" t="s">
        <v>13</v>
      </c>
      <c r="E16" s="32" t="str">
        <f>'B.kriteria &amp; R.kecocokan'!$B$24</f>
        <v>Cukup</v>
      </c>
      <c r="F16" s="9" t="str">
        <f>'B.kriteria &amp; R.kecocokan'!$B$34</f>
        <v>Tinggi</v>
      </c>
      <c r="G16" s="9" t="str">
        <f>'B.kriteria &amp; R.kecocokan'!$B$43</f>
        <v>Tinggi</v>
      </c>
      <c r="H16" s="8" t="str">
        <f>'B.kriteria &amp; R.kecocokan'!$B$72</f>
        <v>Rendah</v>
      </c>
      <c r="I16" s="8" t="str">
        <f>'B.kriteria &amp; R.kecocokan'!$B$95</f>
        <v>Rendah</v>
      </c>
      <c r="J16" s="8" t="str">
        <f>'B.kriteria &amp; R.kecocokan'!$B$80</f>
        <v>Rendah</v>
      </c>
      <c r="K16" s="9" t="str">
        <f>'B.kriteria &amp; R.kecocokan'!$B$88</f>
        <v>Sedang</v>
      </c>
      <c r="L16" s="8" t="str">
        <f>'B.kriteria &amp; R.kecocokan'!$B$49</f>
        <v>Rendah</v>
      </c>
      <c r="M16" s="8" t="str">
        <f>'B.kriteria &amp; R.kecocokan'!$B$57</f>
        <v>Rendah</v>
      </c>
      <c r="N16" s="51" t="str">
        <f>'B.kriteria &amp; R.kecocokan'!$B$65</f>
        <v>Rendah</v>
      </c>
      <c r="O16" s="9" t="s">
        <v>347</v>
      </c>
      <c r="P16" s="17"/>
    </row>
    <row r="17" spans="1:16" x14ac:dyDescent="0.35">
      <c r="A17" s="1">
        <v>14</v>
      </c>
      <c r="B17" s="16" t="s">
        <v>283</v>
      </c>
      <c r="C17" s="2" t="s">
        <v>46</v>
      </c>
      <c r="D17" s="11" t="s">
        <v>13</v>
      </c>
      <c r="E17" s="32" t="str">
        <f>'B.kriteria &amp; R.kecocokan'!$B$24</f>
        <v>Cukup</v>
      </c>
      <c r="F17" s="9" t="str">
        <f>'B.kriteria &amp; R.kecocokan'!$B$35</f>
        <v>Sangat Tinggi</v>
      </c>
      <c r="G17" s="8" t="str">
        <f>'B.kriteria &amp; R.kecocokan'!$B$41</f>
        <v>Rendah</v>
      </c>
      <c r="H17" s="8" t="str">
        <f>'B.kriteria &amp; R.kecocokan'!$B$72</f>
        <v>Rendah</v>
      </c>
      <c r="I17" s="8" t="str">
        <f>'B.kriteria &amp; R.kecocokan'!$B$95</f>
        <v>Rendah</v>
      </c>
      <c r="J17" s="8" t="str">
        <f>'B.kriteria &amp; R.kecocokan'!$B$80</f>
        <v>Rendah</v>
      </c>
      <c r="K17" s="8" t="str">
        <f>'B.kriteria &amp; R.kecocokan'!$B$89</f>
        <v>Sedikit</v>
      </c>
      <c r="L17" s="8" t="str">
        <f>'B.kriteria &amp; R.kecocokan'!$B$49</f>
        <v>Rendah</v>
      </c>
      <c r="M17" s="9" t="str">
        <f>'B.kriteria &amp; R.kecocokan'!$B$58</f>
        <v>Sedang</v>
      </c>
      <c r="N17" s="51" t="str">
        <f>'B.kriteria &amp; R.kecocokan'!$B$65</f>
        <v>Rendah</v>
      </c>
      <c r="O17" s="9" t="s">
        <v>347</v>
      </c>
      <c r="P17" s="17"/>
    </row>
    <row r="18" spans="1:16" x14ac:dyDescent="0.35">
      <c r="A18" s="5">
        <v>15</v>
      </c>
      <c r="B18" s="16" t="s">
        <v>276</v>
      </c>
      <c r="C18" s="2" t="s">
        <v>48</v>
      </c>
      <c r="D18" s="11" t="s">
        <v>13</v>
      </c>
      <c r="E18" s="9" t="str">
        <f>'B.kriteria &amp; R.kecocokan'!$B$23</f>
        <v>Banyak</v>
      </c>
      <c r="F18" s="9" t="str">
        <f>'B.kriteria &amp; R.kecocokan'!$B$35</f>
        <v>Sangat Tinggi</v>
      </c>
      <c r="G18" s="8" t="str">
        <f>'B.kriteria &amp; R.kecocokan'!$B$41</f>
        <v>Rendah</v>
      </c>
      <c r="H18" s="8" t="str">
        <f>'B.kriteria &amp; R.kecocokan'!$B$72</f>
        <v>Rendah</v>
      </c>
      <c r="I18" s="8" t="str">
        <f>'B.kriteria &amp; R.kecocokan'!$B$95</f>
        <v>Rendah</v>
      </c>
      <c r="J18" s="8" t="str">
        <f>'B.kriteria &amp; R.kecocokan'!$B$80</f>
        <v>Rendah</v>
      </c>
      <c r="K18" s="9" t="str">
        <f>'B.kriteria &amp; R.kecocokan'!$B$88</f>
        <v>Sedang</v>
      </c>
      <c r="L18" s="8" t="str">
        <f>'B.kriteria &amp; R.kecocokan'!$B$49</f>
        <v>Rendah</v>
      </c>
      <c r="M18" s="8" t="str">
        <f>'B.kriteria &amp; R.kecocokan'!$B$57</f>
        <v>Rendah</v>
      </c>
      <c r="N18" s="51" t="str">
        <f>'B.kriteria &amp; R.kecocokan'!$B$65</f>
        <v>Rendah</v>
      </c>
      <c r="O18" s="9" t="s">
        <v>347</v>
      </c>
      <c r="P18" s="17"/>
    </row>
    <row r="19" spans="1:16" x14ac:dyDescent="0.35">
      <c r="A19" s="5">
        <v>16</v>
      </c>
      <c r="B19" s="16" t="s">
        <v>280</v>
      </c>
      <c r="C19" s="2" t="s">
        <v>49</v>
      </c>
      <c r="D19" s="11" t="s">
        <v>13</v>
      </c>
      <c r="E19" s="32" t="str">
        <f>'B.kriteria &amp; R.kecocokan'!$B$24</f>
        <v>Cukup</v>
      </c>
      <c r="F19" s="9" t="str">
        <f>'B.kriteria &amp; R.kecocokan'!$B$34</f>
        <v>Tinggi</v>
      </c>
      <c r="G19" s="8" t="str">
        <f>'B.kriteria &amp; R.kecocokan'!$B$41</f>
        <v>Rendah</v>
      </c>
      <c r="H19" s="8" t="str">
        <f>'B.kriteria &amp; R.kecocokan'!$B$72</f>
        <v>Rendah</v>
      </c>
      <c r="I19" s="8" t="str">
        <f>'B.kriteria &amp; R.kecocokan'!$B$95</f>
        <v>Rendah</v>
      </c>
      <c r="J19" s="9" t="str">
        <f>'B.kriteria &amp; R.kecocokan'!$B$81</f>
        <v>Tinggi</v>
      </c>
      <c r="K19" s="9" t="str">
        <f>'B.kriteria &amp; R.kecocokan'!$B$90</f>
        <v>Sangat Sedikit</v>
      </c>
      <c r="L19" s="8" t="str">
        <f>'B.kriteria &amp; R.kecocokan'!$B$49</f>
        <v>Rendah</v>
      </c>
      <c r="M19" s="8" t="str">
        <f>'B.kriteria &amp; R.kecocokan'!$B$57</f>
        <v>Rendah</v>
      </c>
      <c r="N19" s="51" t="str">
        <f>'B.kriteria &amp; R.kecocokan'!$B$65</f>
        <v>Rendah</v>
      </c>
      <c r="O19" s="9" t="s">
        <v>347</v>
      </c>
      <c r="P19" s="17"/>
    </row>
    <row r="20" spans="1:16" x14ac:dyDescent="0.35">
      <c r="A20" s="1">
        <v>17</v>
      </c>
      <c r="B20" s="16" t="s">
        <v>277</v>
      </c>
      <c r="C20" s="2" t="s">
        <v>257</v>
      </c>
      <c r="D20" s="11" t="s">
        <v>13</v>
      </c>
      <c r="E20" s="32" t="str">
        <f>'B.kriteria &amp; R.kecocokan'!$B$24</f>
        <v>Cukup</v>
      </c>
      <c r="F20" s="9" t="str">
        <f>'B.kriteria &amp; R.kecocokan'!$B$35</f>
        <v>Sangat Tinggi</v>
      </c>
      <c r="G20" s="8" t="str">
        <f>'B.kriteria &amp; R.kecocokan'!$B$41</f>
        <v>Rendah</v>
      </c>
      <c r="H20" s="8" t="str">
        <f>'B.kriteria &amp; R.kecocokan'!$B$72</f>
        <v>Rendah</v>
      </c>
      <c r="I20" s="8" t="str">
        <f>'B.kriteria &amp; R.kecocokan'!$B$95</f>
        <v>Rendah</v>
      </c>
      <c r="J20" s="8" t="str">
        <f>'B.kriteria &amp; R.kecocokan'!$B$80</f>
        <v>Rendah</v>
      </c>
      <c r="K20" s="9" t="str">
        <f>'B.kriteria &amp; R.kecocokan'!$B$88</f>
        <v>Sedang</v>
      </c>
      <c r="L20" s="9" t="str">
        <f>'B.kriteria &amp; R.kecocokan'!$B$51</f>
        <v>Tinggi</v>
      </c>
      <c r="M20" s="9" t="str">
        <f>'B.kriteria &amp; R.kecocokan'!$B$58</f>
        <v>Sedang</v>
      </c>
      <c r="N20" s="51" t="str">
        <f>'B.kriteria &amp; R.kecocokan'!$B$65</f>
        <v>Rendah</v>
      </c>
      <c r="O20" s="9" t="s">
        <v>349</v>
      </c>
      <c r="P20" s="17"/>
    </row>
    <row r="21" spans="1:16" x14ac:dyDescent="0.35">
      <c r="A21" s="5">
        <v>18</v>
      </c>
      <c r="B21" s="16" t="s">
        <v>271</v>
      </c>
      <c r="C21" s="2" t="s">
        <v>52</v>
      </c>
      <c r="D21" s="11" t="s">
        <v>13</v>
      </c>
      <c r="E21" s="32" t="str">
        <f>'B.kriteria &amp; R.kecocokan'!$B$24</f>
        <v>Cukup</v>
      </c>
      <c r="F21" s="9" t="str">
        <f>'B.kriteria &amp; R.kecocokan'!$B$35</f>
        <v>Sangat Tinggi</v>
      </c>
      <c r="G21" s="8" t="str">
        <f>'B.kriteria &amp; R.kecocokan'!$B$41</f>
        <v>Rendah</v>
      </c>
      <c r="H21" s="8" t="str">
        <f>'B.kriteria &amp; R.kecocokan'!$B$72</f>
        <v>Rendah</v>
      </c>
      <c r="I21" s="8" t="str">
        <f>'B.kriteria &amp; R.kecocokan'!$B$95</f>
        <v>Rendah</v>
      </c>
      <c r="J21" s="8" t="str">
        <f>'B.kriteria &amp; R.kecocokan'!$B$80</f>
        <v>Rendah</v>
      </c>
      <c r="K21" s="9" t="str">
        <f>'B.kriteria &amp; R.kecocokan'!$B$88</f>
        <v>Sedang</v>
      </c>
      <c r="L21" s="9" t="str">
        <f>'B.kriteria &amp; R.kecocokan'!$B$50</f>
        <v>Sedang</v>
      </c>
      <c r="M21" s="9" t="str">
        <f>'B.kriteria &amp; R.kecocokan'!$B$58</f>
        <v>Sedang</v>
      </c>
      <c r="N21" s="51" t="str">
        <f>'B.kriteria &amp; R.kecocokan'!$B$65</f>
        <v>Rendah</v>
      </c>
      <c r="O21" s="9" t="s">
        <v>349</v>
      </c>
      <c r="P21" s="17"/>
    </row>
    <row r="22" spans="1:16" x14ac:dyDescent="0.35">
      <c r="A22" s="5">
        <v>19</v>
      </c>
      <c r="B22" s="16" t="s">
        <v>281</v>
      </c>
      <c r="C22" s="2" t="s">
        <v>55</v>
      </c>
      <c r="D22" s="11" t="s">
        <v>13</v>
      </c>
      <c r="E22" s="9" t="str">
        <f>'B.kriteria &amp; R.kecocokan'!$B$25</f>
        <v>Sedikit</v>
      </c>
      <c r="F22" s="9" t="str">
        <f>'B.kriteria &amp; R.kecocokan'!$B$34</f>
        <v>Tinggi</v>
      </c>
      <c r="G22" s="8" t="str">
        <f>'B.kriteria &amp; R.kecocokan'!$B$41</f>
        <v>Rendah</v>
      </c>
      <c r="H22" s="8" t="str">
        <f>'B.kriteria &amp; R.kecocokan'!$B$72</f>
        <v>Rendah</v>
      </c>
      <c r="I22" s="8" t="str">
        <f>'B.kriteria &amp; R.kecocokan'!$B$95</f>
        <v>Rendah</v>
      </c>
      <c r="J22" s="9" t="str">
        <f>'B.kriteria &amp; R.kecocokan'!$B$81</f>
        <v>Tinggi</v>
      </c>
      <c r="K22" s="9" t="str">
        <f>'B.kriteria &amp; R.kecocokan'!$B$90</f>
        <v>Sangat Sedikit</v>
      </c>
      <c r="L22" s="8" t="str">
        <f>'B.kriteria &amp; R.kecocokan'!$B$49</f>
        <v>Rendah</v>
      </c>
      <c r="M22" s="9" t="str">
        <f>'B.kriteria &amp; R.kecocokan'!$B$58</f>
        <v>Sedang</v>
      </c>
      <c r="N22" s="51" t="str">
        <f>'B.kriteria &amp; R.kecocokan'!$B$65</f>
        <v>Rendah</v>
      </c>
      <c r="O22" s="9" t="s">
        <v>349</v>
      </c>
      <c r="P22" s="17"/>
    </row>
    <row r="23" spans="1:16" x14ac:dyDescent="0.35">
      <c r="A23" s="1">
        <v>20</v>
      </c>
      <c r="B23" s="16" t="s">
        <v>288</v>
      </c>
      <c r="C23" s="2" t="s">
        <v>56</v>
      </c>
      <c r="D23" s="11" t="s">
        <v>13</v>
      </c>
      <c r="E23" s="32" t="str">
        <f>'B.kriteria &amp; R.kecocokan'!$B$24</f>
        <v>Cukup</v>
      </c>
      <c r="F23" s="9" t="str">
        <f>'B.kriteria &amp; R.kecocokan'!$B$34</f>
        <v>Tinggi</v>
      </c>
      <c r="G23" s="8" t="str">
        <f>'B.kriteria &amp; R.kecocokan'!$B$41</f>
        <v>Rendah</v>
      </c>
      <c r="H23" s="8" t="str">
        <f>'B.kriteria &amp; R.kecocokan'!$B$72</f>
        <v>Rendah</v>
      </c>
      <c r="I23" s="8" t="str">
        <f>'B.kriteria &amp; R.kecocokan'!$B$95</f>
        <v>Rendah</v>
      </c>
      <c r="J23" s="8" t="str">
        <f>'B.kriteria &amp; R.kecocokan'!$B$80</f>
        <v>Rendah</v>
      </c>
      <c r="K23" s="8" t="str">
        <f>'B.kriteria &amp; R.kecocokan'!$B$89</f>
        <v>Sedikit</v>
      </c>
      <c r="L23" s="8" t="str">
        <f>'B.kriteria &amp; R.kecocokan'!$B$49</f>
        <v>Rendah</v>
      </c>
      <c r="M23" s="9" t="str">
        <f>'B.kriteria &amp; R.kecocokan'!$B$58</f>
        <v>Sedang</v>
      </c>
      <c r="N23" s="51" t="str">
        <f>'B.kriteria &amp; R.kecocokan'!$B$65</f>
        <v>Rendah</v>
      </c>
      <c r="O23" s="9" t="s">
        <v>347</v>
      </c>
      <c r="P23" s="17"/>
    </row>
    <row r="24" spans="1:16" x14ac:dyDescent="0.35">
      <c r="A24" s="5">
        <v>21</v>
      </c>
      <c r="B24" s="16" t="s">
        <v>282</v>
      </c>
      <c r="C24" s="2" t="s">
        <v>57</v>
      </c>
      <c r="D24" s="11" t="s">
        <v>13</v>
      </c>
      <c r="E24" s="9" t="str">
        <f>'B.kriteria &amp; R.kecocokan'!$B$25</f>
        <v>Sedikit</v>
      </c>
      <c r="F24" s="9" t="str">
        <f>'B.kriteria &amp; R.kecocokan'!$B$35</f>
        <v>Sangat Tinggi</v>
      </c>
      <c r="G24" s="8" t="str">
        <f>'B.kriteria &amp; R.kecocokan'!$B$41</f>
        <v>Rendah</v>
      </c>
      <c r="H24" s="8" t="str">
        <f>'B.kriteria &amp; R.kecocokan'!$B$72</f>
        <v>Rendah</v>
      </c>
      <c r="I24" s="8" t="str">
        <f>'B.kriteria &amp; R.kecocokan'!$B$95</f>
        <v>Rendah</v>
      </c>
      <c r="J24" s="9" t="str">
        <f>'B.kriteria &amp; R.kecocokan'!$B$81</f>
        <v>Tinggi</v>
      </c>
      <c r="K24" s="9" t="str">
        <f>'B.kriteria &amp; R.kecocokan'!$B$90</f>
        <v>Sangat Sedikit</v>
      </c>
      <c r="L24" s="8" t="str">
        <f>'B.kriteria &amp; R.kecocokan'!$B$49</f>
        <v>Rendah</v>
      </c>
      <c r="M24" s="9" t="str">
        <f>'B.kriteria &amp; R.kecocokan'!$B$58</f>
        <v>Sedang</v>
      </c>
      <c r="N24" s="51" t="str">
        <f>'B.kriteria &amp; R.kecocokan'!$B$65</f>
        <v>Rendah</v>
      </c>
      <c r="O24" s="9" t="s">
        <v>349</v>
      </c>
      <c r="P24" s="17"/>
    </row>
    <row r="25" spans="1:16" x14ac:dyDescent="0.35">
      <c r="A25" s="5">
        <v>22</v>
      </c>
      <c r="B25" s="16" t="s">
        <v>270</v>
      </c>
      <c r="C25" s="2" t="s">
        <v>59</v>
      </c>
      <c r="D25" s="11" t="s">
        <v>13</v>
      </c>
      <c r="E25" s="9" t="str">
        <f>'B.kriteria &amp; R.kecocokan'!$B$23</f>
        <v>Banyak</v>
      </c>
      <c r="F25" s="9" t="str">
        <f>'B.kriteria &amp; R.kecocokan'!$B$34</f>
        <v>Tinggi</v>
      </c>
      <c r="G25" s="8" t="str">
        <f>'B.kriteria &amp; R.kecocokan'!$B$41</f>
        <v>Rendah</v>
      </c>
      <c r="H25" s="8" t="str">
        <f>'B.kriteria &amp; R.kecocokan'!$B$72</f>
        <v>Rendah</v>
      </c>
      <c r="I25" s="8" t="str">
        <f>'B.kriteria &amp; R.kecocokan'!$B$95</f>
        <v>Rendah</v>
      </c>
      <c r="J25" s="8" t="str">
        <f>'B.kriteria &amp; R.kecocokan'!$B$80</f>
        <v>Rendah</v>
      </c>
      <c r="K25" s="9" t="str">
        <f>'B.kriteria &amp; R.kecocokan'!$B$88</f>
        <v>Sedang</v>
      </c>
      <c r="L25" s="8" t="str">
        <f>'B.kriteria &amp; R.kecocokan'!$B$49</f>
        <v>Rendah</v>
      </c>
      <c r="M25" s="8" t="str">
        <f>'B.kriteria &amp; R.kecocokan'!$B$57</f>
        <v>Rendah</v>
      </c>
      <c r="N25" s="51" t="str">
        <f>'B.kriteria &amp; R.kecocokan'!$B$65</f>
        <v>Rendah</v>
      </c>
      <c r="O25" s="9" t="s">
        <v>347</v>
      </c>
      <c r="P25" s="17"/>
    </row>
    <row r="26" spans="1:16" x14ac:dyDescent="0.35">
      <c r="A26" s="1">
        <v>23</v>
      </c>
      <c r="B26" s="16" t="s">
        <v>265</v>
      </c>
      <c r="C26" s="2" t="s">
        <v>61</v>
      </c>
      <c r="D26" s="11" t="s">
        <v>13</v>
      </c>
      <c r="E26" s="32" t="str">
        <f>'B.kriteria &amp; R.kecocokan'!$B$24</f>
        <v>Cukup</v>
      </c>
      <c r="F26" s="9" t="str">
        <f>'B.kriteria &amp; R.kecocokan'!$B$34</f>
        <v>Tinggi</v>
      </c>
      <c r="G26" s="8" t="str">
        <f>'B.kriteria &amp; R.kecocokan'!$B$41</f>
        <v>Rendah</v>
      </c>
      <c r="H26" s="8" t="str">
        <f>'B.kriteria &amp; R.kecocokan'!$B$72</f>
        <v>Rendah</v>
      </c>
      <c r="I26" s="8" t="str">
        <f>'B.kriteria &amp; R.kecocokan'!$B$95</f>
        <v>Rendah</v>
      </c>
      <c r="J26" s="8" t="str">
        <f>'B.kriteria &amp; R.kecocokan'!$B$80</f>
        <v>Rendah</v>
      </c>
      <c r="K26" s="9" t="str">
        <f>'B.kriteria &amp; R.kecocokan'!$B$88</f>
        <v>Sedang</v>
      </c>
      <c r="L26" s="8" t="str">
        <f>'B.kriteria &amp; R.kecocokan'!$B$49</f>
        <v>Rendah</v>
      </c>
      <c r="M26" s="8" t="str">
        <f>'B.kriteria &amp; R.kecocokan'!$B$57</f>
        <v>Rendah</v>
      </c>
      <c r="N26" s="51" t="str">
        <f>'B.kriteria &amp; R.kecocokan'!$B$65</f>
        <v>Rendah</v>
      </c>
      <c r="O26" s="9" t="s">
        <v>347</v>
      </c>
      <c r="P26" s="17"/>
    </row>
    <row r="27" spans="1:16" x14ac:dyDescent="0.35">
      <c r="A27" s="5">
        <v>24</v>
      </c>
      <c r="B27" s="16" t="s">
        <v>258</v>
      </c>
      <c r="C27" s="2" t="s">
        <v>62</v>
      </c>
      <c r="D27" s="11" t="s">
        <v>13</v>
      </c>
      <c r="E27" s="32" t="str">
        <f>'B.kriteria &amp; R.kecocokan'!$B$24</f>
        <v>Cukup</v>
      </c>
      <c r="F27" s="9" t="str">
        <f>'B.kriteria &amp; R.kecocokan'!$B$35</f>
        <v>Sangat Tinggi</v>
      </c>
      <c r="G27" s="8" t="str">
        <f>'B.kriteria &amp; R.kecocokan'!$B$41</f>
        <v>Rendah</v>
      </c>
      <c r="H27" s="8" t="str">
        <f>'B.kriteria &amp; R.kecocokan'!$B$72</f>
        <v>Rendah</v>
      </c>
      <c r="I27" s="8" t="str">
        <f>'B.kriteria &amp; R.kecocokan'!$B$95</f>
        <v>Rendah</v>
      </c>
      <c r="J27" s="8" t="str">
        <f>'B.kriteria &amp; R.kecocokan'!$B$80</f>
        <v>Rendah</v>
      </c>
      <c r="K27" s="9" t="str">
        <f>'B.kriteria &amp; R.kecocokan'!$B$88</f>
        <v>Sedang</v>
      </c>
      <c r="L27" s="8" t="str">
        <f>'B.kriteria &amp; R.kecocokan'!$B$49</f>
        <v>Rendah</v>
      </c>
      <c r="M27" s="8" t="str">
        <f>'B.kriteria &amp; R.kecocokan'!$B$57</f>
        <v>Rendah</v>
      </c>
      <c r="N27" s="51" t="str">
        <f>'B.kriteria &amp; R.kecocokan'!$B$65</f>
        <v>Rendah</v>
      </c>
      <c r="O27" s="9" t="s">
        <v>347</v>
      </c>
      <c r="P27" s="17"/>
    </row>
    <row r="28" spans="1:16" x14ac:dyDescent="0.35">
      <c r="A28" s="5">
        <v>25</v>
      </c>
      <c r="B28" s="16" t="s">
        <v>261</v>
      </c>
      <c r="C28" s="2" t="s">
        <v>64</v>
      </c>
      <c r="D28" s="11" t="s">
        <v>13</v>
      </c>
      <c r="E28" s="9" t="str">
        <f>'B.kriteria &amp; R.kecocokan'!$B$25</f>
        <v>Sedikit</v>
      </c>
      <c r="F28" s="9" t="str">
        <f>'B.kriteria &amp; R.kecocokan'!$B$35</f>
        <v>Sangat Tinggi</v>
      </c>
      <c r="G28" s="8" t="str">
        <f>'B.kriteria &amp; R.kecocokan'!$B$41</f>
        <v>Rendah</v>
      </c>
      <c r="H28" s="8" t="str">
        <f>'B.kriteria &amp; R.kecocokan'!$B$72</f>
        <v>Rendah</v>
      </c>
      <c r="I28" s="8" t="str">
        <f>'B.kriteria &amp; R.kecocokan'!$B$95</f>
        <v>Rendah</v>
      </c>
      <c r="J28" s="9" t="str">
        <f>'B.kriteria &amp; R.kecocokan'!$B$81</f>
        <v>Tinggi</v>
      </c>
      <c r="K28" s="9" t="str">
        <f>'B.kriteria &amp; R.kecocokan'!$B$90</f>
        <v>Sangat Sedikit</v>
      </c>
      <c r="L28" s="8" t="str">
        <f>'B.kriteria &amp; R.kecocokan'!$B$49</f>
        <v>Rendah</v>
      </c>
      <c r="M28" s="9" t="str">
        <f>'B.kriteria &amp; R.kecocokan'!$B$58</f>
        <v>Sedang</v>
      </c>
      <c r="N28" s="51" t="str">
        <f>'B.kriteria &amp; R.kecocokan'!$B$65</f>
        <v>Rendah</v>
      </c>
      <c r="O28" s="9" t="s">
        <v>349</v>
      </c>
      <c r="P28" s="17"/>
    </row>
    <row r="29" spans="1:16" x14ac:dyDescent="0.35">
      <c r="A29" s="1">
        <v>26</v>
      </c>
      <c r="B29" s="16" t="s">
        <v>263</v>
      </c>
      <c r="C29" s="2" t="s">
        <v>66</v>
      </c>
      <c r="D29" s="11" t="s">
        <v>13</v>
      </c>
      <c r="E29" s="9" t="str">
        <f>'B.kriteria &amp; R.kecocokan'!$B$25</f>
        <v>Sedikit</v>
      </c>
      <c r="F29" s="9" t="str">
        <f>'B.kriteria &amp; R.kecocokan'!$B$34</f>
        <v>Tinggi</v>
      </c>
      <c r="G29" s="8" t="str">
        <f>'B.kriteria &amp; R.kecocokan'!$B$41</f>
        <v>Rendah</v>
      </c>
      <c r="H29" s="8" t="str">
        <f>'B.kriteria &amp; R.kecocokan'!$B$72</f>
        <v>Rendah</v>
      </c>
      <c r="I29" s="8" t="str">
        <f>'B.kriteria &amp; R.kecocokan'!$B$95</f>
        <v>Rendah</v>
      </c>
      <c r="J29" s="9" t="str">
        <f>'B.kriteria &amp; R.kecocokan'!$B$81</f>
        <v>Tinggi</v>
      </c>
      <c r="K29" s="9" t="str">
        <f>'B.kriteria &amp; R.kecocokan'!$B$90</f>
        <v>Sangat Sedikit</v>
      </c>
      <c r="L29" s="8" t="str">
        <f>'B.kriteria &amp; R.kecocokan'!$B$49</f>
        <v>Rendah</v>
      </c>
      <c r="M29" s="8" t="str">
        <f>'B.kriteria &amp; R.kecocokan'!$B$57</f>
        <v>Rendah</v>
      </c>
      <c r="N29" s="51" t="str">
        <f>'B.kriteria &amp; R.kecocokan'!$B$65</f>
        <v>Rendah</v>
      </c>
      <c r="O29" s="9" t="s">
        <v>347</v>
      </c>
      <c r="P29" s="17"/>
    </row>
    <row r="30" spans="1:16" x14ac:dyDescent="0.35">
      <c r="A30" s="5">
        <v>27</v>
      </c>
      <c r="B30" s="16" t="s">
        <v>264</v>
      </c>
      <c r="C30" s="2" t="s">
        <v>68</v>
      </c>
      <c r="D30" s="11" t="s">
        <v>13</v>
      </c>
      <c r="E30" s="32" t="str">
        <f>'B.kriteria &amp; R.kecocokan'!$B$24</f>
        <v>Cukup</v>
      </c>
      <c r="F30" s="9" t="str">
        <f>'B.kriteria &amp; R.kecocokan'!$B$34</f>
        <v>Tinggi</v>
      </c>
      <c r="G30" s="9" t="str">
        <f>'B.kriteria &amp; R.kecocokan'!$B$43</f>
        <v>Tinggi</v>
      </c>
      <c r="H30" s="8" t="str">
        <f>'B.kriteria &amp; R.kecocokan'!$B$72</f>
        <v>Rendah</v>
      </c>
      <c r="I30" s="8" t="str">
        <f>'B.kriteria &amp; R.kecocokan'!$B$95</f>
        <v>Rendah</v>
      </c>
      <c r="J30" s="8" t="str">
        <f>'B.kriteria &amp; R.kecocokan'!$B$80</f>
        <v>Rendah</v>
      </c>
      <c r="K30" s="9" t="str">
        <f>'B.kriteria &amp; R.kecocokan'!$B$88</f>
        <v>Sedang</v>
      </c>
      <c r="L30" s="8" t="str">
        <f>'B.kriteria &amp; R.kecocokan'!$B$49</f>
        <v>Rendah</v>
      </c>
      <c r="M30" s="8" t="str">
        <f>'B.kriteria &amp; R.kecocokan'!$B$57</f>
        <v>Rendah</v>
      </c>
      <c r="N30" s="51" t="str">
        <f>'B.kriteria &amp; R.kecocokan'!$B$65</f>
        <v>Rendah</v>
      </c>
      <c r="O30" s="9" t="s">
        <v>347</v>
      </c>
      <c r="P30" s="17"/>
    </row>
    <row r="31" spans="1:16" x14ac:dyDescent="0.35">
      <c r="A31" s="5">
        <v>28</v>
      </c>
      <c r="B31" s="16" t="s">
        <v>262</v>
      </c>
      <c r="C31" s="2" t="s">
        <v>69</v>
      </c>
      <c r="D31" s="11" t="s">
        <v>13</v>
      </c>
      <c r="E31" s="32" t="str">
        <f>'B.kriteria &amp; R.kecocokan'!$B$24</f>
        <v>Cukup</v>
      </c>
      <c r="F31" s="9" t="str">
        <f>'B.kriteria &amp; R.kecocokan'!$B$34</f>
        <v>Tinggi</v>
      </c>
      <c r="G31" s="8" t="str">
        <f>'B.kriteria &amp; R.kecocokan'!$B$41</f>
        <v>Rendah</v>
      </c>
      <c r="H31" s="8" t="str">
        <f>'B.kriteria &amp; R.kecocokan'!$B$72</f>
        <v>Rendah</v>
      </c>
      <c r="I31" s="8" t="str">
        <f>'B.kriteria &amp; R.kecocokan'!$B$95</f>
        <v>Rendah</v>
      </c>
      <c r="J31" s="8" t="str">
        <f>'B.kriteria &amp; R.kecocokan'!$B$80</f>
        <v>Rendah</v>
      </c>
      <c r="K31" s="8" t="str">
        <f>'B.kriteria &amp; R.kecocokan'!$B$89</f>
        <v>Sedikit</v>
      </c>
      <c r="L31" s="8" t="str">
        <f>'B.kriteria &amp; R.kecocokan'!$B$49</f>
        <v>Rendah</v>
      </c>
      <c r="M31" s="9" t="str">
        <f>'B.kriteria &amp; R.kecocokan'!$B$58</f>
        <v>Sedang</v>
      </c>
      <c r="N31" s="51" t="str">
        <f>'B.kriteria &amp; R.kecocokan'!$B$65</f>
        <v>Rendah</v>
      </c>
      <c r="O31" s="9" t="s">
        <v>347</v>
      </c>
      <c r="P31" s="17"/>
    </row>
    <row r="32" spans="1:16" x14ac:dyDescent="0.35">
      <c r="A32" s="1">
        <v>29</v>
      </c>
      <c r="B32" s="16" t="s">
        <v>272</v>
      </c>
      <c r="C32" s="2" t="s">
        <v>70</v>
      </c>
      <c r="D32" s="11" t="s">
        <v>13</v>
      </c>
      <c r="E32" s="9" t="str">
        <f>'B.kriteria &amp; R.kecocokan'!$B$23</f>
        <v>Banyak</v>
      </c>
      <c r="F32" s="9" t="str">
        <f>'B.kriteria &amp; R.kecocokan'!$B$35</f>
        <v>Sangat Tinggi</v>
      </c>
      <c r="G32" s="8" t="str">
        <f>'B.kriteria &amp; R.kecocokan'!$B$41</f>
        <v>Rendah</v>
      </c>
      <c r="H32" s="8" t="str">
        <f>'B.kriteria &amp; R.kecocokan'!$B$72</f>
        <v>Rendah</v>
      </c>
      <c r="I32" s="8" t="str">
        <f>'B.kriteria &amp; R.kecocokan'!$B$95</f>
        <v>Rendah</v>
      </c>
      <c r="J32" s="8" t="str">
        <f>'B.kriteria &amp; R.kecocokan'!$B$80</f>
        <v>Rendah</v>
      </c>
      <c r="K32" s="9" t="str">
        <f>'B.kriteria &amp; R.kecocokan'!$B$90</f>
        <v>Sangat Sedikit</v>
      </c>
      <c r="L32" s="8" t="str">
        <f>'B.kriteria &amp; R.kecocokan'!$B$49</f>
        <v>Rendah</v>
      </c>
      <c r="M32" s="8" t="str">
        <f>'B.kriteria &amp; R.kecocokan'!$B$57</f>
        <v>Rendah</v>
      </c>
      <c r="N32" s="51" t="str">
        <f>'B.kriteria &amp; R.kecocokan'!$B$65</f>
        <v>Rendah</v>
      </c>
      <c r="O32" s="9" t="s">
        <v>347</v>
      </c>
      <c r="P32" s="17"/>
    </row>
    <row r="33" spans="1:16" x14ac:dyDescent="0.35">
      <c r="A33" s="5">
        <v>30</v>
      </c>
      <c r="B33" s="16" t="s">
        <v>259</v>
      </c>
      <c r="C33" s="2" t="s">
        <v>71</v>
      </c>
      <c r="D33" s="11" t="s">
        <v>13</v>
      </c>
      <c r="E33" s="9" t="str">
        <f>'B.kriteria &amp; R.kecocokan'!$B$25</f>
        <v>Sedikit</v>
      </c>
      <c r="F33" s="9" t="str">
        <f>'B.kriteria &amp; R.kecocokan'!$B$35</f>
        <v>Sangat Tinggi</v>
      </c>
      <c r="G33" s="8" t="str">
        <f>'B.kriteria &amp; R.kecocokan'!$B$41</f>
        <v>Rendah</v>
      </c>
      <c r="H33" s="8" t="str">
        <f>'B.kriteria &amp; R.kecocokan'!$B$72</f>
        <v>Rendah</v>
      </c>
      <c r="I33" s="8" t="str">
        <f>'B.kriteria &amp; R.kecocokan'!$B$95</f>
        <v>Rendah</v>
      </c>
      <c r="J33" s="9" t="str">
        <f>'B.kriteria &amp; R.kecocokan'!$B$81</f>
        <v>Tinggi</v>
      </c>
      <c r="K33" s="9" t="str">
        <f>'B.kriteria &amp; R.kecocokan'!$B$88</f>
        <v>Sedang</v>
      </c>
      <c r="L33" s="9" t="str">
        <f>'B.kriteria &amp; R.kecocokan'!$B$51</f>
        <v>Tinggi</v>
      </c>
      <c r="M33" s="9" t="str">
        <f>'B.kriteria &amp; R.kecocokan'!$B$59</f>
        <v>Tinggi</v>
      </c>
      <c r="N33" s="51" t="str">
        <f>'B.kriteria &amp; R.kecocokan'!$B$65</f>
        <v>Rendah</v>
      </c>
      <c r="O33" s="9" t="s">
        <v>349</v>
      </c>
      <c r="P33" s="17"/>
    </row>
    <row r="34" spans="1:16" x14ac:dyDescent="0.35">
      <c r="A34" s="5">
        <v>31</v>
      </c>
      <c r="B34" s="16" t="s">
        <v>260</v>
      </c>
      <c r="C34" s="2" t="s">
        <v>74</v>
      </c>
      <c r="D34" s="11" t="s">
        <v>13</v>
      </c>
      <c r="E34" s="32" t="str">
        <f>'B.kriteria &amp; R.kecocokan'!$B$24</f>
        <v>Cukup</v>
      </c>
      <c r="F34" s="9" t="str">
        <f>'B.kriteria &amp; R.kecocokan'!$B$35</f>
        <v>Sangat Tinggi</v>
      </c>
      <c r="G34" s="8" t="str">
        <f>'B.kriteria &amp; R.kecocokan'!$B$41</f>
        <v>Rendah</v>
      </c>
      <c r="H34" s="8" t="str">
        <f>'B.kriteria &amp; R.kecocokan'!$B$72</f>
        <v>Rendah</v>
      </c>
      <c r="I34" s="8" t="str">
        <f>'B.kriteria &amp; R.kecocokan'!$B$95</f>
        <v>Rendah</v>
      </c>
      <c r="J34" s="8" t="str">
        <f>'B.kriteria &amp; R.kecocokan'!$B$80</f>
        <v>Rendah</v>
      </c>
      <c r="K34" s="8" t="str">
        <f>'B.kriteria &amp; R.kecocokan'!$B$89</f>
        <v>Sedikit</v>
      </c>
      <c r="L34" s="8" t="str">
        <f>'B.kriteria &amp; R.kecocokan'!$B$49</f>
        <v>Rendah</v>
      </c>
      <c r="M34" s="9" t="str">
        <f>'B.kriteria &amp; R.kecocokan'!$B$58</f>
        <v>Sedang</v>
      </c>
      <c r="N34" s="51" t="str">
        <f>'B.kriteria &amp; R.kecocokan'!$B$65</f>
        <v>Rendah</v>
      </c>
      <c r="O34" s="9" t="s">
        <v>349</v>
      </c>
      <c r="P34" s="17"/>
    </row>
    <row r="35" spans="1:16" x14ac:dyDescent="0.35">
      <c r="A35" s="1">
        <v>32</v>
      </c>
      <c r="B35" s="16" t="s">
        <v>289</v>
      </c>
      <c r="C35" s="2" t="s">
        <v>76</v>
      </c>
      <c r="D35" s="11" t="s">
        <v>13</v>
      </c>
      <c r="E35" s="32" t="str">
        <f>'B.kriteria &amp; R.kecocokan'!$B$24</f>
        <v>Cukup</v>
      </c>
      <c r="F35" s="9" t="str">
        <f>'B.kriteria &amp; R.kecocokan'!$B$34</f>
        <v>Tinggi</v>
      </c>
      <c r="G35" s="8" t="str">
        <f>'B.kriteria &amp; R.kecocokan'!$B$41</f>
        <v>Rendah</v>
      </c>
      <c r="H35" s="8" t="str">
        <f>'B.kriteria &amp; R.kecocokan'!$B$72</f>
        <v>Rendah</v>
      </c>
      <c r="I35" s="8" t="str">
        <f>'B.kriteria &amp; R.kecocokan'!$B$95</f>
        <v>Rendah</v>
      </c>
      <c r="J35" s="8" t="str">
        <f>'B.kriteria &amp; R.kecocokan'!$B$80</f>
        <v>Rendah</v>
      </c>
      <c r="K35" s="9" t="str">
        <f>'B.kriteria &amp; R.kecocokan'!$B$88</f>
        <v>Sedang</v>
      </c>
      <c r="L35" s="8" t="str">
        <f>'B.kriteria &amp; R.kecocokan'!$B$49</f>
        <v>Rendah</v>
      </c>
      <c r="M35" s="8" t="str">
        <f>'B.kriteria &amp; R.kecocokan'!$B$57</f>
        <v>Rendah</v>
      </c>
      <c r="N35" s="51" t="str">
        <f>'B.kriteria &amp; R.kecocokan'!$B$65</f>
        <v>Rendah</v>
      </c>
      <c r="O35" s="9" t="s">
        <v>347</v>
      </c>
      <c r="P35" s="17"/>
    </row>
    <row r="36" spans="1:16" x14ac:dyDescent="0.35">
      <c r="A36" s="5">
        <v>33</v>
      </c>
      <c r="B36" s="16" t="s">
        <v>290</v>
      </c>
      <c r="C36" s="2" t="s">
        <v>79</v>
      </c>
      <c r="D36" s="11" t="s">
        <v>13</v>
      </c>
      <c r="E36" s="9" t="str">
        <f>'B.kriteria &amp; R.kecocokan'!$B$25</f>
        <v>Sedikit</v>
      </c>
      <c r="F36" s="9" t="str">
        <f>'B.kriteria &amp; R.kecocokan'!$B$34</f>
        <v>Tinggi</v>
      </c>
      <c r="G36" s="9" t="str">
        <f>'B.kriteria &amp; R.kecocokan'!$B$43</f>
        <v>Tinggi</v>
      </c>
      <c r="H36" s="8" t="str">
        <f>'B.kriteria &amp; R.kecocokan'!$B$72</f>
        <v>Rendah</v>
      </c>
      <c r="I36" s="8" t="str">
        <f>'B.kriteria &amp; R.kecocokan'!$B$95</f>
        <v>Rendah</v>
      </c>
      <c r="J36" s="9" t="str">
        <f>'B.kriteria &amp; R.kecocokan'!$B$81</f>
        <v>Tinggi</v>
      </c>
      <c r="K36" s="9" t="str">
        <f>'B.kriteria &amp; R.kecocokan'!$B$90</f>
        <v>Sangat Sedikit</v>
      </c>
      <c r="L36" s="8" t="str">
        <f>'B.kriteria &amp; R.kecocokan'!$B$49</f>
        <v>Rendah</v>
      </c>
      <c r="M36" s="8" t="str">
        <f>'B.kriteria &amp; R.kecocokan'!$B$57</f>
        <v>Rendah</v>
      </c>
      <c r="N36" s="51" t="str">
        <f>'B.kriteria &amp; R.kecocokan'!$B$65</f>
        <v>Rendah</v>
      </c>
      <c r="O36" s="9" t="s">
        <v>347</v>
      </c>
      <c r="P36" s="17"/>
    </row>
    <row r="37" spans="1:16" x14ac:dyDescent="0.35">
      <c r="A37" s="5">
        <v>34</v>
      </c>
      <c r="B37" s="16" t="s">
        <v>291</v>
      </c>
      <c r="C37" s="2" t="s">
        <v>81</v>
      </c>
      <c r="D37" s="11" t="s">
        <v>13</v>
      </c>
      <c r="E37" s="9" t="str">
        <f>'B.kriteria &amp; R.kecocokan'!$B$23</f>
        <v>Banyak</v>
      </c>
      <c r="F37" s="9" t="str">
        <f>'B.kriteria &amp; R.kecocokan'!$B$34</f>
        <v>Tinggi</v>
      </c>
      <c r="G37" s="8" t="str">
        <f>'B.kriteria &amp; R.kecocokan'!$B$41</f>
        <v>Rendah</v>
      </c>
      <c r="H37" s="8" t="str">
        <f>'B.kriteria &amp; R.kecocokan'!$B$72</f>
        <v>Rendah</v>
      </c>
      <c r="I37" s="8" t="str">
        <f>'B.kriteria &amp; R.kecocokan'!$B$95</f>
        <v>Rendah</v>
      </c>
      <c r="J37" s="9" t="str">
        <f>'B.kriteria &amp; R.kecocokan'!$B$81</f>
        <v>Tinggi</v>
      </c>
      <c r="K37" s="9" t="str">
        <f>'B.kriteria &amp; R.kecocokan'!$B$90</f>
        <v>Sangat Sedikit</v>
      </c>
      <c r="L37" s="8" t="str">
        <f>'B.kriteria &amp; R.kecocokan'!$B$49</f>
        <v>Rendah</v>
      </c>
      <c r="M37" s="8" t="str">
        <f>'B.kriteria &amp; R.kecocokan'!$B$57</f>
        <v>Rendah</v>
      </c>
      <c r="N37" s="51" t="str">
        <f>'B.kriteria &amp; R.kecocokan'!$B$65</f>
        <v>Rendah</v>
      </c>
      <c r="O37" s="9" t="s">
        <v>347</v>
      </c>
      <c r="P37" s="17"/>
    </row>
    <row r="38" spans="1:16" x14ac:dyDescent="0.35">
      <c r="A38" s="1">
        <v>35</v>
      </c>
      <c r="B38" s="16" t="s">
        <v>292</v>
      </c>
      <c r="C38" s="2" t="s">
        <v>83</v>
      </c>
      <c r="D38" s="11" t="s">
        <v>13</v>
      </c>
      <c r="E38" s="9" t="str">
        <f>'B.kriteria &amp; R.kecocokan'!$B$25</f>
        <v>Sedikit</v>
      </c>
      <c r="F38" s="9" t="str">
        <f>'B.kriteria &amp; R.kecocokan'!$B$34</f>
        <v>Tinggi</v>
      </c>
      <c r="G38" s="8" t="str">
        <f>'B.kriteria &amp; R.kecocokan'!$B$41</f>
        <v>Rendah</v>
      </c>
      <c r="H38" s="9" t="str">
        <f>'B.kriteria &amp; R.kecocokan'!$B$74</f>
        <v>Tinggi</v>
      </c>
      <c r="I38" s="8" t="str">
        <f>'B.kriteria &amp; R.kecocokan'!$B$95</f>
        <v>Rendah</v>
      </c>
      <c r="J38" s="9" t="str">
        <f>'B.kriteria &amp; R.kecocokan'!$B$81</f>
        <v>Tinggi</v>
      </c>
      <c r="K38" s="9" t="str">
        <f>'B.kriteria &amp; R.kecocokan'!$B$90</f>
        <v>Sangat Sedikit</v>
      </c>
      <c r="L38" s="9" t="str">
        <f>'B.kriteria &amp; R.kecocokan'!$B$50</f>
        <v>Sedang</v>
      </c>
      <c r="M38" s="9" t="str">
        <f>'B.kriteria &amp; R.kecocokan'!$B$59</f>
        <v>Tinggi</v>
      </c>
      <c r="N38" s="51" t="str">
        <f>'B.kriteria &amp; R.kecocokan'!$B$65</f>
        <v>Rendah</v>
      </c>
      <c r="O38" s="9" t="s">
        <v>349</v>
      </c>
      <c r="P38" s="17"/>
    </row>
    <row r="39" spans="1:16" x14ac:dyDescent="0.35">
      <c r="A39" s="5">
        <v>36</v>
      </c>
      <c r="B39" s="16" t="s">
        <v>293</v>
      </c>
      <c r="C39" s="2" t="s">
        <v>84</v>
      </c>
      <c r="D39" s="11" t="s">
        <v>13</v>
      </c>
      <c r="E39" s="32" t="str">
        <f>'B.kriteria &amp; R.kecocokan'!$B$24</f>
        <v>Cukup</v>
      </c>
      <c r="F39" s="9" t="str">
        <f>'B.kriteria &amp; R.kecocokan'!$B$34</f>
        <v>Tinggi</v>
      </c>
      <c r="G39" s="8" t="str">
        <f>'B.kriteria &amp; R.kecocokan'!$B$41</f>
        <v>Rendah</v>
      </c>
      <c r="H39" s="8" t="str">
        <f>'B.kriteria &amp; R.kecocokan'!$B$72</f>
        <v>Rendah</v>
      </c>
      <c r="I39" s="8" t="str">
        <f>'B.kriteria &amp; R.kecocokan'!$B$95</f>
        <v>Rendah</v>
      </c>
      <c r="J39" s="8" t="str">
        <f>'B.kriteria &amp; R.kecocokan'!$B$80</f>
        <v>Rendah</v>
      </c>
      <c r="K39" s="9" t="str">
        <f>'B.kriteria &amp; R.kecocokan'!$B$90</f>
        <v>Sangat Sedikit</v>
      </c>
      <c r="L39" s="8" t="str">
        <f>'B.kriteria &amp; R.kecocokan'!$B$49</f>
        <v>Rendah</v>
      </c>
      <c r="M39" s="8" t="str">
        <f>'B.kriteria &amp; R.kecocokan'!$B$57</f>
        <v>Rendah</v>
      </c>
      <c r="N39" s="51" t="str">
        <f>'B.kriteria &amp; R.kecocokan'!$B$65</f>
        <v>Rendah</v>
      </c>
      <c r="O39" s="9" t="s">
        <v>347</v>
      </c>
      <c r="P39" s="17"/>
    </row>
    <row r="40" spans="1:16" x14ac:dyDescent="0.35">
      <c r="A40" s="5">
        <v>37</v>
      </c>
      <c r="B40" s="16" t="s">
        <v>267</v>
      </c>
      <c r="C40" s="2" t="s">
        <v>85</v>
      </c>
      <c r="D40" s="11" t="s">
        <v>13</v>
      </c>
      <c r="E40" s="32" t="str">
        <f>'B.kriteria &amp; R.kecocokan'!$B$24</f>
        <v>Cukup</v>
      </c>
      <c r="F40" s="9" t="str">
        <f>'B.kriteria &amp; R.kecocokan'!$B$34</f>
        <v>Tinggi</v>
      </c>
      <c r="G40" s="8" t="str">
        <f>'B.kriteria &amp; R.kecocokan'!$B$41</f>
        <v>Rendah</v>
      </c>
      <c r="H40" s="8" t="str">
        <f>'B.kriteria &amp; R.kecocokan'!$B$72</f>
        <v>Rendah</v>
      </c>
      <c r="I40" s="8" t="str">
        <f>'B.kriteria &amp; R.kecocokan'!$B$95</f>
        <v>Rendah</v>
      </c>
      <c r="J40" s="8" t="str">
        <f>'B.kriteria &amp; R.kecocokan'!$B$80</f>
        <v>Rendah</v>
      </c>
      <c r="K40" s="9" t="str">
        <f>'B.kriteria &amp; R.kecocokan'!$B$88</f>
        <v>Sedang</v>
      </c>
      <c r="L40" s="8" t="str">
        <f>'B.kriteria &amp; R.kecocokan'!$B$49</f>
        <v>Rendah</v>
      </c>
      <c r="M40" s="8" t="str">
        <f>'B.kriteria &amp; R.kecocokan'!$B$57</f>
        <v>Rendah</v>
      </c>
      <c r="N40" s="51" t="str">
        <f>'B.kriteria &amp; R.kecocokan'!$B$65</f>
        <v>Rendah</v>
      </c>
      <c r="O40" s="9" t="s">
        <v>347</v>
      </c>
      <c r="P40" s="17"/>
    </row>
    <row r="41" spans="1:16" x14ac:dyDescent="0.35">
      <c r="A41" s="1">
        <v>38</v>
      </c>
      <c r="B41" s="16" t="s">
        <v>268</v>
      </c>
      <c r="C41" s="2" t="s">
        <v>86</v>
      </c>
      <c r="D41" s="11" t="s">
        <v>13</v>
      </c>
      <c r="E41" s="9" t="str">
        <f>'B.kriteria &amp; R.kecocokan'!$B$25</f>
        <v>Sedikit</v>
      </c>
      <c r="F41" s="9" t="str">
        <f>'B.kriteria &amp; R.kecocokan'!$B$34</f>
        <v>Tinggi</v>
      </c>
      <c r="G41" s="9" t="str">
        <f>'B.kriteria &amp; R.kecocokan'!$B$43</f>
        <v>Tinggi</v>
      </c>
      <c r="H41" s="8" t="str">
        <f>'B.kriteria &amp; R.kecocokan'!$B$72</f>
        <v>Rendah</v>
      </c>
      <c r="I41" s="8" t="str">
        <f>'B.kriteria &amp; R.kecocokan'!$B$95</f>
        <v>Rendah</v>
      </c>
      <c r="J41" s="9" t="str">
        <f>'B.kriteria &amp; R.kecocokan'!$B$81</f>
        <v>Tinggi</v>
      </c>
      <c r="K41" s="9" t="str">
        <f>'B.kriteria &amp; R.kecocokan'!$B$90</f>
        <v>Sangat Sedikit</v>
      </c>
      <c r="L41" s="8" t="str">
        <f>'B.kriteria &amp; R.kecocokan'!$B$49</f>
        <v>Rendah</v>
      </c>
      <c r="M41" s="8" t="str">
        <f>'B.kriteria &amp; R.kecocokan'!$B$57</f>
        <v>Rendah</v>
      </c>
      <c r="N41" s="51" t="str">
        <f>'B.kriteria &amp; R.kecocokan'!$B$65</f>
        <v>Rendah</v>
      </c>
      <c r="O41" s="9" t="s">
        <v>347</v>
      </c>
      <c r="P41" s="17"/>
    </row>
    <row r="42" spans="1:16" x14ac:dyDescent="0.35">
      <c r="A42" s="5">
        <v>39</v>
      </c>
      <c r="B42" s="16" t="s">
        <v>294</v>
      </c>
      <c r="C42" s="2" t="s">
        <v>87</v>
      </c>
      <c r="D42" s="11" t="s">
        <v>13</v>
      </c>
      <c r="E42" s="9" t="str">
        <f>'B.kriteria &amp; R.kecocokan'!$B$25</f>
        <v>Sedikit</v>
      </c>
      <c r="F42" s="9" t="str">
        <f>'B.kriteria &amp; R.kecocokan'!$B$34</f>
        <v>Tinggi</v>
      </c>
      <c r="G42" s="8" t="str">
        <f>'B.kriteria &amp; R.kecocokan'!$B$41</f>
        <v>Rendah</v>
      </c>
      <c r="H42" s="8" t="str">
        <f>'B.kriteria &amp; R.kecocokan'!$B$72</f>
        <v>Rendah</v>
      </c>
      <c r="I42" s="8" t="str">
        <f>'B.kriteria &amp; R.kecocokan'!$B$95</f>
        <v>Rendah</v>
      </c>
      <c r="J42" s="9" t="str">
        <f>'B.kriteria &amp; R.kecocokan'!$B$81</f>
        <v>Tinggi</v>
      </c>
      <c r="K42" s="9" t="str">
        <f>'B.kriteria &amp; R.kecocokan'!$B$90</f>
        <v>Sangat Sedikit</v>
      </c>
      <c r="L42" s="8" t="str">
        <f>'B.kriteria &amp; R.kecocokan'!$B$49</f>
        <v>Rendah</v>
      </c>
      <c r="M42" s="8" t="str">
        <f>'B.kriteria &amp; R.kecocokan'!$B$57</f>
        <v>Rendah</v>
      </c>
      <c r="N42" s="51" t="str">
        <f>'B.kriteria &amp; R.kecocokan'!$B$65</f>
        <v>Rendah</v>
      </c>
      <c r="O42" s="9" t="s">
        <v>347</v>
      </c>
      <c r="P42" s="17"/>
    </row>
    <row r="43" spans="1:16" x14ac:dyDescent="0.35">
      <c r="A43" s="5">
        <v>40</v>
      </c>
      <c r="B43" s="16" t="s">
        <v>269</v>
      </c>
      <c r="C43" s="2" t="s">
        <v>88</v>
      </c>
      <c r="D43" s="11" t="s">
        <v>13</v>
      </c>
      <c r="E43" s="32" t="str">
        <f>'B.kriteria &amp; R.kecocokan'!$B$24</f>
        <v>Cukup</v>
      </c>
      <c r="F43" s="9" t="str">
        <f>'B.kriteria &amp; R.kecocokan'!$B$34</f>
        <v>Tinggi</v>
      </c>
      <c r="G43" s="9" t="str">
        <f>'B.kriteria &amp; R.kecocokan'!$B$43</f>
        <v>Tinggi</v>
      </c>
      <c r="H43" s="8" t="str">
        <f>'B.kriteria &amp; R.kecocokan'!$B$72</f>
        <v>Rendah</v>
      </c>
      <c r="I43" s="8" t="str">
        <f>'B.kriteria &amp; R.kecocokan'!$B$95</f>
        <v>Rendah</v>
      </c>
      <c r="J43" s="8" t="str">
        <f>'B.kriteria &amp; R.kecocokan'!$B$80</f>
        <v>Rendah</v>
      </c>
      <c r="K43" s="9" t="str">
        <f>'B.kriteria &amp; R.kecocokan'!$B$88</f>
        <v>Sedang</v>
      </c>
      <c r="L43" s="8" t="str">
        <f>'B.kriteria &amp; R.kecocokan'!$B$49</f>
        <v>Rendah</v>
      </c>
      <c r="M43" s="8" t="str">
        <f>'B.kriteria &amp; R.kecocokan'!$B$57</f>
        <v>Rendah</v>
      </c>
      <c r="N43" s="51" t="str">
        <f>'B.kriteria &amp; R.kecocokan'!$B$65</f>
        <v>Rendah</v>
      </c>
      <c r="O43" s="9" t="s">
        <v>347</v>
      </c>
      <c r="P43" s="17"/>
    </row>
    <row r="44" spans="1:16" x14ac:dyDescent="0.35">
      <c r="A44" s="1">
        <v>41</v>
      </c>
      <c r="B44" s="16" t="s">
        <v>278</v>
      </c>
      <c r="C44" s="2" t="s">
        <v>89</v>
      </c>
      <c r="D44" s="11" t="s">
        <v>13</v>
      </c>
      <c r="E44" s="9" t="str">
        <f>'B.kriteria &amp; R.kecocokan'!$B$23</f>
        <v>Banyak</v>
      </c>
      <c r="F44" s="9" t="str">
        <f>'B.kriteria &amp; R.kecocokan'!$B$34</f>
        <v>Tinggi</v>
      </c>
      <c r="G44" s="8" t="str">
        <f>'B.kriteria &amp; R.kecocokan'!$B$41</f>
        <v>Rendah</v>
      </c>
      <c r="H44" s="8" t="str">
        <f>'B.kriteria &amp; R.kecocokan'!$B$72</f>
        <v>Rendah</v>
      </c>
      <c r="I44" s="8" t="str">
        <f>'B.kriteria &amp; R.kecocokan'!$B$95</f>
        <v>Rendah</v>
      </c>
      <c r="J44" s="9" t="str">
        <f>'B.kriteria &amp; R.kecocokan'!$B$81</f>
        <v>Tinggi</v>
      </c>
      <c r="K44" s="9" t="str">
        <f>'B.kriteria &amp; R.kecocokan'!$B$90</f>
        <v>Sangat Sedikit</v>
      </c>
      <c r="L44" s="8" t="str">
        <f>'B.kriteria &amp; R.kecocokan'!$B$49</f>
        <v>Rendah</v>
      </c>
      <c r="M44" s="8" t="str">
        <f>'B.kriteria &amp; R.kecocokan'!$B$57</f>
        <v>Rendah</v>
      </c>
      <c r="N44" s="51" t="str">
        <f>'B.kriteria &amp; R.kecocokan'!$B$65</f>
        <v>Rendah</v>
      </c>
      <c r="O44" s="9" t="s">
        <v>347</v>
      </c>
      <c r="P44" s="17"/>
    </row>
    <row r="45" spans="1:16" x14ac:dyDescent="0.35">
      <c r="A45" s="5">
        <v>42</v>
      </c>
      <c r="B45" s="2" t="str">
        <f>Penghasilan!B22</f>
        <v>3523151309090178</v>
      </c>
      <c r="C45" s="2" t="s">
        <v>91</v>
      </c>
      <c r="D45" s="11" t="s">
        <v>92</v>
      </c>
      <c r="E45" s="28" t="str">
        <f>'B.kriteria &amp; R.kecocokan'!$B$25</f>
        <v>Sedikit</v>
      </c>
      <c r="F45" s="9" t="str">
        <f>'B.kriteria &amp; R.kecocokan'!$B$34</f>
        <v>Tinggi</v>
      </c>
      <c r="G45" s="8" t="str">
        <f>'B.kriteria &amp; R.kecocokan'!$B$41</f>
        <v>Rendah</v>
      </c>
      <c r="H45" s="8" t="str">
        <f>'B.kriteria &amp; R.kecocokan'!$B$72</f>
        <v>Rendah</v>
      </c>
      <c r="I45" s="8" t="str">
        <f>'B.kriteria &amp; R.kecocokan'!$B$95</f>
        <v>Rendah</v>
      </c>
      <c r="J45" s="9" t="str">
        <f>'B.kriteria &amp; R.kecocokan'!$B$81</f>
        <v>Tinggi</v>
      </c>
      <c r="K45" s="9" t="str">
        <f>'B.kriteria &amp; R.kecocokan'!$B$88</f>
        <v>Sedang</v>
      </c>
      <c r="L45" s="9" t="str">
        <f>'B.kriteria &amp; R.kecocokan'!$B$50</f>
        <v>Sedang</v>
      </c>
      <c r="M45" s="8" t="str">
        <f>'B.kriteria &amp; R.kecocokan'!$B$57</f>
        <v>Rendah</v>
      </c>
      <c r="N45" s="51" t="str">
        <f>'B.kriteria &amp; R.kecocokan'!$B$65</f>
        <v>Rendah</v>
      </c>
      <c r="O45" s="9" t="s">
        <v>349</v>
      </c>
      <c r="P45" s="17"/>
    </row>
    <row r="46" spans="1:16" x14ac:dyDescent="0.35">
      <c r="A46" s="5">
        <v>43</v>
      </c>
      <c r="B46" s="2" t="str">
        <f>Penghasilan!B35</f>
        <v>3523151303180005</v>
      </c>
      <c r="C46" s="2" t="s">
        <v>94</v>
      </c>
      <c r="D46" s="11" t="s">
        <v>95</v>
      </c>
      <c r="E46" s="28" t="str">
        <f>'B.kriteria &amp; R.kecocokan'!$B$25</f>
        <v>Sedikit</v>
      </c>
      <c r="F46" s="9" t="str">
        <f>'B.kriteria &amp; R.kecocokan'!$B$34</f>
        <v>Tinggi</v>
      </c>
      <c r="G46" s="8" t="str">
        <f>'B.kriteria &amp; R.kecocokan'!$B$41</f>
        <v>Rendah</v>
      </c>
      <c r="H46" s="8" t="str">
        <f>'B.kriteria &amp; R.kecocokan'!$B$72</f>
        <v>Rendah</v>
      </c>
      <c r="I46" s="8" t="str">
        <f>'B.kriteria &amp; R.kecocokan'!$B$95</f>
        <v>Rendah</v>
      </c>
      <c r="J46" s="8" t="str">
        <f>'B.kriteria &amp; R.kecocokan'!$B$80</f>
        <v>Rendah</v>
      </c>
      <c r="K46" s="9" t="str">
        <f>'B.kriteria &amp; R.kecocokan'!$B$90</f>
        <v>Sangat Sedikit</v>
      </c>
      <c r="L46" s="8" t="str">
        <f>'B.kriteria &amp; R.kecocokan'!$B$49</f>
        <v>Rendah</v>
      </c>
      <c r="M46" s="8" t="str">
        <f>'B.kriteria &amp; R.kecocokan'!$B$57</f>
        <v>Rendah</v>
      </c>
      <c r="N46" s="51" t="str">
        <f>'B.kriteria &amp; R.kecocokan'!$B$65</f>
        <v>Rendah</v>
      </c>
      <c r="O46" s="9" t="s">
        <v>347</v>
      </c>
      <c r="P46" s="17"/>
    </row>
    <row r="47" spans="1:16" x14ac:dyDescent="0.35">
      <c r="A47" s="1">
        <v>44</v>
      </c>
      <c r="B47" s="2" t="str">
        <f>Penghasilan!B34</f>
        <v>3523151403061462</v>
      </c>
      <c r="C47" s="2" t="s">
        <v>96</v>
      </c>
      <c r="D47" s="11" t="s">
        <v>95</v>
      </c>
      <c r="E47" s="28" t="str">
        <f>'B.kriteria &amp; R.kecocokan'!$B$25</f>
        <v>Sedikit</v>
      </c>
      <c r="F47" s="9" t="str">
        <f>'B.kriteria &amp; R.kecocokan'!$B$35</f>
        <v>Sangat Tinggi</v>
      </c>
      <c r="G47" s="8" t="str">
        <f>'B.kriteria &amp; R.kecocokan'!$B$41</f>
        <v>Rendah</v>
      </c>
      <c r="H47" s="8" t="str">
        <f>'B.kriteria &amp; R.kecocokan'!$B$72</f>
        <v>Rendah</v>
      </c>
      <c r="I47" s="8" t="str">
        <f>'B.kriteria &amp; R.kecocokan'!$B$95</f>
        <v>Rendah</v>
      </c>
      <c r="J47" s="9" t="str">
        <f>'B.kriteria &amp; R.kecocokan'!$B$81</f>
        <v>Tinggi</v>
      </c>
      <c r="K47" s="9" t="str">
        <f>'B.kriteria &amp; R.kecocokan'!$B$90</f>
        <v>Sangat Sedikit</v>
      </c>
      <c r="L47" s="9" t="str">
        <f>'B.kriteria &amp; R.kecocokan'!$B$50</f>
        <v>Sedang</v>
      </c>
      <c r="M47" s="9" t="str">
        <f>'B.kriteria &amp; R.kecocokan'!$B$59</f>
        <v>Tinggi</v>
      </c>
      <c r="N47" s="51" t="str">
        <f>'B.kriteria &amp; R.kecocokan'!$B$65</f>
        <v>Rendah</v>
      </c>
      <c r="O47" s="9" t="s">
        <v>349</v>
      </c>
      <c r="P47" s="17"/>
    </row>
    <row r="48" spans="1:16" x14ac:dyDescent="0.35">
      <c r="A48" s="5">
        <v>45</v>
      </c>
      <c r="B48" s="2" t="str">
        <f>Penghasilan!B36</f>
        <v>3523151309090180</v>
      </c>
      <c r="C48" s="2" t="s">
        <v>98</v>
      </c>
      <c r="D48" s="11" t="s">
        <v>95</v>
      </c>
      <c r="E48" s="32" t="str">
        <f>'B.kriteria &amp; R.kecocokan'!$B$24</f>
        <v>Cukup</v>
      </c>
      <c r="F48" s="9" t="str">
        <f>'B.kriteria &amp; R.kecocokan'!$B$34</f>
        <v>Tinggi</v>
      </c>
      <c r="G48" s="8" t="str">
        <f>'B.kriteria &amp; R.kecocokan'!$B$41</f>
        <v>Rendah</v>
      </c>
      <c r="H48" s="8" t="str">
        <f>'B.kriteria &amp; R.kecocokan'!$B$72</f>
        <v>Rendah</v>
      </c>
      <c r="I48" s="8" t="str">
        <f>'B.kriteria &amp; R.kecocokan'!$B$95</f>
        <v>Rendah</v>
      </c>
      <c r="J48" s="9" t="str">
        <f>'B.kriteria &amp; R.kecocokan'!$B$81</f>
        <v>Tinggi</v>
      </c>
      <c r="K48" s="9" t="str">
        <f>'B.kriteria &amp; R.kecocokan'!$B$90</f>
        <v>Sangat Sedikit</v>
      </c>
      <c r="L48" s="8" t="str">
        <f>'B.kriteria &amp; R.kecocokan'!$B$49</f>
        <v>Rendah</v>
      </c>
      <c r="M48" s="8" t="str">
        <f>'B.kriteria &amp; R.kecocokan'!$B$57</f>
        <v>Rendah</v>
      </c>
      <c r="N48" s="51" t="str">
        <f>'B.kriteria &amp; R.kecocokan'!$B$65</f>
        <v>Rendah</v>
      </c>
      <c r="O48" s="9" t="s">
        <v>347</v>
      </c>
      <c r="P48" s="17"/>
    </row>
    <row r="49" spans="1:16" x14ac:dyDescent="0.35">
      <c r="A49" s="5">
        <v>46</v>
      </c>
      <c r="B49" s="2" t="str">
        <f>Penghasilan!B40</f>
        <v>3523150209200001</v>
      </c>
      <c r="C49" s="2" t="s">
        <v>100</v>
      </c>
      <c r="D49" s="11" t="s">
        <v>92</v>
      </c>
      <c r="E49" s="32" t="str">
        <f>'B.kriteria &amp; R.kecocokan'!$B$24</f>
        <v>Cukup</v>
      </c>
      <c r="F49" s="9" t="str">
        <f>'B.kriteria &amp; R.kecocokan'!$B$34</f>
        <v>Tinggi</v>
      </c>
      <c r="G49" s="8" t="str">
        <f>'B.kriteria &amp; R.kecocokan'!$B$41</f>
        <v>Rendah</v>
      </c>
      <c r="H49" s="8" t="str">
        <f>'B.kriteria &amp; R.kecocokan'!$B$72</f>
        <v>Rendah</v>
      </c>
      <c r="I49" s="8" t="str">
        <f>'B.kriteria &amp; R.kecocokan'!$B$95</f>
        <v>Rendah</v>
      </c>
      <c r="J49" s="8" t="str">
        <f>'B.kriteria &amp; R.kecocokan'!$B$80</f>
        <v>Rendah</v>
      </c>
      <c r="K49" s="9" t="str">
        <f>'B.kriteria &amp; R.kecocokan'!$B$88</f>
        <v>Sedang</v>
      </c>
      <c r="L49" s="8" t="str">
        <f>'B.kriteria &amp; R.kecocokan'!$B$49</f>
        <v>Rendah</v>
      </c>
      <c r="M49" s="8" t="str">
        <f>'B.kriteria &amp; R.kecocokan'!$B$57</f>
        <v>Rendah</v>
      </c>
      <c r="N49" s="51" t="str">
        <f>'B.kriteria &amp; R.kecocokan'!$B$65</f>
        <v>Rendah</v>
      </c>
      <c r="O49" s="9" t="s">
        <v>347</v>
      </c>
      <c r="P49" s="17"/>
    </row>
    <row r="50" spans="1:16" x14ac:dyDescent="0.35">
      <c r="A50" s="1">
        <v>47</v>
      </c>
      <c r="B50" s="2" t="str">
        <f>Penghasilan!B32</f>
        <v>3523151005110001</v>
      </c>
      <c r="C50" s="2" t="s">
        <v>101</v>
      </c>
      <c r="D50" s="11" t="s">
        <v>92</v>
      </c>
      <c r="E50" s="28" t="str">
        <f>'B.kriteria &amp; R.kecocokan'!$B$25</f>
        <v>Sedikit</v>
      </c>
      <c r="F50" s="9" t="str">
        <f>'B.kriteria &amp; R.kecocokan'!$B$34</f>
        <v>Tinggi</v>
      </c>
      <c r="G50" s="8" t="str">
        <f>'B.kriteria &amp; R.kecocokan'!$B$41</f>
        <v>Rendah</v>
      </c>
      <c r="H50" s="8" t="str">
        <f>'B.kriteria &amp; R.kecocokan'!$B$72</f>
        <v>Rendah</v>
      </c>
      <c r="I50" s="8" t="str">
        <f>'B.kriteria &amp; R.kecocokan'!$B$95</f>
        <v>Rendah</v>
      </c>
      <c r="J50" s="9" t="str">
        <f>'B.kriteria &amp; R.kecocokan'!$B$81</f>
        <v>Tinggi</v>
      </c>
      <c r="K50" s="9" t="str">
        <f>'B.kriteria &amp; R.kecocokan'!$B$90</f>
        <v>Sangat Sedikit</v>
      </c>
      <c r="L50" s="8" t="str">
        <f>'B.kriteria &amp; R.kecocokan'!$B$49</f>
        <v>Rendah</v>
      </c>
      <c r="M50" s="8" t="str">
        <f>'B.kriteria &amp; R.kecocokan'!$B$57</f>
        <v>Rendah</v>
      </c>
      <c r="N50" s="51" t="str">
        <f>'B.kriteria &amp; R.kecocokan'!$B$65</f>
        <v>Rendah</v>
      </c>
      <c r="O50" s="9" t="s">
        <v>347</v>
      </c>
      <c r="P50" s="17"/>
    </row>
    <row r="51" spans="1:16" x14ac:dyDescent="0.35">
      <c r="A51" s="5">
        <v>48</v>
      </c>
      <c r="B51" s="2" t="str">
        <f>Penghasilan!B38</f>
        <v>3523151403061468</v>
      </c>
      <c r="C51" s="2" t="s">
        <v>102</v>
      </c>
      <c r="D51" s="11" t="s">
        <v>95</v>
      </c>
      <c r="E51" s="32" t="str">
        <f>'B.kriteria &amp; R.kecocokan'!$B$24</f>
        <v>Cukup</v>
      </c>
      <c r="F51" s="9" t="str">
        <f>'B.kriteria &amp; R.kecocokan'!$B$34</f>
        <v>Tinggi</v>
      </c>
      <c r="G51" s="8" t="str">
        <f>'B.kriteria &amp; R.kecocokan'!$B$41</f>
        <v>Rendah</v>
      </c>
      <c r="H51" s="8" t="str">
        <f>'B.kriteria &amp; R.kecocokan'!$B$72</f>
        <v>Rendah</v>
      </c>
      <c r="I51" s="8" t="str">
        <f>'B.kriteria &amp; R.kecocokan'!$B$95</f>
        <v>Rendah</v>
      </c>
      <c r="J51" s="8" t="str">
        <f>'B.kriteria &amp; R.kecocokan'!$B$80</f>
        <v>Rendah</v>
      </c>
      <c r="K51" s="8" t="str">
        <f>'B.kriteria &amp; R.kecocokan'!$B$89</f>
        <v>Sedikit</v>
      </c>
      <c r="L51" s="8" t="str">
        <f>'B.kriteria &amp; R.kecocokan'!$B$49</f>
        <v>Rendah</v>
      </c>
      <c r="M51" s="8" t="str">
        <f>'B.kriteria &amp; R.kecocokan'!$B$57</f>
        <v>Rendah</v>
      </c>
      <c r="N51" s="51" t="str">
        <f>'B.kriteria &amp; R.kecocokan'!$B$65</f>
        <v>Rendah</v>
      </c>
      <c r="O51" s="9" t="s">
        <v>347</v>
      </c>
      <c r="P51" s="17"/>
    </row>
    <row r="52" spans="1:16" x14ac:dyDescent="0.35">
      <c r="A52" s="5">
        <v>49</v>
      </c>
      <c r="B52" s="2" t="str">
        <f>Penghasilan!B37</f>
        <v>3523151403061466</v>
      </c>
      <c r="C52" s="2" t="s">
        <v>104</v>
      </c>
      <c r="D52" s="11" t="s">
        <v>92</v>
      </c>
      <c r="E52" s="28" t="str">
        <f>'B.kriteria &amp; R.kecocokan'!$B$25</f>
        <v>Sedikit</v>
      </c>
      <c r="F52" s="9" t="str">
        <f>'B.kriteria &amp; R.kecocokan'!$B$35</f>
        <v>Sangat Tinggi</v>
      </c>
      <c r="G52" s="8" t="str">
        <f>'B.kriteria &amp; R.kecocokan'!$B$41</f>
        <v>Rendah</v>
      </c>
      <c r="H52" s="8" t="str">
        <f>'B.kriteria &amp; R.kecocokan'!$B$72</f>
        <v>Rendah</v>
      </c>
      <c r="I52" s="8" t="str">
        <f>'B.kriteria &amp; R.kecocokan'!$B$95</f>
        <v>Rendah</v>
      </c>
      <c r="J52" s="9" t="str">
        <f>'B.kriteria &amp; R.kecocokan'!$B$81</f>
        <v>Tinggi</v>
      </c>
      <c r="K52" s="9" t="str">
        <f>'B.kriteria &amp; R.kecocokan'!$B$90</f>
        <v>Sangat Sedikit</v>
      </c>
      <c r="L52" s="8" t="str">
        <f>'B.kriteria &amp; R.kecocokan'!$B$49</f>
        <v>Rendah</v>
      </c>
      <c r="M52" s="8" t="str">
        <f>'B.kriteria &amp; R.kecocokan'!$B$57</f>
        <v>Rendah</v>
      </c>
      <c r="N52" s="51" t="str">
        <f>'B.kriteria &amp; R.kecocokan'!$B$65</f>
        <v>Rendah</v>
      </c>
      <c r="O52" s="9" t="s">
        <v>349</v>
      </c>
      <c r="P52" s="17"/>
    </row>
    <row r="53" spans="1:16" x14ac:dyDescent="0.35">
      <c r="A53" s="1">
        <v>50</v>
      </c>
      <c r="B53" s="2" t="str">
        <f>Penghasilan!B28</f>
        <v>3523152111210007</v>
      </c>
      <c r="C53" s="2" t="s">
        <v>105</v>
      </c>
      <c r="D53" s="11" t="s">
        <v>92</v>
      </c>
      <c r="E53" s="28" t="str">
        <f>'B.kriteria &amp; R.kecocokan'!$B$25</f>
        <v>Sedikit</v>
      </c>
      <c r="F53" s="9" t="str">
        <f>'B.kriteria &amp; R.kecocokan'!$B$34</f>
        <v>Tinggi</v>
      </c>
      <c r="G53" s="8" t="str">
        <f>'B.kriteria &amp; R.kecocokan'!$B$41</f>
        <v>Rendah</v>
      </c>
      <c r="H53" s="8" t="str">
        <f>'B.kriteria &amp; R.kecocokan'!$B$72</f>
        <v>Rendah</v>
      </c>
      <c r="I53" s="8" t="str">
        <f>'B.kriteria &amp; R.kecocokan'!$B$95</f>
        <v>Rendah</v>
      </c>
      <c r="J53" s="8" t="str">
        <f>'B.kriteria &amp; R.kecocokan'!$B$80</f>
        <v>Rendah</v>
      </c>
      <c r="K53" s="9" t="str">
        <f>'B.kriteria &amp; R.kecocokan'!$B$88</f>
        <v>Sedang</v>
      </c>
      <c r="L53" s="9" t="str">
        <f>'B.kriteria &amp; R.kecocokan'!$B$50</f>
        <v>Sedang</v>
      </c>
      <c r="M53" s="9" t="str">
        <f>'B.kriteria &amp; R.kecocokan'!$B$59</f>
        <v>Tinggi</v>
      </c>
      <c r="N53" s="51" t="str">
        <f>'B.kriteria &amp; R.kecocokan'!$B$65</f>
        <v>Rendah</v>
      </c>
      <c r="O53" s="9" t="s">
        <v>349</v>
      </c>
      <c r="P53" s="17"/>
    </row>
    <row r="54" spans="1:16" x14ac:dyDescent="0.35">
      <c r="A54" s="5">
        <v>51</v>
      </c>
      <c r="B54" s="2" t="str">
        <f>Penghasilan!B30</f>
        <v>3523151403061463</v>
      </c>
      <c r="C54" s="2" t="s">
        <v>106</v>
      </c>
      <c r="D54" s="11" t="s">
        <v>92</v>
      </c>
      <c r="E54" s="28" t="str">
        <f>'B.kriteria &amp; R.kecocokan'!$B$25</f>
        <v>Sedikit</v>
      </c>
      <c r="F54" s="9" t="str">
        <f>'B.kriteria &amp; R.kecocokan'!$B$34</f>
        <v>Tinggi</v>
      </c>
      <c r="G54" s="8" t="str">
        <f>'B.kriteria &amp; R.kecocokan'!$B$41</f>
        <v>Rendah</v>
      </c>
      <c r="H54" s="8" t="str">
        <f>'B.kriteria &amp; R.kecocokan'!$B$72</f>
        <v>Rendah</v>
      </c>
      <c r="I54" s="8" t="str">
        <f>'B.kriteria &amp; R.kecocokan'!$B$95</f>
        <v>Rendah</v>
      </c>
      <c r="J54" s="8" t="str">
        <f>'B.kriteria &amp; R.kecocokan'!$B$80</f>
        <v>Rendah</v>
      </c>
      <c r="K54" s="9" t="str">
        <f>'B.kriteria &amp; R.kecocokan'!$B$88</f>
        <v>Sedang</v>
      </c>
      <c r="L54" s="8" t="str">
        <f>'B.kriteria &amp; R.kecocokan'!$B$49</f>
        <v>Rendah</v>
      </c>
      <c r="M54" s="9" t="str">
        <f>'B.kriteria &amp; R.kecocokan'!$B$58</f>
        <v>Sedang</v>
      </c>
      <c r="N54" s="51" t="str">
        <f>'B.kriteria &amp; R.kecocokan'!$B$65</f>
        <v>Rendah</v>
      </c>
      <c r="O54" s="9" t="s">
        <v>347</v>
      </c>
      <c r="P54" s="17"/>
    </row>
    <row r="55" spans="1:16" x14ac:dyDescent="0.35">
      <c r="A55" s="5">
        <v>52</v>
      </c>
      <c r="B55" s="2" t="str">
        <f>Penghasilan!B31</f>
        <v>3523151403060769</v>
      </c>
      <c r="C55" s="2" t="s">
        <v>107</v>
      </c>
      <c r="D55" s="11" t="s">
        <v>92</v>
      </c>
      <c r="E55" s="28" t="str">
        <f>'B.kriteria &amp; R.kecocokan'!$B$25</f>
        <v>Sedikit</v>
      </c>
      <c r="F55" s="9" t="str">
        <f>'B.kriteria &amp; R.kecocokan'!$B$34</f>
        <v>Tinggi</v>
      </c>
      <c r="G55" s="8" t="str">
        <f>'B.kriteria &amp; R.kecocokan'!$B$41</f>
        <v>Rendah</v>
      </c>
      <c r="H55" s="8" t="str">
        <f>'B.kriteria &amp; R.kecocokan'!$B$72</f>
        <v>Rendah</v>
      </c>
      <c r="I55" s="8" t="str">
        <f>'B.kriteria &amp; R.kecocokan'!$B$95</f>
        <v>Rendah</v>
      </c>
      <c r="J55" s="8" t="str">
        <f>'B.kriteria &amp; R.kecocokan'!$B$80</f>
        <v>Rendah</v>
      </c>
      <c r="K55" s="8" t="str">
        <f>'B.kriteria &amp; R.kecocokan'!$B$89</f>
        <v>Sedikit</v>
      </c>
      <c r="L55" s="8" t="str">
        <f>'B.kriteria &amp; R.kecocokan'!$B$49</f>
        <v>Rendah</v>
      </c>
      <c r="M55" s="8" t="str">
        <f>'B.kriteria &amp; R.kecocokan'!$B$57</f>
        <v>Rendah</v>
      </c>
      <c r="N55" s="51" t="str">
        <f>'B.kriteria &amp; R.kecocokan'!$B$65</f>
        <v>Rendah</v>
      </c>
      <c r="O55" s="9" t="s">
        <v>347</v>
      </c>
      <c r="P55" s="17"/>
    </row>
    <row r="56" spans="1:16" x14ac:dyDescent="0.35">
      <c r="A56" s="1">
        <v>53</v>
      </c>
      <c r="B56" s="2" t="str">
        <f>Penghasilan!B33</f>
        <v>3523151403060778</v>
      </c>
      <c r="C56" s="2" t="s">
        <v>109</v>
      </c>
      <c r="D56" s="11" t="s">
        <v>95</v>
      </c>
      <c r="E56" s="9" t="str">
        <f>'B.kriteria &amp; R.kecocokan'!$B$23</f>
        <v>Banyak</v>
      </c>
      <c r="F56" s="9" t="str">
        <f>'B.kriteria &amp; R.kecocokan'!$B$34</f>
        <v>Tinggi</v>
      </c>
      <c r="G56" s="8" t="str">
        <f>'B.kriteria &amp; R.kecocokan'!$B$41</f>
        <v>Rendah</v>
      </c>
      <c r="H56" s="8" t="str">
        <f>'B.kriteria &amp; R.kecocokan'!$B$72</f>
        <v>Rendah</v>
      </c>
      <c r="I56" s="8" t="str">
        <f>'B.kriteria &amp; R.kecocokan'!$B$95</f>
        <v>Rendah</v>
      </c>
      <c r="J56" s="8" t="str">
        <f>'B.kriteria &amp; R.kecocokan'!$B$80</f>
        <v>Rendah</v>
      </c>
      <c r="K56" s="9" t="str">
        <f>'B.kriteria &amp; R.kecocokan'!$B$88</f>
        <v>Sedang</v>
      </c>
      <c r="L56" s="8" t="str">
        <f>'B.kriteria &amp; R.kecocokan'!$B$49</f>
        <v>Rendah</v>
      </c>
      <c r="M56" s="8" t="str">
        <f>'B.kriteria &amp; R.kecocokan'!$B$57</f>
        <v>Rendah</v>
      </c>
      <c r="N56" s="51" t="str">
        <f>'B.kriteria &amp; R.kecocokan'!$B$65</f>
        <v>Rendah</v>
      </c>
      <c r="O56" s="9" t="s">
        <v>347</v>
      </c>
      <c r="P56" s="17"/>
    </row>
    <row r="57" spans="1:16" x14ac:dyDescent="0.35">
      <c r="A57" s="5">
        <v>54</v>
      </c>
      <c r="B57" s="2" t="str">
        <f>Penghasilan!B29</f>
        <v>3523153112090187</v>
      </c>
      <c r="C57" s="2" t="s">
        <v>111</v>
      </c>
      <c r="D57" s="11" t="s">
        <v>92</v>
      </c>
      <c r="E57" s="9" t="str">
        <f>'B.kriteria &amp; R.kecocokan'!$B$23</f>
        <v>Banyak</v>
      </c>
      <c r="F57" s="9" t="str">
        <f>'B.kriteria &amp; R.kecocokan'!$B$34</f>
        <v>Tinggi</v>
      </c>
      <c r="G57" s="8" t="str">
        <f>'B.kriteria &amp; R.kecocokan'!$B$41</f>
        <v>Rendah</v>
      </c>
      <c r="H57" s="8" t="str">
        <f>'B.kriteria &amp; R.kecocokan'!$B$72</f>
        <v>Rendah</v>
      </c>
      <c r="I57" s="8" t="str">
        <f>'B.kriteria &amp; R.kecocokan'!$B$95</f>
        <v>Rendah</v>
      </c>
      <c r="J57" s="8" t="str">
        <f>'B.kriteria &amp; R.kecocokan'!$B$80</f>
        <v>Rendah</v>
      </c>
      <c r="K57" s="8" t="str">
        <f>'B.kriteria &amp; R.kecocokan'!$B$89</f>
        <v>Sedikit</v>
      </c>
      <c r="L57" s="8" t="str">
        <f>'B.kriteria &amp; R.kecocokan'!$B$49</f>
        <v>Rendah</v>
      </c>
      <c r="M57" s="8" t="str">
        <f>'B.kriteria &amp; R.kecocokan'!$B$57</f>
        <v>Rendah</v>
      </c>
      <c r="N57" s="51" t="str">
        <f>'B.kriteria &amp; R.kecocokan'!$B$65</f>
        <v>Rendah</v>
      </c>
      <c r="O57" s="9" t="s">
        <v>347</v>
      </c>
      <c r="P57" s="17"/>
    </row>
    <row r="58" spans="1:16" x14ac:dyDescent="0.35">
      <c r="A58" s="5">
        <v>55</v>
      </c>
      <c r="B58" s="2" t="str">
        <f>Penghasilan!B41</f>
        <v>3523153004190006</v>
      </c>
      <c r="C58" s="2" t="s">
        <v>113</v>
      </c>
      <c r="D58" s="11" t="s">
        <v>92</v>
      </c>
      <c r="E58" s="28" t="str">
        <f>'B.kriteria &amp; R.kecocokan'!$B$25</f>
        <v>Sedikit</v>
      </c>
      <c r="F58" s="9" t="str">
        <f>'B.kriteria &amp; R.kecocokan'!$B$34</f>
        <v>Tinggi</v>
      </c>
      <c r="G58" s="9" t="str">
        <f>'B.kriteria &amp; R.kecocokan'!$B$43</f>
        <v>Tinggi</v>
      </c>
      <c r="H58" s="8" t="str">
        <f>'B.kriteria &amp; R.kecocokan'!$B$72</f>
        <v>Rendah</v>
      </c>
      <c r="I58" s="8" t="str">
        <f>'B.kriteria &amp; R.kecocokan'!$B$95</f>
        <v>Rendah</v>
      </c>
      <c r="J58" s="8" t="str">
        <f>'B.kriteria &amp; R.kecocokan'!$B$80</f>
        <v>Rendah</v>
      </c>
      <c r="K58" s="8" t="str">
        <f>'B.kriteria &amp; R.kecocokan'!$B$89</f>
        <v>Sedikit</v>
      </c>
      <c r="L58" s="8" t="str">
        <f>'B.kriteria &amp; R.kecocokan'!$B$49</f>
        <v>Rendah</v>
      </c>
      <c r="M58" s="8" t="str">
        <f>'B.kriteria &amp; R.kecocokan'!$B$57</f>
        <v>Rendah</v>
      </c>
      <c r="N58" s="51" t="str">
        <f>'B.kriteria &amp; R.kecocokan'!$B$65</f>
        <v>Rendah</v>
      </c>
      <c r="O58" s="9" t="s">
        <v>347</v>
      </c>
      <c r="P58" s="17"/>
    </row>
    <row r="59" spans="1:16" x14ac:dyDescent="0.35">
      <c r="A59" s="1">
        <v>56</v>
      </c>
      <c r="B59" s="2" t="str">
        <f>Penghasilan!B42</f>
        <v>3523151309090188</v>
      </c>
      <c r="C59" s="2" t="s">
        <v>114</v>
      </c>
      <c r="D59" s="11" t="s">
        <v>95</v>
      </c>
      <c r="E59" s="9" t="str">
        <f>'B.kriteria &amp; R.kecocokan'!$B$23</f>
        <v>Banyak</v>
      </c>
      <c r="F59" s="9" t="str">
        <f>'B.kriteria &amp; R.kecocokan'!$B$34</f>
        <v>Tinggi</v>
      </c>
      <c r="G59" s="8" t="str">
        <f>'B.kriteria &amp; R.kecocokan'!$B$41</f>
        <v>Rendah</v>
      </c>
      <c r="H59" s="8" t="str">
        <f>'B.kriteria &amp; R.kecocokan'!$B$72</f>
        <v>Rendah</v>
      </c>
      <c r="I59" s="8" t="str">
        <f>'B.kriteria &amp; R.kecocokan'!$B$95</f>
        <v>Rendah</v>
      </c>
      <c r="J59" s="9" t="str">
        <f>'B.kriteria &amp; R.kecocokan'!$B$81</f>
        <v>Tinggi</v>
      </c>
      <c r="K59" s="9" t="str">
        <f>'B.kriteria &amp; R.kecocokan'!$B$90</f>
        <v>Sangat Sedikit</v>
      </c>
      <c r="L59" s="8" t="str">
        <f>'B.kriteria &amp; R.kecocokan'!$B$49</f>
        <v>Rendah</v>
      </c>
      <c r="M59" s="8" t="str">
        <f>'B.kriteria &amp; R.kecocokan'!$B$57</f>
        <v>Rendah</v>
      </c>
      <c r="N59" s="51" t="str">
        <f>'B.kriteria &amp; R.kecocokan'!$B$65</f>
        <v>Rendah</v>
      </c>
      <c r="O59" s="9" t="s">
        <v>347</v>
      </c>
      <c r="P59" s="17"/>
    </row>
    <row r="60" spans="1:16" x14ac:dyDescent="0.35">
      <c r="A60" s="5">
        <v>57</v>
      </c>
      <c r="B60" s="2" t="str">
        <f>Penghasilan!B43</f>
        <v>3523152405190001</v>
      </c>
      <c r="C60" s="2" t="s">
        <v>116</v>
      </c>
      <c r="D60" s="11" t="s">
        <v>92</v>
      </c>
      <c r="E60" s="9" t="str">
        <f>'B.kriteria &amp; R.kecocokan'!$B$23</f>
        <v>Banyak</v>
      </c>
      <c r="F60" s="9" t="str">
        <f>'B.kriteria &amp; R.kecocokan'!$B$34</f>
        <v>Tinggi</v>
      </c>
      <c r="G60" s="8" t="str">
        <f>'B.kriteria &amp; R.kecocokan'!$B$41</f>
        <v>Rendah</v>
      </c>
      <c r="H60" s="8" t="str">
        <f>'B.kriteria &amp; R.kecocokan'!$B$72</f>
        <v>Rendah</v>
      </c>
      <c r="I60" s="8" t="str">
        <f>'B.kriteria &amp; R.kecocokan'!$B$95</f>
        <v>Rendah</v>
      </c>
      <c r="J60" s="8" t="str">
        <f>'B.kriteria &amp; R.kecocokan'!$B$80</f>
        <v>Rendah</v>
      </c>
      <c r="K60" s="9" t="str">
        <f>'B.kriteria &amp; R.kecocokan'!$B$88</f>
        <v>Sedang</v>
      </c>
      <c r="L60" s="8" t="str">
        <f>'B.kriteria &amp; R.kecocokan'!$B$49</f>
        <v>Rendah</v>
      </c>
      <c r="M60" s="8" t="str">
        <f>'B.kriteria &amp; R.kecocokan'!$B$57</f>
        <v>Rendah</v>
      </c>
      <c r="N60" s="51" t="str">
        <f>'B.kriteria &amp; R.kecocokan'!$B$65</f>
        <v>Rendah</v>
      </c>
      <c r="O60" s="9" t="s">
        <v>347</v>
      </c>
      <c r="P60" s="17"/>
    </row>
    <row r="61" spans="1:16" x14ac:dyDescent="0.35">
      <c r="A61" s="5">
        <v>58</v>
      </c>
      <c r="B61" s="2" t="str">
        <f>Penghasilan!B44</f>
        <v>3523151403060777</v>
      </c>
      <c r="C61" s="2" t="s">
        <v>230</v>
      </c>
      <c r="D61" s="11" t="s">
        <v>92</v>
      </c>
      <c r="E61" s="28" t="str">
        <f>'B.kriteria &amp; R.kecocokan'!$B$25</f>
        <v>Sedikit</v>
      </c>
      <c r="F61" s="9" t="str">
        <f>'B.kriteria &amp; R.kecocokan'!$B$34</f>
        <v>Tinggi</v>
      </c>
      <c r="G61" s="8" t="str">
        <f>'B.kriteria &amp; R.kecocokan'!$B$41</f>
        <v>Rendah</v>
      </c>
      <c r="H61" s="8" t="str">
        <f>'B.kriteria &amp; R.kecocokan'!$B$72</f>
        <v>Rendah</v>
      </c>
      <c r="I61" s="8" t="str">
        <f>'B.kriteria &amp; R.kecocokan'!$B$95</f>
        <v>Rendah</v>
      </c>
      <c r="J61" s="8" t="str">
        <f>'B.kriteria &amp; R.kecocokan'!$B$80</f>
        <v>Rendah</v>
      </c>
      <c r="K61" s="9" t="str">
        <f>'B.kriteria &amp; R.kecocokan'!$B$88</f>
        <v>Sedang</v>
      </c>
      <c r="L61" s="8" t="str">
        <f>'B.kriteria &amp; R.kecocokan'!$B$49</f>
        <v>Rendah</v>
      </c>
      <c r="M61" s="8" t="str">
        <f>'B.kriteria &amp; R.kecocokan'!$B$57</f>
        <v>Rendah</v>
      </c>
      <c r="N61" s="51" t="str">
        <f>'B.kriteria &amp; R.kecocokan'!$B$65</f>
        <v>Rendah</v>
      </c>
      <c r="O61" s="9" t="s">
        <v>347</v>
      </c>
      <c r="P61" s="17"/>
    </row>
    <row r="62" spans="1:16" x14ac:dyDescent="0.35">
      <c r="A62" s="1">
        <v>59</v>
      </c>
      <c r="B62" s="2" t="str">
        <f>Penghasilan!B45</f>
        <v>3523151309090177</v>
      </c>
      <c r="C62" s="2" t="s">
        <v>118</v>
      </c>
      <c r="D62" s="11" t="s">
        <v>92</v>
      </c>
      <c r="E62" s="9" t="str">
        <f>'B.kriteria &amp; R.kecocokan'!$B$23</f>
        <v>Banyak</v>
      </c>
      <c r="F62" s="9" t="str">
        <f>'B.kriteria &amp; R.kecocokan'!$B$34</f>
        <v>Tinggi</v>
      </c>
      <c r="G62" s="8" t="str">
        <f>'B.kriteria &amp; R.kecocokan'!$B$41</f>
        <v>Rendah</v>
      </c>
      <c r="H62" s="8" t="str">
        <f>'B.kriteria &amp; R.kecocokan'!$B$72</f>
        <v>Rendah</v>
      </c>
      <c r="I62" s="8" t="str">
        <f>'B.kriteria &amp; R.kecocokan'!$B$95</f>
        <v>Rendah</v>
      </c>
      <c r="J62" s="8" t="str">
        <f>'B.kriteria &amp; R.kecocokan'!$B$80</f>
        <v>Rendah</v>
      </c>
      <c r="K62" s="9" t="str">
        <f>'B.kriteria &amp; R.kecocokan'!$B$90</f>
        <v>Sangat Sedikit</v>
      </c>
      <c r="L62" s="8" t="str">
        <f>'B.kriteria &amp; R.kecocokan'!$B$49</f>
        <v>Rendah</v>
      </c>
      <c r="M62" s="8" t="str">
        <f>'B.kriteria &amp; R.kecocokan'!$B$57</f>
        <v>Rendah</v>
      </c>
      <c r="N62" s="51" t="str">
        <f>'B.kriteria &amp; R.kecocokan'!$B$65</f>
        <v>Rendah</v>
      </c>
      <c r="O62" s="9" t="s">
        <v>347</v>
      </c>
      <c r="P62" s="17"/>
    </row>
    <row r="63" spans="1:16" x14ac:dyDescent="0.35">
      <c r="A63" s="5">
        <v>60</v>
      </c>
      <c r="B63" s="2" t="str">
        <f>Penghasilan!B46</f>
        <v>3523151403060771</v>
      </c>
      <c r="C63" s="2" t="s">
        <v>203</v>
      </c>
      <c r="D63" s="11" t="s">
        <v>95</v>
      </c>
      <c r="E63" s="28" t="str">
        <f>'B.kriteria &amp; R.kecocokan'!$B$25</f>
        <v>Sedikit</v>
      </c>
      <c r="F63" s="9" t="str">
        <f>'B.kriteria &amp; R.kecocokan'!$B$34</f>
        <v>Tinggi</v>
      </c>
      <c r="G63" s="8" t="str">
        <f>'B.kriteria &amp; R.kecocokan'!$B$41</f>
        <v>Rendah</v>
      </c>
      <c r="H63" s="8" t="str">
        <f>'B.kriteria &amp; R.kecocokan'!$B$72</f>
        <v>Rendah</v>
      </c>
      <c r="I63" s="8" t="str">
        <f>'B.kriteria &amp; R.kecocokan'!$B$95</f>
        <v>Rendah</v>
      </c>
      <c r="J63" s="9" t="str">
        <f>'B.kriteria &amp; R.kecocokan'!$B$81</f>
        <v>Tinggi</v>
      </c>
      <c r="K63" s="9" t="str">
        <f>'B.kriteria &amp; R.kecocokan'!$B$90</f>
        <v>Sangat Sedikit</v>
      </c>
      <c r="L63" s="8" t="str">
        <f>'B.kriteria &amp; R.kecocokan'!$B$49</f>
        <v>Rendah</v>
      </c>
      <c r="M63" s="8" t="str">
        <f>'B.kriteria &amp; R.kecocokan'!$B$57</f>
        <v>Rendah</v>
      </c>
      <c r="N63" s="51" t="str">
        <f>'B.kriteria &amp; R.kecocokan'!$B$65</f>
        <v>Rendah</v>
      </c>
      <c r="O63" s="9" t="s">
        <v>347</v>
      </c>
      <c r="P63" s="17"/>
    </row>
    <row r="64" spans="1:16" x14ac:dyDescent="0.35">
      <c r="A64" s="5">
        <v>61</v>
      </c>
      <c r="B64" s="2" t="str">
        <f>Penghasilan!B6</f>
        <v>3523151309090184</v>
      </c>
      <c r="C64" s="2" t="s">
        <v>123</v>
      </c>
      <c r="D64" s="11" t="s">
        <v>95</v>
      </c>
      <c r="E64" s="28" t="str">
        <f>'B.kriteria &amp; R.kecocokan'!$B$25</f>
        <v>Sedikit</v>
      </c>
      <c r="F64" s="9" t="str">
        <f>'B.kriteria &amp; R.kecocokan'!$B$34</f>
        <v>Tinggi</v>
      </c>
      <c r="G64" s="8" t="str">
        <f>'B.kriteria &amp; R.kecocokan'!$B$41</f>
        <v>Rendah</v>
      </c>
      <c r="H64" s="8" t="str">
        <f>'B.kriteria &amp; R.kecocokan'!$B$72</f>
        <v>Rendah</v>
      </c>
      <c r="I64" s="8" t="str">
        <f>'B.kriteria &amp; R.kecocokan'!$B$95</f>
        <v>Rendah</v>
      </c>
      <c r="J64" s="8" t="str">
        <f>'B.kriteria &amp; R.kecocokan'!$B$80</f>
        <v>Rendah</v>
      </c>
      <c r="K64" s="8" t="str">
        <f>'B.kriteria &amp; R.kecocokan'!$B$89</f>
        <v>Sedikit</v>
      </c>
      <c r="L64" s="8" t="str">
        <f>'B.kriteria &amp; R.kecocokan'!$B$49</f>
        <v>Rendah</v>
      </c>
      <c r="M64" s="8" t="str">
        <f>'B.kriteria &amp; R.kecocokan'!$B$57</f>
        <v>Rendah</v>
      </c>
      <c r="N64" s="51" t="str">
        <f>'B.kriteria &amp; R.kecocokan'!$B$65</f>
        <v>Rendah</v>
      </c>
      <c r="O64" s="9" t="s">
        <v>347</v>
      </c>
      <c r="P64" s="17"/>
    </row>
    <row r="65" spans="1:16" x14ac:dyDescent="0.35">
      <c r="A65" s="1">
        <v>62</v>
      </c>
      <c r="B65" s="2" t="str">
        <f>Penghasilan!B47</f>
        <v>3523151309090182</v>
      </c>
      <c r="C65" s="2" t="s">
        <v>233</v>
      </c>
      <c r="D65" s="11" t="s">
        <v>95</v>
      </c>
      <c r="E65" s="28" t="str">
        <f>'B.kriteria &amp; R.kecocokan'!$B$25</f>
        <v>Sedikit</v>
      </c>
      <c r="F65" s="9" t="str">
        <f>'B.kriteria &amp; R.kecocokan'!$B$34</f>
        <v>Tinggi</v>
      </c>
      <c r="G65" s="8" t="str">
        <f>'B.kriteria &amp; R.kecocokan'!$B$41</f>
        <v>Rendah</v>
      </c>
      <c r="H65" s="8" t="str">
        <f>'B.kriteria &amp; R.kecocokan'!$B$72</f>
        <v>Rendah</v>
      </c>
      <c r="I65" s="8" t="str">
        <f>'B.kriteria &amp; R.kecocokan'!$B$95</f>
        <v>Rendah</v>
      </c>
      <c r="J65" s="9" t="str">
        <f>'B.kriteria &amp; R.kecocokan'!$B$81</f>
        <v>Tinggi</v>
      </c>
      <c r="K65" s="9" t="str">
        <f>'B.kriteria &amp; R.kecocokan'!$B$90</f>
        <v>Sangat Sedikit</v>
      </c>
      <c r="L65" s="8" t="str">
        <f>'B.kriteria &amp; R.kecocokan'!$B$49</f>
        <v>Rendah</v>
      </c>
      <c r="M65" s="8" t="str">
        <f>'B.kriteria &amp; R.kecocokan'!$B$57</f>
        <v>Rendah</v>
      </c>
      <c r="N65" s="51" t="str">
        <f>'B.kriteria &amp; R.kecocokan'!$B$65</f>
        <v>Rendah</v>
      </c>
      <c r="O65" s="9" t="s">
        <v>349</v>
      </c>
      <c r="P65" s="17"/>
    </row>
    <row r="66" spans="1:16" x14ac:dyDescent="0.35">
      <c r="A66" s="5">
        <v>63</v>
      </c>
      <c r="B66" s="2" t="str">
        <f>Penghasilan!B50</f>
        <v>3523152212160003</v>
      </c>
      <c r="C66" s="2" t="s">
        <v>211</v>
      </c>
      <c r="D66" s="11" t="s">
        <v>95</v>
      </c>
      <c r="E66" s="9" t="str">
        <f>'B.kriteria &amp; R.kecocokan'!$B$23</f>
        <v>Banyak</v>
      </c>
      <c r="F66" s="9" t="str">
        <f>'B.kriteria &amp; R.kecocokan'!$B$34</f>
        <v>Tinggi</v>
      </c>
      <c r="G66" s="8" t="str">
        <f>'B.kriteria &amp; R.kecocokan'!$B$41</f>
        <v>Rendah</v>
      </c>
      <c r="H66" s="8" t="str">
        <f>'B.kriteria &amp; R.kecocokan'!$B$72</f>
        <v>Rendah</v>
      </c>
      <c r="I66" s="8" t="str">
        <f>'B.kriteria &amp; R.kecocokan'!$B$95</f>
        <v>Rendah</v>
      </c>
      <c r="J66" s="9" t="str">
        <f>'B.kriteria &amp; R.kecocokan'!$B$81</f>
        <v>Tinggi</v>
      </c>
      <c r="K66" s="9" t="str">
        <f>'B.kriteria &amp; R.kecocokan'!$B$90</f>
        <v>Sangat Sedikit</v>
      </c>
      <c r="L66" s="8" t="str">
        <f>'B.kriteria &amp; R.kecocokan'!$B$49</f>
        <v>Rendah</v>
      </c>
      <c r="M66" s="8" t="str">
        <f>'B.kriteria &amp; R.kecocokan'!$B$57</f>
        <v>Rendah</v>
      </c>
      <c r="N66" s="51" t="str">
        <f>'B.kriteria &amp; R.kecocokan'!$B$65</f>
        <v>Rendah</v>
      </c>
      <c r="O66" s="9" t="s">
        <v>347</v>
      </c>
      <c r="P66" s="17"/>
    </row>
    <row r="67" spans="1:16" x14ac:dyDescent="0.35">
      <c r="A67" s="5">
        <v>64</v>
      </c>
      <c r="B67" s="2" t="str">
        <f>Penghasilan!B48</f>
        <v>3523151403060776</v>
      </c>
      <c r="C67" s="2" t="s">
        <v>207</v>
      </c>
      <c r="D67" s="11" t="s">
        <v>235</v>
      </c>
      <c r="E67" s="28" t="str">
        <f>'B.kriteria &amp; R.kecocokan'!$B$25</f>
        <v>Sedikit</v>
      </c>
      <c r="F67" s="9" t="str">
        <f>'B.kriteria &amp; R.kecocokan'!$B$34</f>
        <v>Tinggi</v>
      </c>
      <c r="G67" s="8" t="str">
        <f>'B.kriteria &amp; R.kecocokan'!$B$41</f>
        <v>Rendah</v>
      </c>
      <c r="H67" s="8" t="str">
        <f>'B.kriteria &amp; R.kecocokan'!$B$72</f>
        <v>Rendah</v>
      </c>
      <c r="I67" s="8" t="str">
        <f>'B.kriteria &amp; R.kecocokan'!$B$95</f>
        <v>Rendah</v>
      </c>
      <c r="J67" s="9" t="str">
        <f>'B.kriteria &amp; R.kecocokan'!$B$81</f>
        <v>Tinggi</v>
      </c>
      <c r="K67" s="9" t="str">
        <f>'B.kriteria &amp; R.kecocokan'!$B$90</f>
        <v>Sangat Sedikit</v>
      </c>
      <c r="L67" s="8" t="str">
        <f>'B.kriteria &amp; R.kecocokan'!$B$49</f>
        <v>Rendah</v>
      </c>
      <c r="M67" s="8" t="str">
        <f>'B.kriteria &amp; R.kecocokan'!$B$57</f>
        <v>Rendah</v>
      </c>
      <c r="N67" s="51" t="str">
        <f>'B.kriteria &amp; R.kecocokan'!$B$65</f>
        <v>Rendah</v>
      </c>
      <c r="O67" s="9" t="s">
        <v>347</v>
      </c>
      <c r="P67" s="17"/>
    </row>
    <row r="68" spans="1:16" x14ac:dyDescent="0.35">
      <c r="A68" s="1">
        <v>65</v>
      </c>
      <c r="B68" s="2" t="str">
        <f>Penghasilan!B49</f>
        <v>3523152101140003</v>
      </c>
      <c r="C68" s="2" t="s">
        <v>209</v>
      </c>
      <c r="D68" s="11" t="s">
        <v>95</v>
      </c>
      <c r="E68" s="9" t="str">
        <f>'B.kriteria &amp; R.kecocokan'!$B$23</f>
        <v>Banyak</v>
      </c>
      <c r="F68" s="9" t="str">
        <f>'B.kriteria &amp; R.kecocokan'!$B$34</f>
        <v>Tinggi</v>
      </c>
      <c r="G68" s="8" t="str">
        <f>'B.kriteria &amp; R.kecocokan'!$B$41</f>
        <v>Rendah</v>
      </c>
      <c r="H68" s="8" t="str">
        <f>'B.kriteria &amp; R.kecocokan'!$B$72</f>
        <v>Rendah</v>
      </c>
      <c r="I68" s="8" t="str">
        <f>'B.kriteria &amp; R.kecocokan'!$B$95</f>
        <v>Rendah</v>
      </c>
      <c r="J68" s="8" t="str">
        <f>'B.kriteria &amp; R.kecocokan'!$B$80</f>
        <v>Rendah</v>
      </c>
      <c r="K68" s="8" t="str">
        <f>'B.kriteria &amp; R.kecocokan'!$B$89</f>
        <v>Sedikit</v>
      </c>
      <c r="L68" s="8" t="str">
        <f>'B.kriteria &amp; R.kecocokan'!$B$49</f>
        <v>Rendah</v>
      </c>
      <c r="M68" s="8" t="str">
        <f>'B.kriteria &amp; R.kecocokan'!$B$57</f>
        <v>Rendah</v>
      </c>
      <c r="N68" s="51" t="str">
        <f>'B.kriteria &amp; R.kecocokan'!$B$65</f>
        <v>Rendah</v>
      </c>
      <c r="O68" s="9" t="s">
        <v>347</v>
      </c>
      <c r="P68" s="17"/>
    </row>
    <row r="69" spans="1:16" x14ac:dyDescent="0.35">
      <c r="A69" s="5">
        <v>66</v>
      </c>
      <c r="B69" s="2" t="str">
        <f>Penghasilan!B51</f>
        <v>3523151403063105</v>
      </c>
      <c r="C69" s="2" t="s">
        <v>213</v>
      </c>
      <c r="D69" s="11" t="s">
        <v>95</v>
      </c>
      <c r="E69" s="9" t="str">
        <f>'B.kriteria &amp; R.kecocokan'!$B$23</f>
        <v>Banyak</v>
      </c>
      <c r="F69" s="9" t="str">
        <f>'B.kriteria &amp; R.kecocokan'!$B$34</f>
        <v>Tinggi</v>
      </c>
      <c r="G69" s="8" t="str">
        <f>'B.kriteria &amp; R.kecocokan'!$B$41</f>
        <v>Rendah</v>
      </c>
      <c r="H69" s="8" t="str">
        <f>'B.kriteria &amp; R.kecocokan'!$B$72</f>
        <v>Rendah</v>
      </c>
      <c r="I69" s="8" t="str">
        <f>'B.kriteria &amp; R.kecocokan'!$B$95</f>
        <v>Rendah</v>
      </c>
      <c r="J69" s="8" t="str">
        <f>'B.kriteria &amp; R.kecocokan'!$B$80</f>
        <v>Rendah</v>
      </c>
      <c r="K69" s="8" t="str">
        <f>'B.kriteria &amp; R.kecocokan'!$B$89</f>
        <v>Sedikit</v>
      </c>
      <c r="L69" s="8" t="str">
        <f>'B.kriteria &amp; R.kecocokan'!$B$49</f>
        <v>Rendah</v>
      </c>
      <c r="M69" s="8" t="str">
        <f>'B.kriteria &amp; R.kecocokan'!$B$57</f>
        <v>Rendah</v>
      </c>
      <c r="N69" s="51" t="str">
        <f>'B.kriteria &amp; R.kecocokan'!$B$65</f>
        <v>Rendah</v>
      </c>
      <c r="O69" s="9" t="s">
        <v>347</v>
      </c>
      <c r="P69" s="17"/>
    </row>
    <row r="70" spans="1:16" x14ac:dyDescent="0.35">
      <c r="A70" s="5">
        <v>67</v>
      </c>
      <c r="B70" s="2" t="str">
        <f>Penghasilan!B52</f>
        <v>3523152207170003</v>
      </c>
      <c r="C70" s="2" t="s">
        <v>215</v>
      </c>
      <c r="D70" s="11" t="s">
        <v>95</v>
      </c>
      <c r="E70" s="32" t="str">
        <f>'B.kriteria &amp; R.kecocokan'!$B$24</f>
        <v>Cukup</v>
      </c>
      <c r="F70" s="9" t="str">
        <f>'B.kriteria &amp; R.kecocokan'!$B$34</f>
        <v>Tinggi</v>
      </c>
      <c r="G70" s="8" t="str">
        <f>'B.kriteria &amp; R.kecocokan'!$B$41</f>
        <v>Rendah</v>
      </c>
      <c r="H70" s="8" t="str">
        <f>'B.kriteria &amp; R.kecocokan'!$B$72</f>
        <v>Rendah</v>
      </c>
      <c r="I70" s="8" t="str">
        <f>'B.kriteria &amp; R.kecocokan'!$B$95</f>
        <v>Rendah</v>
      </c>
      <c r="J70" s="8" t="str">
        <f>'B.kriteria &amp; R.kecocokan'!$B$80</f>
        <v>Rendah</v>
      </c>
      <c r="K70" s="8" t="str">
        <f>'B.kriteria &amp; R.kecocokan'!$B$89</f>
        <v>Sedikit</v>
      </c>
      <c r="L70" s="8" t="str">
        <f>'B.kriteria &amp; R.kecocokan'!$B$49</f>
        <v>Rendah</v>
      </c>
      <c r="M70" s="8" t="str">
        <f>'B.kriteria &amp; R.kecocokan'!$B$57</f>
        <v>Rendah</v>
      </c>
      <c r="N70" s="51" t="str">
        <f>'B.kriteria &amp; R.kecocokan'!$B$65</f>
        <v>Rendah</v>
      </c>
      <c r="O70" s="9" t="s">
        <v>347</v>
      </c>
      <c r="P70" s="17"/>
    </row>
    <row r="71" spans="1:16" x14ac:dyDescent="0.35">
      <c r="A71" s="1">
        <v>68</v>
      </c>
      <c r="B71" s="2" t="str">
        <f>Penghasilan!B53</f>
        <v>3523151403060757</v>
      </c>
      <c r="C71" s="2" t="s">
        <v>239</v>
      </c>
      <c r="D71" s="11" t="s">
        <v>92</v>
      </c>
      <c r="E71" s="32" t="str">
        <f>'B.kriteria &amp; R.kecocokan'!$B$24</f>
        <v>Cukup</v>
      </c>
      <c r="F71" s="9" t="str">
        <f>'B.kriteria &amp; R.kecocokan'!$B$34</f>
        <v>Tinggi</v>
      </c>
      <c r="G71" s="8" t="str">
        <f>'B.kriteria &amp; R.kecocokan'!$B$41</f>
        <v>Rendah</v>
      </c>
      <c r="H71" s="8" t="str">
        <f>'B.kriteria &amp; R.kecocokan'!$B$72</f>
        <v>Rendah</v>
      </c>
      <c r="I71" s="8" t="str">
        <f>'B.kriteria &amp; R.kecocokan'!$B$95</f>
        <v>Rendah</v>
      </c>
      <c r="J71" s="8" t="str">
        <f>'B.kriteria &amp; R.kecocokan'!$B$80</f>
        <v>Rendah</v>
      </c>
      <c r="K71" s="8" t="str">
        <f>'B.kriteria &amp; R.kecocokan'!$B$89</f>
        <v>Sedikit</v>
      </c>
      <c r="L71" s="8" t="str">
        <f>'B.kriteria &amp; R.kecocokan'!$B$49</f>
        <v>Rendah</v>
      </c>
      <c r="M71" s="8" t="str">
        <f>'B.kriteria &amp; R.kecocokan'!$B$57</f>
        <v>Rendah</v>
      </c>
      <c r="N71" s="51" t="str">
        <f>'B.kriteria &amp; R.kecocokan'!$B$65</f>
        <v>Rendah</v>
      </c>
      <c r="O71" s="9" t="s">
        <v>347</v>
      </c>
      <c r="P71" s="17"/>
    </row>
    <row r="72" spans="1:16" x14ac:dyDescent="0.35">
      <c r="A72" s="5">
        <v>69</v>
      </c>
      <c r="B72" s="2" t="str">
        <f>Penghasilan!B55</f>
        <v>3523151309090179</v>
      </c>
      <c r="C72" s="2" t="s">
        <v>221</v>
      </c>
      <c r="D72" s="11" t="s">
        <v>240</v>
      </c>
      <c r="E72" s="28" t="str">
        <f>'B.kriteria &amp; R.kecocokan'!$B$25</f>
        <v>Sedikit</v>
      </c>
      <c r="F72" s="9" t="str">
        <f>'B.kriteria &amp; R.kecocokan'!$B$34</f>
        <v>Tinggi</v>
      </c>
      <c r="G72" s="8" t="str">
        <f>'B.kriteria &amp; R.kecocokan'!$B$41</f>
        <v>Rendah</v>
      </c>
      <c r="H72" s="8" t="str">
        <f>'B.kriteria &amp; R.kecocokan'!$B$72</f>
        <v>Rendah</v>
      </c>
      <c r="I72" s="8" t="str">
        <f>'B.kriteria &amp; R.kecocokan'!$B$95</f>
        <v>Rendah</v>
      </c>
      <c r="J72" s="9" t="str">
        <f>'B.kriteria &amp; R.kecocokan'!$B$81</f>
        <v>Tinggi</v>
      </c>
      <c r="K72" s="9" t="str">
        <f>'B.kriteria &amp; R.kecocokan'!$B$90</f>
        <v>Sangat Sedikit</v>
      </c>
      <c r="L72" s="8" t="str">
        <f>'B.kriteria &amp; R.kecocokan'!$B$49</f>
        <v>Rendah</v>
      </c>
      <c r="M72" s="8" t="str">
        <f>'B.kriteria &amp; R.kecocokan'!$B$57</f>
        <v>Rendah</v>
      </c>
      <c r="N72" s="51" t="str">
        <f>'B.kriteria &amp; R.kecocokan'!$B$65</f>
        <v>Rendah</v>
      </c>
      <c r="O72" s="9" t="s">
        <v>347</v>
      </c>
      <c r="P72" s="17"/>
    </row>
    <row r="73" spans="1:16" x14ac:dyDescent="0.35">
      <c r="A73" s="5">
        <v>70</v>
      </c>
      <c r="B73" s="2" t="str">
        <f>Penghasilan!B54</f>
        <v>3523151403064641</v>
      </c>
      <c r="C73" s="2" t="s">
        <v>219</v>
      </c>
      <c r="D73" s="11" t="s">
        <v>95</v>
      </c>
      <c r="E73" s="9" t="str">
        <f>'B.kriteria &amp; R.kecocokan'!$B$23</f>
        <v>Banyak</v>
      </c>
      <c r="F73" s="9" t="str">
        <f>'B.kriteria &amp; R.kecocokan'!$B$34</f>
        <v>Tinggi</v>
      </c>
      <c r="G73" s="8" t="str">
        <f>'B.kriteria &amp; R.kecocokan'!$B$41</f>
        <v>Rendah</v>
      </c>
      <c r="H73" s="8" t="str">
        <f>'B.kriteria &amp; R.kecocokan'!$B$72</f>
        <v>Rendah</v>
      </c>
      <c r="I73" s="8" t="str">
        <f>'B.kriteria &amp; R.kecocokan'!$B$95</f>
        <v>Rendah</v>
      </c>
      <c r="J73" s="8" t="str">
        <f>'B.kriteria &amp; R.kecocokan'!$B$80</f>
        <v>Rendah</v>
      </c>
      <c r="K73" s="9" t="str">
        <f>'B.kriteria &amp; R.kecocokan'!$B$88</f>
        <v>Sedang</v>
      </c>
      <c r="L73" s="8" t="str">
        <f>'B.kriteria &amp; R.kecocokan'!$B$49</f>
        <v>Rendah</v>
      </c>
      <c r="M73" s="8" t="str">
        <f>'B.kriteria &amp; R.kecocokan'!$B$57</f>
        <v>Rendah</v>
      </c>
      <c r="N73" s="51" t="str">
        <f>'B.kriteria &amp; R.kecocokan'!$B$65</f>
        <v>Rendah</v>
      </c>
      <c r="O73" s="9" t="s">
        <v>347</v>
      </c>
      <c r="P73" s="17"/>
    </row>
    <row r="74" spans="1:16" x14ac:dyDescent="0.35">
      <c r="A74" s="1">
        <v>71</v>
      </c>
      <c r="B74" s="2" t="str">
        <f>Penghasilan!B56</f>
        <v>3523151309090183</v>
      </c>
      <c r="C74" s="2" t="s">
        <v>241</v>
      </c>
      <c r="D74" s="11" t="s">
        <v>95</v>
      </c>
      <c r="E74" s="9" t="str">
        <f>'B.kriteria &amp; R.kecocokan'!$B$23</f>
        <v>Banyak</v>
      </c>
      <c r="F74" s="9" t="str">
        <f>'B.kriteria &amp; R.kecocokan'!$B$34</f>
        <v>Tinggi</v>
      </c>
      <c r="G74" s="8" t="str">
        <f>'B.kriteria &amp; R.kecocokan'!$B$41</f>
        <v>Rendah</v>
      </c>
      <c r="H74" s="8" t="str">
        <f>'B.kriteria &amp; R.kecocokan'!$B$72</f>
        <v>Rendah</v>
      </c>
      <c r="I74" s="8" t="str">
        <f>'B.kriteria &amp; R.kecocokan'!$B$95</f>
        <v>Rendah</v>
      </c>
      <c r="J74" s="8" t="str">
        <f>'B.kriteria &amp; R.kecocokan'!$B$80</f>
        <v>Rendah</v>
      </c>
      <c r="K74" s="9" t="str">
        <f>'B.kriteria &amp; R.kecocokan'!$B$88</f>
        <v>Sedang</v>
      </c>
      <c r="L74" s="8" t="str">
        <f>'B.kriteria &amp; R.kecocokan'!$B$49</f>
        <v>Rendah</v>
      </c>
      <c r="M74" s="8" t="str">
        <f>'B.kriteria &amp; R.kecocokan'!$B$57</f>
        <v>Rendah</v>
      </c>
      <c r="N74" s="51" t="str">
        <f>'B.kriteria &amp; R.kecocokan'!$B$65</f>
        <v>Rendah</v>
      </c>
      <c r="O74" s="9" t="s">
        <v>347</v>
      </c>
      <c r="P74" s="17"/>
    </row>
    <row r="75" spans="1:16" x14ac:dyDescent="0.35">
      <c r="A75" s="5">
        <v>72</v>
      </c>
      <c r="B75" s="2" t="str">
        <f>Penghasilan!B57</f>
        <v>3523152310180005</v>
      </c>
      <c r="C75" s="2" t="s">
        <v>225</v>
      </c>
      <c r="D75" s="11" t="s">
        <v>95</v>
      </c>
      <c r="E75" s="9" t="str">
        <f>'B.kriteria &amp; R.kecocokan'!$B$23</f>
        <v>Banyak</v>
      </c>
      <c r="F75" s="9" t="str">
        <f>'B.kriteria &amp; R.kecocokan'!$B$34</f>
        <v>Tinggi</v>
      </c>
      <c r="G75" s="8" t="str">
        <f>'B.kriteria &amp; R.kecocokan'!$B$41</f>
        <v>Rendah</v>
      </c>
      <c r="H75" s="8" t="str">
        <f>'B.kriteria &amp; R.kecocokan'!$B$72</f>
        <v>Rendah</v>
      </c>
      <c r="I75" s="8" t="str">
        <f>'B.kriteria &amp; R.kecocokan'!$B$95</f>
        <v>Rendah</v>
      </c>
      <c r="J75" s="9" t="str">
        <f>'B.kriteria &amp; R.kecocokan'!$B$81</f>
        <v>Tinggi</v>
      </c>
      <c r="K75" s="9" t="str">
        <f>'B.kriteria &amp; R.kecocokan'!$B$90</f>
        <v>Sangat Sedikit</v>
      </c>
      <c r="L75" s="8" t="str">
        <f>'B.kriteria &amp; R.kecocokan'!$B$49</f>
        <v>Rendah</v>
      </c>
      <c r="M75" s="8" t="str">
        <f>'B.kriteria &amp; R.kecocokan'!$B$57</f>
        <v>Rendah</v>
      </c>
      <c r="N75" s="51" t="str">
        <f>'B.kriteria &amp; R.kecocokan'!$B$65</f>
        <v>Rendah</v>
      </c>
      <c r="O75" s="9" t="s">
        <v>347</v>
      </c>
      <c r="P75" s="17"/>
    </row>
    <row r="76" spans="1:16" x14ac:dyDescent="0.35">
      <c r="A76" s="5">
        <v>73</v>
      </c>
      <c r="B76" s="2" t="str">
        <f>Penghasilan!B58</f>
        <v>3523151403060766</v>
      </c>
      <c r="C76" s="2" t="s">
        <v>227</v>
      </c>
      <c r="D76" s="11" t="s">
        <v>95</v>
      </c>
      <c r="E76" s="9" t="str">
        <f>'B.kriteria &amp; R.kecocokan'!$B$23</f>
        <v>Banyak</v>
      </c>
      <c r="F76" s="9" t="str">
        <f>'B.kriteria &amp; R.kecocokan'!$B$35</f>
        <v>Sangat Tinggi</v>
      </c>
      <c r="G76" s="8" t="str">
        <f>'B.kriteria &amp; R.kecocokan'!$B$41</f>
        <v>Rendah</v>
      </c>
      <c r="H76" s="8" t="str">
        <f>'B.kriteria &amp; R.kecocokan'!$B$72</f>
        <v>Rendah</v>
      </c>
      <c r="I76" s="8" t="str">
        <f>'B.kriteria &amp; R.kecocokan'!$B$95</f>
        <v>Rendah</v>
      </c>
      <c r="J76" s="8" t="str">
        <f>'B.kriteria &amp; R.kecocokan'!$B$80</f>
        <v>Rendah</v>
      </c>
      <c r="K76" s="9" t="str">
        <f>'B.kriteria &amp; R.kecocokan'!$B$90</f>
        <v>Sangat Sedikit</v>
      </c>
      <c r="L76" s="9" t="str">
        <f>'B.kriteria &amp; R.kecocokan'!$B$51</f>
        <v>Tinggi</v>
      </c>
      <c r="M76" s="8" t="str">
        <f>'B.kriteria &amp; R.kecocokan'!$B$57</f>
        <v>Rendah</v>
      </c>
      <c r="N76" s="51" t="str">
        <f>'B.kriteria &amp; R.kecocokan'!$B$65</f>
        <v>Rendah</v>
      </c>
      <c r="O76" s="9" t="s">
        <v>347</v>
      </c>
      <c r="P76" s="17"/>
    </row>
    <row r="77" spans="1:16" x14ac:dyDescent="0.35">
      <c r="A77" s="1">
        <v>74</v>
      </c>
      <c r="B77" s="2" t="str">
        <f>Penghasilan!B59</f>
        <v>3523151403060765</v>
      </c>
      <c r="C77" s="2" t="s">
        <v>245</v>
      </c>
      <c r="D77" s="11" t="s">
        <v>95</v>
      </c>
      <c r="E77" s="32" t="str">
        <f>'B.kriteria &amp; R.kecocokan'!$B$24</f>
        <v>Cukup</v>
      </c>
      <c r="F77" s="9" t="str">
        <f>'B.kriteria &amp; R.kecocokan'!$B$34</f>
        <v>Tinggi</v>
      </c>
      <c r="G77" s="8" t="str">
        <f>'B.kriteria &amp; R.kecocokan'!$B$41</f>
        <v>Rendah</v>
      </c>
      <c r="H77" s="8" t="str">
        <f>'B.kriteria &amp; R.kecocokan'!$B$72</f>
        <v>Rendah</v>
      </c>
      <c r="I77" s="8" t="str">
        <f>'B.kriteria &amp; R.kecocokan'!$B$95</f>
        <v>Rendah</v>
      </c>
      <c r="J77" s="8" t="str">
        <f>'B.kriteria &amp; R.kecocokan'!$B$80</f>
        <v>Rendah</v>
      </c>
      <c r="K77" s="8" t="str">
        <f>'B.kriteria &amp; R.kecocokan'!$B$89</f>
        <v>Sedikit</v>
      </c>
      <c r="L77" s="8" t="str">
        <f>'B.kriteria &amp; R.kecocokan'!$B$49</f>
        <v>Rendah</v>
      </c>
      <c r="M77" s="8" t="str">
        <f>'B.kriteria &amp; R.kecocokan'!$B$57</f>
        <v>Rendah</v>
      </c>
      <c r="N77" s="51" t="str">
        <f>'B.kriteria &amp; R.kecocokan'!$B$65</f>
        <v>Rendah</v>
      </c>
      <c r="O77" s="9" t="s">
        <v>347</v>
      </c>
      <c r="P77" s="17"/>
    </row>
    <row r="78" spans="1:16" x14ac:dyDescent="0.35">
      <c r="A78" s="5">
        <v>75</v>
      </c>
      <c r="B78" s="2" t="str">
        <f>Penghasilan!B16</f>
        <v>3523150508150003</v>
      </c>
      <c r="C78" s="2" t="s">
        <v>155</v>
      </c>
      <c r="D78" s="11" t="s">
        <v>95</v>
      </c>
      <c r="E78" s="32" t="str">
        <f>'B.kriteria &amp; R.kecocokan'!$B$24</f>
        <v>Cukup</v>
      </c>
      <c r="F78" s="9" t="str">
        <f>'B.kriteria &amp; R.kecocokan'!$B$34</f>
        <v>Tinggi</v>
      </c>
      <c r="G78" s="9" t="str">
        <f>'B.kriteria &amp; R.kecocokan'!$B$43</f>
        <v>Tinggi</v>
      </c>
      <c r="H78" s="8" t="str">
        <f>'B.kriteria &amp; R.kecocokan'!$B$72</f>
        <v>Rendah</v>
      </c>
      <c r="I78" s="8" t="str">
        <f>'B.kriteria &amp; R.kecocokan'!$B$95</f>
        <v>Rendah</v>
      </c>
      <c r="J78" s="8" t="str">
        <f>'B.kriteria &amp; R.kecocokan'!$B$80</f>
        <v>Rendah</v>
      </c>
      <c r="K78" s="9" t="str">
        <f>'B.kriteria &amp; R.kecocokan'!$B$88</f>
        <v>Sedang</v>
      </c>
      <c r="L78" s="8" t="str">
        <f>'B.kriteria &amp; R.kecocokan'!$B$49</f>
        <v>Rendah</v>
      </c>
      <c r="M78" s="8" t="str">
        <f>'B.kriteria &amp; R.kecocokan'!$B$57</f>
        <v>Rendah</v>
      </c>
      <c r="N78" s="51" t="str">
        <f>'B.kriteria &amp; R.kecocokan'!$B$65</f>
        <v>Rendah</v>
      </c>
      <c r="O78" s="9" t="s">
        <v>347</v>
      </c>
      <c r="P78" s="17"/>
    </row>
    <row r="79" spans="1:16" x14ac:dyDescent="0.35">
      <c r="A79" s="5">
        <v>76</v>
      </c>
      <c r="B79" s="2" t="str">
        <f>Penghasilan!B15</f>
        <v>3523151403060759</v>
      </c>
      <c r="C79" s="2" t="s">
        <v>152</v>
      </c>
      <c r="D79" s="11" t="s">
        <v>95</v>
      </c>
      <c r="E79" s="9" t="str">
        <f>'B.kriteria &amp; R.kecocokan'!$B$23</f>
        <v>Banyak</v>
      </c>
      <c r="F79" s="9" t="str">
        <f>'B.kriteria &amp; R.kecocokan'!$B$34</f>
        <v>Tinggi</v>
      </c>
      <c r="G79" s="8" t="str">
        <f>'B.kriteria &amp; R.kecocokan'!$B$41</f>
        <v>Rendah</v>
      </c>
      <c r="H79" s="8" t="str">
        <f>'B.kriteria &amp; R.kecocokan'!$B$72</f>
        <v>Rendah</v>
      </c>
      <c r="I79" s="8" t="str">
        <f>'B.kriteria &amp; R.kecocokan'!$B$95</f>
        <v>Rendah</v>
      </c>
      <c r="J79" s="9" t="str">
        <f>'B.kriteria &amp; R.kecocokan'!$B$81</f>
        <v>Tinggi</v>
      </c>
      <c r="K79" s="9" t="str">
        <f>'B.kriteria &amp; R.kecocokan'!$B$88</f>
        <v>Sedang</v>
      </c>
      <c r="L79" s="8" t="str">
        <f>'B.kriteria &amp; R.kecocokan'!$B$49</f>
        <v>Rendah</v>
      </c>
      <c r="M79" s="8" t="str">
        <f>'B.kriteria &amp; R.kecocokan'!$B$57</f>
        <v>Rendah</v>
      </c>
      <c r="N79" s="51" t="str">
        <f>'B.kriteria &amp; R.kecocokan'!$B$65</f>
        <v>Rendah</v>
      </c>
      <c r="O79" s="9" t="s">
        <v>347</v>
      </c>
      <c r="P79" s="17"/>
    </row>
    <row r="80" spans="1:16" x14ac:dyDescent="0.35">
      <c r="A80" s="1">
        <v>77</v>
      </c>
      <c r="B80" s="2" t="str">
        <f>Penghasilan!B17</f>
        <v>3523151403060761</v>
      </c>
      <c r="C80" s="2" t="s">
        <v>157</v>
      </c>
      <c r="D80" s="11" t="s">
        <v>95</v>
      </c>
      <c r="E80" s="32" t="str">
        <f>'B.kriteria &amp; R.kecocokan'!$B$24</f>
        <v>Cukup</v>
      </c>
      <c r="F80" s="9" t="str">
        <f>'B.kriteria &amp; R.kecocokan'!$B$34</f>
        <v>Tinggi</v>
      </c>
      <c r="G80" s="8" t="str">
        <f>'B.kriteria &amp; R.kecocokan'!$B$41</f>
        <v>Rendah</v>
      </c>
      <c r="H80" s="8" t="str">
        <f>'B.kriteria &amp; R.kecocokan'!$B$72</f>
        <v>Rendah</v>
      </c>
      <c r="I80" s="8" t="str">
        <f>'B.kriteria &amp; R.kecocokan'!$B$95</f>
        <v>Rendah</v>
      </c>
      <c r="J80" s="9" t="str">
        <f>'B.kriteria &amp; R.kecocokan'!$B$81</f>
        <v>Tinggi</v>
      </c>
      <c r="K80" s="9" t="str">
        <f>'B.kriteria &amp; R.kecocokan'!$B$90</f>
        <v>Sangat Sedikit</v>
      </c>
      <c r="L80" s="8" t="str">
        <f>'B.kriteria &amp; R.kecocokan'!$B$49</f>
        <v>Rendah</v>
      </c>
      <c r="M80" s="8" t="str">
        <f>'B.kriteria &amp; R.kecocokan'!$B$57</f>
        <v>Rendah</v>
      </c>
      <c r="N80" s="51" t="str">
        <f>'B.kriteria &amp; R.kecocokan'!$B$65</f>
        <v>Rendah</v>
      </c>
      <c r="O80" s="9" t="s">
        <v>347</v>
      </c>
      <c r="P80" s="17"/>
    </row>
    <row r="81" spans="1:16" x14ac:dyDescent="0.35">
      <c r="A81" s="5">
        <v>78</v>
      </c>
      <c r="B81" s="2" t="str">
        <f>Penghasilan!B12</f>
        <v>3523151403061490</v>
      </c>
      <c r="C81" s="2" t="s">
        <v>146</v>
      </c>
      <c r="D81" s="11" t="s">
        <v>235</v>
      </c>
      <c r="E81" s="32" t="str">
        <f>'B.kriteria &amp; R.kecocokan'!$B$24</f>
        <v>Cukup</v>
      </c>
      <c r="F81" s="9" t="str">
        <f>'B.kriteria &amp; R.kecocokan'!$B$34</f>
        <v>Tinggi</v>
      </c>
      <c r="G81" s="9" t="str">
        <f>'B.kriteria &amp; R.kecocokan'!$B$43</f>
        <v>Tinggi</v>
      </c>
      <c r="H81" s="8" t="str">
        <f>'B.kriteria &amp; R.kecocokan'!$B$72</f>
        <v>Rendah</v>
      </c>
      <c r="I81" s="8" t="str">
        <f>'B.kriteria &amp; R.kecocokan'!$B$95</f>
        <v>Rendah</v>
      </c>
      <c r="J81" s="8" t="str">
        <f>'B.kriteria &amp; R.kecocokan'!$B$80</f>
        <v>Rendah</v>
      </c>
      <c r="K81" s="9" t="str">
        <f>'B.kriteria &amp; R.kecocokan'!$B$90</f>
        <v>Sangat Sedikit</v>
      </c>
      <c r="L81" s="8" t="str">
        <f>'B.kriteria &amp; R.kecocokan'!$B$49</f>
        <v>Rendah</v>
      </c>
      <c r="M81" s="8" t="str">
        <f>'B.kriteria &amp; R.kecocokan'!$B$57</f>
        <v>Rendah</v>
      </c>
      <c r="N81" s="51" t="str">
        <f>'B.kriteria &amp; R.kecocokan'!$B$65</f>
        <v>Rendah</v>
      </c>
      <c r="O81" s="9" t="s">
        <v>347</v>
      </c>
      <c r="P81" s="17"/>
    </row>
    <row r="82" spans="1:16" x14ac:dyDescent="0.35">
      <c r="A82" s="5">
        <v>79</v>
      </c>
      <c r="B82" s="2" t="str">
        <f>Penghasilan!B25</f>
        <v>3523150311160031</v>
      </c>
      <c r="C82" s="2" t="s">
        <v>173</v>
      </c>
      <c r="D82" s="11" t="s">
        <v>95</v>
      </c>
      <c r="E82" s="28" t="str">
        <f>'B.kriteria &amp; R.kecocokan'!$B$25</f>
        <v>Sedikit</v>
      </c>
      <c r="F82" s="9" t="str">
        <f>'B.kriteria &amp; R.kecocokan'!$B$34</f>
        <v>Tinggi</v>
      </c>
      <c r="G82" s="8" t="str">
        <f>'B.kriteria &amp; R.kecocokan'!$B$41</f>
        <v>Rendah</v>
      </c>
      <c r="H82" s="8" t="str">
        <f>'B.kriteria &amp; R.kecocokan'!$B$72</f>
        <v>Rendah</v>
      </c>
      <c r="I82" s="8" t="str">
        <f>'B.kriteria &amp; R.kecocokan'!$B$95</f>
        <v>Rendah</v>
      </c>
      <c r="J82" s="9" t="str">
        <f>'B.kriteria &amp; R.kecocokan'!$B$81</f>
        <v>Tinggi</v>
      </c>
      <c r="K82" s="9" t="str">
        <f>'B.kriteria &amp; R.kecocokan'!$B$90</f>
        <v>Sangat Sedikit</v>
      </c>
      <c r="L82" s="8" t="str">
        <f>'B.kriteria &amp; R.kecocokan'!$B$49</f>
        <v>Rendah</v>
      </c>
      <c r="M82" s="9" t="str">
        <f>'B.kriteria &amp; R.kecocokan'!$B$58</f>
        <v>Sedang</v>
      </c>
      <c r="N82" s="51" t="str">
        <f>'B.kriteria &amp; R.kecocokan'!$B$65</f>
        <v>Rendah</v>
      </c>
      <c r="O82" s="9" t="s">
        <v>349</v>
      </c>
      <c r="P82" s="17"/>
    </row>
    <row r="83" spans="1:16" x14ac:dyDescent="0.35">
      <c r="A83" s="1">
        <v>80</v>
      </c>
      <c r="B83" s="2" t="str">
        <f>Penghasilan!B14</f>
        <v>3523152110200008</v>
      </c>
      <c r="C83" s="2" t="s">
        <v>150</v>
      </c>
      <c r="D83" s="11" t="s">
        <v>95</v>
      </c>
      <c r="E83" s="28" t="str">
        <f>'B.kriteria &amp; R.kecocokan'!$B$25</f>
        <v>Sedikit</v>
      </c>
      <c r="F83" s="9" t="str">
        <f>'B.kriteria &amp; R.kecocokan'!$B$34</f>
        <v>Tinggi</v>
      </c>
      <c r="G83" s="9" t="str">
        <f>'B.kriteria &amp; R.kecocokan'!$B$43</f>
        <v>Tinggi</v>
      </c>
      <c r="H83" s="8" t="str">
        <f>'B.kriteria &amp; R.kecocokan'!$B$72</f>
        <v>Rendah</v>
      </c>
      <c r="I83" s="9" t="str">
        <f>'B.kriteria &amp; R.kecocokan'!$B$96</f>
        <v>Tinggi</v>
      </c>
      <c r="J83" s="8" t="str">
        <f>'B.kriteria &amp; R.kecocokan'!$B$80</f>
        <v>Rendah</v>
      </c>
      <c r="K83" s="8" t="str">
        <f>'B.kriteria &amp; R.kecocokan'!$B$89</f>
        <v>Sedikit</v>
      </c>
      <c r="L83" s="8" t="str">
        <f>'B.kriteria &amp; R.kecocokan'!$B$49</f>
        <v>Rendah</v>
      </c>
      <c r="M83" s="8" t="str">
        <f>'B.kriteria &amp; R.kecocokan'!$B$57</f>
        <v>Rendah</v>
      </c>
      <c r="N83" s="51" t="str">
        <f>'B.kriteria &amp; R.kecocokan'!$B$65</f>
        <v>Rendah</v>
      </c>
      <c r="O83" s="9" t="s">
        <v>347</v>
      </c>
      <c r="P83" s="17"/>
    </row>
    <row r="84" spans="1:16" x14ac:dyDescent="0.35">
      <c r="A84" s="5">
        <v>81</v>
      </c>
      <c r="B84" s="2" t="str">
        <f>Penghasilan!B13</f>
        <v>3523151008120009</v>
      </c>
      <c r="C84" s="2" t="s">
        <v>147</v>
      </c>
      <c r="D84" s="11" t="s">
        <v>95</v>
      </c>
      <c r="E84" s="28" t="str">
        <f>'B.kriteria &amp; R.kecocokan'!$B$25</f>
        <v>Sedikit</v>
      </c>
      <c r="F84" s="9" t="str">
        <f>'B.kriteria &amp; R.kecocokan'!$B$34</f>
        <v>Tinggi</v>
      </c>
      <c r="G84" s="8" t="str">
        <f>'B.kriteria &amp; R.kecocokan'!$B$41</f>
        <v>Rendah</v>
      </c>
      <c r="H84" s="8" t="str">
        <f>'B.kriteria &amp; R.kecocokan'!$B$72</f>
        <v>Rendah</v>
      </c>
      <c r="I84" s="8" t="str">
        <f>'B.kriteria &amp; R.kecocokan'!$B$95</f>
        <v>Rendah</v>
      </c>
      <c r="J84" s="9" t="str">
        <f>'B.kriteria &amp; R.kecocokan'!$B$81</f>
        <v>Tinggi</v>
      </c>
      <c r="K84" s="9" t="str">
        <f>'B.kriteria &amp; R.kecocokan'!$B$90</f>
        <v>Sangat Sedikit</v>
      </c>
      <c r="L84" s="8" t="str">
        <f>'B.kriteria &amp; R.kecocokan'!$B$49</f>
        <v>Rendah</v>
      </c>
      <c r="M84" s="8" t="str">
        <f>'B.kriteria &amp; R.kecocokan'!$B$57</f>
        <v>Rendah</v>
      </c>
      <c r="N84" s="51" t="str">
        <f>'B.kriteria &amp; R.kecocokan'!$B$65</f>
        <v>Rendah</v>
      </c>
      <c r="O84" s="9" t="s">
        <v>347</v>
      </c>
      <c r="P84" s="17"/>
    </row>
    <row r="85" spans="1:16" x14ac:dyDescent="0.35">
      <c r="A85" s="5">
        <v>82</v>
      </c>
      <c r="B85" s="2" t="str">
        <f>Penghasilan!B7</f>
        <v>3523152906120006</v>
      </c>
      <c r="C85" s="2" t="s">
        <v>126</v>
      </c>
      <c r="D85" s="11" t="s">
        <v>95</v>
      </c>
      <c r="E85" s="28" t="str">
        <f>'B.kriteria &amp; R.kecocokan'!$B$25</f>
        <v>Sedikit</v>
      </c>
      <c r="F85" s="9" t="str">
        <f>'B.kriteria &amp; R.kecocokan'!$B$34</f>
        <v>Tinggi</v>
      </c>
      <c r="G85" s="8" t="str">
        <f>'B.kriteria &amp; R.kecocokan'!$B$41</f>
        <v>Rendah</v>
      </c>
      <c r="H85" s="8" t="str">
        <f>'B.kriteria &amp; R.kecocokan'!$B$72</f>
        <v>Rendah</v>
      </c>
      <c r="I85" s="8" t="str">
        <f>'B.kriteria &amp; R.kecocokan'!$B$95</f>
        <v>Rendah</v>
      </c>
      <c r="J85" s="8" t="str">
        <f>'B.kriteria &amp; R.kecocokan'!$B$80</f>
        <v>Rendah</v>
      </c>
      <c r="K85" s="9" t="str">
        <f>'B.kriteria &amp; R.kecocokan'!$B$88</f>
        <v>Sedang</v>
      </c>
      <c r="L85" s="8" t="str">
        <f>'B.kriteria &amp; R.kecocokan'!$B$49</f>
        <v>Rendah</v>
      </c>
      <c r="M85" s="8" t="str">
        <f>'B.kriteria &amp; R.kecocokan'!$B$57</f>
        <v>Rendah</v>
      </c>
      <c r="N85" s="51" t="str">
        <f>'B.kriteria &amp; R.kecocokan'!$B$65</f>
        <v>Rendah</v>
      </c>
      <c r="O85" s="9" t="s">
        <v>347</v>
      </c>
      <c r="P85" s="17"/>
    </row>
    <row r="86" spans="1:16" x14ac:dyDescent="0.35">
      <c r="A86" s="1">
        <v>83</v>
      </c>
      <c r="B86" s="2" t="str">
        <f>Penghasilan!B27</f>
        <v>3523151403060779</v>
      </c>
      <c r="C86" s="2" t="s">
        <v>178</v>
      </c>
      <c r="D86" s="11" t="s">
        <v>95</v>
      </c>
      <c r="E86" s="32" t="str">
        <f>'B.kriteria &amp; R.kecocokan'!$B$24</f>
        <v>Cukup</v>
      </c>
      <c r="F86" s="9" t="str">
        <f>'B.kriteria &amp; R.kecocokan'!$B$34</f>
        <v>Tinggi</v>
      </c>
      <c r="G86" s="8" t="str">
        <f>'B.kriteria &amp; R.kecocokan'!$B$41</f>
        <v>Rendah</v>
      </c>
      <c r="H86" s="8" t="str">
        <f>'B.kriteria &amp; R.kecocokan'!$B$72</f>
        <v>Rendah</v>
      </c>
      <c r="I86" s="8" t="str">
        <f>'B.kriteria &amp; R.kecocokan'!$B$95</f>
        <v>Rendah</v>
      </c>
      <c r="J86" s="8" t="str">
        <f>'B.kriteria &amp; R.kecocokan'!$B$80</f>
        <v>Rendah</v>
      </c>
      <c r="K86" s="8" t="str">
        <f>'B.kriteria &amp; R.kecocokan'!$B$89</f>
        <v>Sedikit</v>
      </c>
      <c r="L86" s="8" t="str">
        <f>'B.kriteria &amp; R.kecocokan'!$B$49</f>
        <v>Rendah</v>
      </c>
      <c r="M86" s="9" t="str">
        <f>'B.kriteria &amp; R.kecocokan'!$B$58</f>
        <v>Sedang</v>
      </c>
      <c r="N86" s="51" t="str">
        <f>'B.kriteria &amp; R.kecocokan'!$B$65</f>
        <v>Rendah</v>
      </c>
      <c r="O86" s="9" t="s">
        <v>349</v>
      </c>
      <c r="P86" s="17"/>
    </row>
    <row r="87" spans="1:16" x14ac:dyDescent="0.35">
      <c r="A87" s="5">
        <v>84</v>
      </c>
      <c r="B87" s="2" t="str">
        <f>Penghasilan!B7</f>
        <v>3523152906120006</v>
      </c>
      <c r="C87" s="2" t="s">
        <v>133</v>
      </c>
      <c r="D87" s="11" t="s">
        <v>95</v>
      </c>
      <c r="E87" s="32" t="str">
        <f>'B.kriteria &amp; R.kecocokan'!$B$24</f>
        <v>Cukup</v>
      </c>
      <c r="F87" s="9" t="str">
        <f>'B.kriteria &amp; R.kecocokan'!$B$34</f>
        <v>Tinggi</v>
      </c>
      <c r="G87" s="8" t="str">
        <f>'B.kriteria &amp; R.kecocokan'!$B$41</f>
        <v>Rendah</v>
      </c>
      <c r="H87" s="8" t="str">
        <f>'B.kriteria &amp; R.kecocokan'!$B$72</f>
        <v>Rendah</v>
      </c>
      <c r="I87" s="8" t="str">
        <f>'B.kriteria &amp; R.kecocokan'!$B$95</f>
        <v>Rendah</v>
      </c>
      <c r="J87" s="8" t="str">
        <f>'B.kriteria &amp; R.kecocokan'!$B$80</f>
        <v>Rendah</v>
      </c>
      <c r="K87" s="9" t="str">
        <f>'B.kriteria &amp; R.kecocokan'!$B$90</f>
        <v>Sangat Sedikit</v>
      </c>
      <c r="L87" s="8" t="str">
        <f>'B.kriteria &amp; R.kecocokan'!$B$49</f>
        <v>Rendah</v>
      </c>
      <c r="M87" s="8" t="str">
        <f>'B.kriteria &amp; R.kecocokan'!$B$57</f>
        <v>Rendah</v>
      </c>
      <c r="N87" s="51" t="str">
        <f>'B.kriteria &amp; R.kecocokan'!$B$65</f>
        <v>Rendah</v>
      </c>
      <c r="O87" s="9" t="s">
        <v>347</v>
      </c>
      <c r="P87" s="17"/>
    </row>
    <row r="88" spans="1:16" x14ac:dyDescent="0.35">
      <c r="A88" s="5">
        <v>85</v>
      </c>
      <c r="B88" s="2" t="str">
        <f>Penghasilan!B18</f>
        <v>3523152007120012</v>
      </c>
      <c r="C88" s="2" t="s">
        <v>159</v>
      </c>
      <c r="D88" s="11" t="s">
        <v>95</v>
      </c>
      <c r="E88" s="9" t="str">
        <f>'B.kriteria &amp; R.kecocokan'!$B$23</f>
        <v>Banyak</v>
      </c>
      <c r="F88" s="9" t="str">
        <f>'B.kriteria &amp; R.kecocokan'!$B$34</f>
        <v>Tinggi</v>
      </c>
      <c r="G88" s="8" t="str">
        <f>'B.kriteria &amp; R.kecocokan'!$B$41</f>
        <v>Rendah</v>
      </c>
      <c r="H88" s="8" t="str">
        <f>'B.kriteria &amp; R.kecocokan'!$B$72</f>
        <v>Rendah</v>
      </c>
      <c r="I88" s="9" t="str">
        <f>'B.kriteria &amp; R.kecocokan'!$B$96</f>
        <v>Tinggi</v>
      </c>
      <c r="J88" s="8" t="str">
        <f>'B.kriteria &amp; R.kecocokan'!$B$80</f>
        <v>Rendah</v>
      </c>
      <c r="K88" s="9" t="str">
        <f>'B.kriteria &amp; R.kecocokan'!$B$90</f>
        <v>Sangat Sedikit</v>
      </c>
      <c r="L88" s="8" t="str">
        <f>'B.kriteria &amp; R.kecocokan'!$B$49</f>
        <v>Rendah</v>
      </c>
      <c r="M88" s="8" t="str">
        <f>'B.kriteria &amp; R.kecocokan'!$B$57</f>
        <v>Rendah</v>
      </c>
      <c r="N88" s="51" t="str">
        <f>'B.kriteria &amp; R.kecocokan'!$B$65</f>
        <v>Rendah</v>
      </c>
      <c r="O88" s="9" t="s">
        <v>347</v>
      </c>
      <c r="P88" s="17"/>
    </row>
    <row r="89" spans="1:16" x14ac:dyDescent="0.35">
      <c r="A89" s="1">
        <v>86</v>
      </c>
      <c r="B89" s="2" t="str">
        <f>Penghasilan!B21</f>
        <v>3523151309090186</v>
      </c>
      <c r="C89" s="2" t="s">
        <v>165</v>
      </c>
      <c r="D89" s="11" t="s">
        <v>95</v>
      </c>
      <c r="E89" s="28" t="str">
        <f>'B.kriteria &amp; R.kecocokan'!$B$25</f>
        <v>Sedikit</v>
      </c>
      <c r="F89" s="9" t="str">
        <f>'B.kriteria &amp; R.kecocokan'!$B$34</f>
        <v>Tinggi</v>
      </c>
      <c r="G89" s="8" t="str">
        <f>'B.kriteria &amp; R.kecocokan'!$B$41</f>
        <v>Rendah</v>
      </c>
      <c r="H89" s="8" t="str">
        <f>'B.kriteria &amp; R.kecocokan'!$B$72</f>
        <v>Rendah</v>
      </c>
      <c r="I89" s="8" t="str">
        <f>'B.kriteria &amp; R.kecocokan'!$B$95</f>
        <v>Rendah</v>
      </c>
      <c r="J89" s="9" t="str">
        <f>'B.kriteria &amp; R.kecocokan'!$B$81</f>
        <v>Tinggi</v>
      </c>
      <c r="K89" s="9" t="str">
        <f>'B.kriteria &amp; R.kecocokan'!$B$90</f>
        <v>Sangat Sedikit</v>
      </c>
      <c r="L89" s="8" t="str">
        <f>'B.kriteria &amp; R.kecocokan'!$B$49</f>
        <v>Rendah</v>
      </c>
      <c r="M89" s="8" t="str">
        <f>'B.kriteria &amp; R.kecocokan'!$B$57</f>
        <v>Rendah</v>
      </c>
      <c r="N89" s="51" t="str">
        <f>'B.kriteria &amp; R.kecocokan'!$B$65</f>
        <v>Rendah</v>
      </c>
      <c r="O89" s="9" t="s">
        <v>349</v>
      </c>
      <c r="P89" s="17"/>
    </row>
    <row r="90" spans="1:16" x14ac:dyDescent="0.35">
      <c r="A90" s="5">
        <v>87</v>
      </c>
      <c r="B90" s="2" t="str">
        <f>Penghasilan!B20</f>
        <v>3523151409180003</v>
      </c>
      <c r="C90" s="2" t="s">
        <v>163</v>
      </c>
      <c r="D90" s="11" t="s">
        <v>248</v>
      </c>
      <c r="E90" s="28" t="str">
        <f>'B.kriteria &amp; R.kecocokan'!$B$25</f>
        <v>Sedikit</v>
      </c>
      <c r="F90" s="9" t="str">
        <f>'B.kriteria &amp; R.kecocokan'!$B$35</f>
        <v>Sangat Tinggi</v>
      </c>
      <c r="G90" s="9" t="str">
        <f>'B.kriteria &amp; R.kecocokan'!$B$43</f>
        <v>Tinggi</v>
      </c>
      <c r="H90" s="8" t="str">
        <f>'B.kriteria &amp; R.kecocokan'!$B$72</f>
        <v>Rendah</v>
      </c>
      <c r="I90" s="8" t="str">
        <f>'B.kriteria &amp; R.kecocokan'!$B$95</f>
        <v>Rendah</v>
      </c>
      <c r="J90" s="8" t="str">
        <f>'B.kriteria &amp; R.kecocokan'!$B$80</f>
        <v>Rendah</v>
      </c>
      <c r="K90" s="8" t="str">
        <f>'B.kriteria &amp; R.kecocokan'!$B$89</f>
        <v>Sedikit</v>
      </c>
      <c r="L90" s="8" t="str">
        <f>'B.kriteria &amp; R.kecocokan'!$B$49</f>
        <v>Rendah</v>
      </c>
      <c r="M90" s="8" t="str">
        <f>'B.kriteria &amp; R.kecocokan'!$B$57</f>
        <v>Rendah</v>
      </c>
      <c r="N90" s="51" t="str">
        <f>'B.kriteria &amp; R.kecocokan'!$B$65</f>
        <v>Rendah</v>
      </c>
      <c r="O90" s="9" t="s">
        <v>347</v>
      </c>
      <c r="P90" s="17"/>
    </row>
    <row r="91" spans="1:16" x14ac:dyDescent="0.35">
      <c r="A91" s="5">
        <v>88</v>
      </c>
      <c r="B91" s="30" t="str">
        <f>Penghasilan!B8</f>
        <v>3523151403061499</v>
      </c>
      <c r="C91" s="30" t="s">
        <v>24</v>
      </c>
      <c r="D91" s="11" t="s">
        <v>248</v>
      </c>
      <c r="E91" s="28" t="str">
        <f>'B.kriteria &amp; R.kecocokan'!$B$25</f>
        <v>Sedikit</v>
      </c>
      <c r="F91" s="9" t="str">
        <f>'B.kriteria &amp; R.kecocokan'!$B$35</f>
        <v>Sangat Tinggi</v>
      </c>
      <c r="G91" s="8" t="str">
        <f>'B.kriteria &amp; R.kecocokan'!$B$41</f>
        <v>Rendah</v>
      </c>
      <c r="H91" s="8" t="str">
        <f>'B.kriteria &amp; R.kecocokan'!$B$72</f>
        <v>Rendah</v>
      </c>
      <c r="I91" s="8" t="str">
        <f>'B.kriteria &amp; R.kecocokan'!$B$95</f>
        <v>Rendah</v>
      </c>
      <c r="J91" s="9" t="str">
        <f>'B.kriteria &amp; R.kecocokan'!$B$81</f>
        <v>Tinggi</v>
      </c>
      <c r="K91" s="9" t="str">
        <f>'B.kriteria &amp; R.kecocokan'!$B$90</f>
        <v>Sangat Sedikit</v>
      </c>
      <c r="L91" s="9" t="str">
        <f>'B.kriteria &amp; R.kecocokan'!$B$51</f>
        <v>Tinggi</v>
      </c>
      <c r="M91" s="9" t="str">
        <f>'B.kriteria &amp; R.kecocokan'!$B$59</f>
        <v>Tinggi</v>
      </c>
      <c r="N91" s="51" t="str">
        <f>'B.kriteria &amp; R.kecocokan'!$B$65</f>
        <v>Rendah</v>
      </c>
      <c r="O91" s="9" t="s">
        <v>349</v>
      </c>
      <c r="P91" s="17"/>
    </row>
    <row r="92" spans="1:16" x14ac:dyDescent="0.35">
      <c r="A92" s="1">
        <v>89</v>
      </c>
      <c r="B92" s="2" t="str">
        <f>Penghasilan!B6</f>
        <v>3523151309090184</v>
      </c>
      <c r="C92" s="2" t="s">
        <v>128</v>
      </c>
      <c r="D92" s="11" t="s">
        <v>95</v>
      </c>
      <c r="E92" s="32" t="str">
        <f>'B.kriteria &amp; R.kecocokan'!$B$24</f>
        <v>Cukup</v>
      </c>
      <c r="F92" s="9" t="str">
        <f>'B.kriteria &amp; R.kecocokan'!$B$34</f>
        <v>Tinggi</v>
      </c>
      <c r="G92" s="8" t="str">
        <f>'B.kriteria &amp; R.kecocokan'!$B$41</f>
        <v>Rendah</v>
      </c>
      <c r="H92" s="8" t="str">
        <f>'B.kriteria &amp; R.kecocokan'!$B$72</f>
        <v>Rendah</v>
      </c>
      <c r="I92" s="8" t="str">
        <f>'B.kriteria &amp; R.kecocokan'!$B$95</f>
        <v>Rendah</v>
      </c>
      <c r="J92" s="9" t="str">
        <f>'B.kriteria &amp; R.kecocokan'!$B$81</f>
        <v>Tinggi</v>
      </c>
      <c r="K92" s="9" t="str">
        <f>'B.kriteria &amp; R.kecocokan'!$B$90</f>
        <v>Sangat Sedikit</v>
      </c>
      <c r="L92" s="8" t="str">
        <f>'B.kriteria &amp; R.kecocokan'!$B$49</f>
        <v>Rendah</v>
      </c>
      <c r="M92" s="8" t="str">
        <f>'B.kriteria &amp; R.kecocokan'!$B$57</f>
        <v>Rendah</v>
      </c>
      <c r="N92" s="51" t="str">
        <f>'B.kriteria &amp; R.kecocokan'!$B$65</f>
        <v>Rendah</v>
      </c>
      <c r="O92" s="9" t="s">
        <v>347</v>
      </c>
      <c r="P92" s="17"/>
    </row>
    <row r="93" spans="1:16" x14ac:dyDescent="0.35">
      <c r="A93" s="5">
        <v>90</v>
      </c>
      <c r="B93" s="30" t="str">
        <f>Penghasilan!B9</f>
        <v>3523151403061502</v>
      </c>
      <c r="C93" s="30" t="s">
        <v>136</v>
      </c>
      <c r="D93" s="11" t="s">
        <v>95</v>
      </c>
      <c r="E93" s="28" t="str">
        <f>'B.kriteria &amp; R.kecocokan'!$B$25</f>
        <v>Sedikit</v>
      </c>
      <c r="F93" s="9" t="str">
        <f>'B.kriteria &amp; R.kecocokan'!$B$35</f>
        <v>Sangat Tinggi</v>
      </c>
      <c r="G93" s="8" t="str">
        <f>'B.kriteria &amp; R.kecocokan'!$B$41</f>
        <v>Rendah</v>
      </c>
      <c r="H93" s="8" t="str">
        <f>'B.kriteria &amp; R.kecocokan'!$B$72</f>
        <v>Rendah</v>
      </c>
      <c r="I93" s="8" t="str">
        <f>'B.kriteria &amp; R.kecocokan'!$B$95</f>
        <v>Rendah</v>
      </c>
      <c r="J93" s="9" t="str">
        <f>'B.kriteria &amp; R.kecocokan'!$B$81</f>
        <v>Tinggi</v>
      </c>
      <c r="K93" s="9" t="str">
        <f>'B.kriteria &amp; R.kecocokan'!$B$90</f>
        <v>Sangat Sedikit</v>
      </c>
      <c r="L93" s="9" t="str">
        <f>'B.kriteria &amp; R.kecocokan'!$B$51</f>
        <v>Tinggi</v>
      </c>
      <c r="M93" s="9" t="str">
        <f>'B.kriteria &amp; R.kecocokan'!$B$59</f>
        <v>Tinggi</v>
      </c>
      <c r="N93" s="51" t="str">
        <f>'B.kriteria &amp; R.kecocokan'!$B$65</f>
        <v>Rendah</v>
      </c>
      <c r="O93" s="9" t="s">
        <v>349</v>
      </c>
      <c r="P93" s="17"/>
    </row>
    <row r="94" spans="1:16" x14ac:dyDescent="0.35">
      <c r="A94" s="5">
        <v>91</v>
      </c>
      <c r="B94" s="2" t="str">
        <f>Penghasilan!B10</f>
        <v>3523151403061500</v>
      </c>
      <c r="C94" s="2" t="s">
        <v>140</v>
      </c>
      <c r="D94" s="11" t="s">
        <v>95</v>
      </c>
      <c r="E94" s="28" t="str">
        <f>'B.kriteria &amp; R.kecocokan'!$B$25</f>
        <v>Sedikit</v>
      </c>
      <c r="F94" s="9" t="str">
        <f>'B.kriteria &amp; R.kecocokan'!$B$34</f>
        <v>Tinggi</v>
      </c>
      <c r="G94" s="8" t="str">
        <f>'B.kriteria &amp; R.kecocokan'!$B$41</f>
        <v>Rendah</v>
      </c>
      <c r="H94" s="8" t="str">
        <f>'B.kriteria &amp; R.kecocokan'!$B$72</f>
        <v>Rendah</v>
      </c>
      <c r="I94" s="8" t="str">
        <f>'B.kriteria &amp; R.kecocokan'!$B$95</f>
        <v>Rendah</v>
      </c>
      <c r="J94" s="9" t="str">
        <f>'B.kriteria &amp; R.kecocokan'!$B$81</f>
        <v>Tinggi</v>
      </c>
      <c r="K94" s="9" t="str">
        <f>'B.kriteria &amp; R.kecocokan'!$B$90</f>
        <v>Sangat Sedikit</v>
      </c>
      <c r="L94" s="8" t="str">
        <f>'B.kriteria &amp; R.kecocokan'!$B$49</f>
        <v>Rendah</v>
      </c>
      <c r="M94" s="9" t="str">
        <f>'B.kriteria &amp; R.kecocokan'!$B$58</f>
        <v>Sedang</v>
      </c>
      <c r="N94" s="51" t="str">
        <f>'B.kriteria &amp; R.kecocokan'!$B$65</f>
        <v>Rendah</v>
      </c>
      <c r="O94" s="9" t="s">
        <v>349</v>
      </c>
      <c r="P94" s="17"/>
    </row>
    <row r="95" spans="1:16" x14ac:dyDescent="0.35">
      <c r="A95" s="1">
        <v>92</v>
      </c>
      <c r="B95" s="2" t="str">
        <f>Penghasilan!B11</f>
        <v>3523151403061497</v>
      </c>
      <c r="C95" s="2" t="s">
        <v>251</v>
      </c>
      <c r="D95" s="11" t="s">
        <v>95</v>
      </c>
      <c r="E95" s="28" t="str">
        <f>'B.kriteria &amp; R.kecocokan'!$B$25</f>
        <v>Sedikit</v>
      </c>
      <c r="F95" s="9" t="str">
        <f>'B.kriteria &amp; R.kecocokan'!$B$34</f>
        <v>Tinggi</v>
      </c>
      <c r="G95" s="8" t="str">
        <f>'B.kriteria &amp; R.kecocokan'!$B$41</f>
        <v>Rendah</v>
      </c>
      <c r="H95" s="8" t="str">
        <f>'B.kriteria &amp; R.kecocokan'!$B$72</f>
        <v>Rendah</v>
      </c>
      <c r="I95" s="8" t="str">
        <f>'B.kriteria &amp; R.kecocokan'!$B$95</f>
        <v>Rendah</v>
      </c>
      <c r="J95" s="8" t="str">
        <f>'B.kriteria &amp; R.kecocokan'!$B$80</f>
        <v>Rendah</v>
      </c>
      <c r="K95" s="9" t="str">
        <f>'B.kriteria &amp; R.kecocokan'!$B$88</f>
        <v>Sedang</v>
      </c>
      <c r="L95" s="8" t="str">
        <f>'B.kriteria &amp; R.kecocokan'!$B$49</f>
        <v>Rendah</v>
      </c>
      <c r="M95" s="9" t="str">
        <f>'B.kriteria &amp; R.kecocokan'!$B$58</f>
        <v>Sedang</v>
      </c>
      <c r="N95" s="51" t="str">
        <f>'B.kriteria &amp; R.kecocokan'!$B$65</f>
        <v>Rendah</v>
      </c>
      <c r="O95" s="9" t="s">
        <v>349</v>
      </c>
      <c r="P95" s="17"/>
    </row>
    <row r="96" spans="1:16" x14ac:dyDescent="0.35">
      <c r="A96" s="5">
        <v>93</v>
      </c>
      <c r="B96" s="2" t="str">
        <f>Penghasilan!B24</f>
        <v>3523151403061467</v>
      </c>
      <c r="C96" s="2" t="s">
        <v>252</v>
      </c>
      <c r="D96" s="11" t="s">
        <v>95</v>
      </c>
      <c r="E96" s="9" t="str">
        <f>'B.kriteria &amp; R.kecocokan'!$B$23</f>
        <v>Banyak</v>
      </c>
      <c r="F96" s="9" t="str">
        <f>'B.kriteria &amp; R.kecocokan'!$B$34</f>
        <v>Tinggi</v>
      </c>
      <c r="G96" s="8" t="str">
        <f>'B.kriteria &amp; R.kecocokan'!$B$41</f>
        <v>Rendah</v>
      </c>
      <c r="H96" s="8" t="str">
        <f>'B.kriteria &amp; R.kecocokan'!$B$72</f>
        <v>Rendah</v>
      </c>
      <c r="I96" s="8" t="str">
        <f>'B.kriteria &amp; R.kecocokan'!$B$95</f>
        <v>Rendah</v>
      </c>
      <c r="J96" s="8" t="str">
        <f>'B.kriteria &amp; R.kecocokan'!$B$80</f>
        <v>Rendah</v>
      </c>
      <c r="K96" s="9" t="str">
        <f>'B.kriteria &amp; R.kecocokan'!$B$88</f>
        <v>Sedang</v>
      </c>
      <c r="L96" s="8" t="str">
        <f>'B.kriteria &amp; R.kecocokan'!$B$49</f>
        <v>Rendah</v>
      </c>
      <c r="M96" s="8" t="str">
        <f>'B.kriteria &amp; R.kecocokan'!$B$57</f>
        <v>Rendah</v>
      </c>
      <c r="N96" s="51" t="str">
        <f>'B.kriteria &amp; R.kecocokan'!$B$65</f>
        <v>Rendah</v>
      </c>
      <c r="O96" s="9" t="s">
        <v>347</v>
      </c>
      <c r="P96" s="17"/>
    </row>
    <row r="97" spans="1:17" x14ac:dyDescent="0.35">
      <c r="A97" s="1"/>
      <c r="B97" s="2"/>
      <c r="C97" s="2"/>
      <c r="D97" s="9"/>
      <c r="E97" s="9"/>
      <c r="F97" s="9"/>
      <c r="G97" s="9"/>
      <c r="H97" s="9"/>
      <c r="I97" s="9"/>
      <c r="J97" s="9"/>
      <c r="K97" s="9"/>
      <c r="L97" s="9"/>
      <c r="M97" s="9"/>
      <c r="N97" s="52"/>
      <c r="O97" s="2"/>
      <c r="P97" s="17"/>
    </row>
    <row r="98" spans="1:17" x14ac:dyDescent="0.35">
      <c r="A98" s="1"/>
      <c r="B98" s="2"/>
      <c r="C98" s="2"/>
      <c r="D98" s="9"/>
      <c r="E98" s="9"/>
      <c r="F98" s="9"/>
      <c r="G98" s="9"/>
      <c r="H98" s="9"/>
      <c r="I98" s="9"/>
      <c r="J98" s="9"/>
      <c r="K98" s="9"/>
      <c r="L98" s="9"/>
      <c r="M98" s="9"/>
      <c r="N98" s="52"/>
      <c r="O98" s="2"/>
      <c r="P98" s="17"/>
    </row>
    <row r="99" spans="1:17" x14ac:dyDescent="0.35">
      <c r="A99" s="1"/>
      <c r="B99" s="2"/>
      <c r="C99" s="2"/>
      <c r="D99" s="9"/>
      <c r="E99" s="9"/>
      <c r="F99" s="9"/>
      <c r="G99" s="9"/>
      <c r="H99" s="9"/>
      <c r="I99" s="9"/>
      <c r="J99" s="9"/>
      <c r="K99" s="9"/>
      <c r="L99" s="9"/>
      <c r="M99" s="9"/>
      <c r="N99" s="52"/>
      <c r="O99" s="2"/>
      <c r="P99" s="17"/>
    </row>
    <row r="100" spans="1:17" ht="15" thickBot="1" x14ac:dyDescent="0.4">
      <c r="A100" s="3"/>
      <c r="B100" s="4"/>
      <c r="C100" s="4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53"/>
      <c r="O100" s="4"/>
      <c r="P100" s="18"/>
    </row>
    <row r="101" spans="1:17" ht="15" thickTop="1" x14ac:dyDescent="0.35"/>
    <row r="103" spans="1:17" x14ac:dyDescent="0.35">
      <c r="C103" s="43" t="s">
        <v>370</v>
      </c>
    </row>
    <row r="105" spans="1:17" ht="29" x14ac:dyDescent="0.35">
      <c r="C105" s="56" t="s">
        <v>371</v>
      </c>
      <c r="D105" s="57"/>
      <c r="E105" s="58" t="s">
        <v>356</v>
      </c>
      <c r="F105" s="58" t="s">
        <v>357</v>
      </c>
      <c r="G105" s="59" t="s">
        <v>358</v>
      </c>
      <c r="H105" s="58" t="s">
        <v>359</v>
      </c>
      <c r="I105" s="58" t="s">
        <v>360</v>
      </c>
      <c r="K105" s="56" t="s">
        <v>398</v>
      </c>
      <c r="L105" s="57"/>
      <c r="M105" s="58" t="s">
        <v>356</v>
      </c>
      <c r="N105" s="58" t="s">
        <v>357</v>
      </c>
      <c r="O105" s="59" t="s">
        <v>358</v>
      </c>
      <c r="P105" s="58" t="s">
        <v>359</v>
      </c>
      <c r="Q105" s="58" t="s">
        <v>360</v>
      </c>
    </row>
    <row r="106" spans="1:17" ht="26.5" customHeight="1" x14ac:dyDescent="0.35">
      <c r="C106" s="65" t="s">
        <v>361</v>
      </c>
      <c r="D106" s="65"/>
      <c r="E106" s="2">
        <v>93</v>
      </c>
      <c r="F106" s="2">
        <f>COUNTIFS(O4:O96,O95)</f>
        <v>22</v>
      </c>
      <c r="G106" s="35">
        <f>COUNTIFS('t data &amp;hitung c4.5'!O4:O96,'t data &amp;hitung c4.5'!O96)</f>
        <v>71</v>
      </c>
      <c r="H106" s="60">
        <f>((-F106/E106)*IMLOG2(F106/E106))+((-G106/E106)*IMLOG2(G106/E106))</f>
        <v>0.78927127245369721</v>
      </c>
      <c r="I106" s="2"/>
      <c r="K106" s="228" t="s">
        <v>397</v>
      </c>
      <c r="L106" s="229"/>
      <c r="M106" s="94">
        <f>E159</f>
        <v>7</v>
      </c>
      <c r="N106" s="94">
        <f>F159</f>
        <v>1</v>
      </c>
      <c r="O106" s="77">
        <f>G159</f>
        <v>6</v>
      </c>
      <c r="P106" s="95">
        <f>((-N106/M106)*IMLOG2(N106/M106))+((-O106/M106)*IMLOG2(O106/M106))</f>
        <v>0.59167277858232681</v>
      </c>
      <c r="Q106" s="94"/>
    </row>
    <row r="107" spans="1:17" x14ac:dyDescent="0.35">
      <c r="C107" s="2" t="s">
        <v>124</v>
      </c>
      <c r="D107" s="2"/>
      <c r="E107" s="2"/>
      <c r="F107" s="2"/>
      <c r="G107" s="2"/>
      <c r="H107" s="2"/>
      <c r="I107" s="60">
        <f>$H$106 - (((E108/$E$106)* H108)+((E109/$E$106)*H109)+((E110/$E$106) *H110))</f>
        <v>0.19047627765544006</v>
      </c>
      <c r="K107" s="2" t="s">
        <v>5</v>
      </c>
      <c r="L107" s="2"/>
      <c r="M107" s="2"/>
      <c r="N107" s="2"/>
      <c r="O107" s="2"/>
      <c r="P107" s="2"/>
      <c r="Q107" s="67">
        <f>$P$106 - (((M108/$M$106)* P108)+((M109/$M$106)*P109))</f>
        <v>0</v>
      </c>
    </row>
    <row r="108" spans="1:17" x14ac:dyDescent="0.35">
      <c r="C108" s="2"/>
      <c r="D108" s="2" t="s">
        <v>311</v>
      </c>
      <c r="E108" s="2">
        <f>COUNTIFS(E4:E96,E96)</f>
        <v>23</v>
      </c>
      <c r="F108" s="2">
        <f>COUNTIFS(E4:E96,E96,O4:O96,O95)</f>
        <v>0</v>
      </c>
      <c r="G108" s="2">
        <f>COUNTIFS(E4:E96,E96,O4:O96,O96)</f>
        <v>23</v>
      </c>
      <c r="H108" s="60">
        <v>0</v>
      </c>
      <c r="I108" s="2"/>
      <c r="K108" s="2"/>
      <c r="L108" s="2" t="s">
        <v>362</v>
      </c>
      <c r="M108" s="2">
        <f>COUNTIFS($F$4:$F$96,$F$96,$J$4:$J$96,$J$91,$E$4:$E$96,$E$92)</f>
        <v>7</v>
      </c>
      <c r="N108" s="2">
        <f>COUNTIFS($F$4:$F$96,$F$96,$J$4:$J$96,$J$91,$E$4:$E$96,$E$92,$O$4:$O$96,$O$95)</f>
        <v>1</v>
      </c>
      <c r="O108" s="2">
        <f>COUNTIFS($F$4:$F$96,$F$96,$J$4:$J$96,$J$91,$E$4:$E$96,$E$92,$O$4:$O$96,$O$96)</f>
        <v>6</v>
      </c>
      <c r="P108" s="73">
        <f>((-N108/M108)*IMLOG2(N108/M108))+((-O108/M108)*IMLOG2(O108/M108))</f>
        <v>0.59167277858232681</v>
      </c>
      <c r="Q108" s="2"/>
    </row>
    <row r="109" spans="1:17" x14ac:dyDescent="0.35">
      <c r="C109" s="2"/>
      <c r="D109" s="2" t="s">
        <v>363</v>
      </c>
      <c r="E109" s="2">
        <f>COUNTIFS(E4:E96,E92)</f>
        <v>35</v>
      </c>
      <c r="F109" s="2">
        <f>COUNTIFS(E4:E96,E92,O4:O96,O95)</f>
        <v>5</v>
      </c>
      <c r="G109" s="2">
        <f>COUNTIFS(E4:E96,E92,O4:O96,O96)</f>
        <v>30</v>
      </c>
      <c r="H109" s="60">
        <f>((-F109/E109)*IMLOG2(F109/E109))+((-G109/E109)*IMLOG2(G109/E109))</f>
        <v>0.59167277858232681</v>
      </c>
      <c r="I109" s="2"/>
      <c r="K109" s="2"/>
      <c r="L109" s="2" t="s">
        <v>367</v>
      </c>
      <c r="M109" s="2">
        <f>COUNTIFS($F$4:$F$96,$F$93,$J$4:$J$96,$J$91,$E$4:$E$96,$E$92)</f>
        <v>0</v>
      </c>
      <c r="N109" s="2">
        <f>COUNTIFS($F$4:$F$96,$F$93,$J$4:$J$96,$J$91,$E$4:$E$96,$E$91,$O$4:$O$96,$O$95)</f>
        <v>7</v>
      </c>
      <c r="O109" s="2">
        <f>COUNTIFS($F$4:$F$96,$F$93,$J$4:$J$96,$J$91,$E$4:$E$96,$E$91,$O$4:$O$96,$O$96)</f>
        <v>0</v>
      </c>
      <c r="P109" s="2">
        <v>0</v>
      </c>
      <c r="Q109" s="2"/>
    </row>
    <row r="110" spans="1:17" x14ac:dyDescent="0.35">
      <c r="C110" s="2"/>
      <c r="D110" s="2" t="s">
        <v>364</v>
      </c>
      <c r="E110" s="2">
        <f>COUNTIFS(E4:E96,E93)</f>
        <v>35</v>
      </c>
      <c r="F110" s="2">
        <f>COUNTIFS(E4:E96,E93,O4:O96,O93)</f>
        <v>17</v>
      </c>
      <c r="G110" s="2">
        <f>COUNTIFS(E4:E96,E91,O4:O96,O90)</f>
        <v>18</v>
      </c>
      <c r="H110" s="60">
        <f>((-F110/E110)*IMLOG2(F110/E110))+((-G110/E110)*IMLOG2(G110/E110))</f>
        <v>0.99941106473875652</v>
      </c>
      <c r="I110" s="2"/>
      <c r="K110" s="2"/>
      <c r="L110" s="2"/>
      <c r="M110" s="62">
        <f>SUM(M108:M109)</f>
        <v>7</v>
      </c>
      <c r="N110" s="62">
        <f t="shared" ref="N110:O110" si="0">SUM(N108:N109)</f>
        <v>8</v>
      </c>
      <c r="O110" s="62">
        <f t="shared" si="0"/>
        <v>6</v>
      </c>
      <c r="P110" s="2"/>
      <c r="Q110" s="2"/>
    </row>
    <row r="111" spans="1:17" x14ac:dyDescent="0.35">
      <c r="C111" s="2"/>
      <c r="D111" s="2"/>
      <c r="E111" s="2">
        <f>SUM(E108:E110)</f>
        <v>93</v>
      </c>
      <c r="F111" s="2">
        <f>SUM(F108:F110)</f>
        <v>22</v>
      </c>
      <c r="G111" s="2">
        <f>SUM(G108:G110)</f>
        <v>71</v>
      </c>
      <c r="H111" s="2"/>
      <c r="I111" s="2"/>
      <c r="K111" s="2" t="s">
        <v>368</v>
      </c>
      <c r="L111" s="2"/>
      <c r="M111" s="2"/>
      <c r="N111" s="2"/>
      <c r="O111" s="2"/>
      <c r="P111" s="2"/>
      <c r="Q111" s="67">
        <f>$P$106 - (((M112/$M$106)* P112)+((M113/$M$106)*P113))</f>
        <v>0</v>
      </c>
    </row>
    <row r="112" spans="1:17" x14ac:dyDescent="0.35">
      <c r="C112" s="2" t="s">
        <v>5</v>
      </c>
      <c r="D112" s="2"/>
      <c r="E112" s="2"/>
      <c r="F112" s="2"/>
      <c r="G112" s="2"/>
      <c r="H112" s="2"/>
      <c r="I112" s="60">
        <f>$H$106 - (((E113/$E$106)* H113)+((E114/$E$106)*H114))</f>
        <v>0.10819546788591783</v>
      </c>
      <c r="K112" s="2"/>
      <c r="L112" s="2" t="s">
        <v>319</v>
      </c>
      <c r="M112" s="2">
        <f>COUNTIFS($G$4:$G$96,$G$96,$J$4:$J$96,$J$91,$E$4:$E$96,$E$92)</f>
        <v>7</v>
      </c>
      <c r="N112" s="2">
        <f>COUNTIFS($G$4:$G$96,$G$96,$J$4:$J$96,$J$91,$E$4:$E$96,$E$92,$O$4:$O$96,$O$95)</f>
        <v>1</v>
      </c>
      <c r="O112" s="2">
        <f>COUNTIFS($G$4:$G$96,$G$96,$J$4:$J$96,$J$91,$E$4:$E$96,$E$92,$O$4:$O$96,$O$96)</f>
        <v>6</v>
      </c>
      <c r="P112" s="73">
        <f>((-N112/M112)*IMLOG2(N112/M112))+((-O112/M112)*IMLOG2(O112/M112))</f>
        <v>0.59167277858232681</v>
      </c>
      <c r="Q112" s="2"/>
    </row>
    <row r="113" spans="3:17" x14ac:dyDescent="0.35">
      <c r="C113" s="2"/>
      <c r="D113" s="2" t="s">
        <v>362</v>
      </c>
      <c r="E113" s="2">
        <f>COUNTIFS(F4:F96,F96)</f>
        <v>77</v>
      </c>
      <c r="F113" s="2">
        <f>COUNTIFS(F4:F96,F96,O4:O96,O95)</f>
        <v>12</v>
      </c>
      <c r="G113" s="2">
        <f>COUNTIFS(F4:F96,F96,O4:O96,O96)</f>
        <v>65</v>
      </c>
      <c r="H113" s="60">
        <f>((-F113/E113)*IMLOG2(F113/E113))+((-G113/E113)*IMLOG2(G113/E113))</f>
        <v>0.62427410101303971</v>
      </c>
      <c r="I113" s="2"/>
      <c r="K113" s="2"/>
      <c r="L113" s="2" t="s">
        <v>362</v>
      </c>
      <c r="M113" s="2">
        <f>COUNTIFS($G$4:$G$96,$G$81,$J$4:$J$96,$J$91,$E$4:$E$96,$E$92)</f>
        <v>0</v>
      </c>
      <c r="N113" s="2">
        <v>0</v>
      </c>
      <c r="O113" s="2">
        <v>0</v>
      </c>
      <c r="P113" s="73">
        <v>0</v>
      </c>
      <c r="Q113" s="2"/>
    </row>
    <row r="114" spans="3:17" x14ac:dyDescent="0.35">
      <c r="C114" s="2"/>
      <c r="D114" s="2" t="s">
        <v>367</v>
      </c>
      <c r="E114" s="2">
        <f>COUNTIFS(F4:F96,F93)</f>
        <v>16</v>
      </c>
      <c r="F114" s="2">
        <f>COUNTIFS(F4:F96,F93,O4:O96,O95)</f>
        <v>10</v>
      </c>
      <c r="G114" s="2">
        <f>COUNTIFS(F4:F96,F93,O4:O96,O96)</f>
        <v>6</v>
      </c>
      <c r="H114" s="60">
        <f>((-F114/E114)*IMLOG2(F114/E114))+((-G114/E114)*IMLOG2(G114/E114))</f>
        <v>0.95443400292496372</v>
      </c>
      <c r="I114" s="2"/>
      <c r="K114" s="2"/>
      <c r="L114" s="2"/>
      <c r="M114" s="62">
        <f>SUM(M112:M113)</f>
        <v>7</v>
      </c>
      <c r="N114" s="62">
        <f t="shared" ref="N114:O114" si="1">SUM(N112:N113)</f>
        <v>1</v>
      </c>
      <c r="O114" s="62">
        <f t="shared" si="1"/>
        <v>6</v>
      </c>
      <c r="P114" s="2"/>
      <c r="Q114" s="2"/>
    </row>
    <row r="115" spans="3:17" x14ac:dyDescent="0.35">
      <c r="C115" s="2"/>
      <c r="D115" s="2"/>
      <c r="E115" s="2">
        <f>SUM(E113:E114)</f>
        <v>93</v>
      </c>
      <c r="F115" s="2">
        <f t="shared" ref="F115:G115" si="2">SUM(F113:F114)</f>
        <v>22</v>
      </c>
      <c r="G115" s="2">
        <f t="shared" si="2"/>
        <v>71</v>
      </c>
      <c r="H115" s="2"/>
      <c r="I115" s="2"/>
      <c r="K115" s="2" t="s">
        <v>369</v>
      </c>
      <c r="L115" s="2"/>
      <c r="M115" s="2"/>
      <c r="N115" s="2"/>
      <c r="O115" s="2"/>
      <c r="P115" s="2"/>
      <c r="Q115" s="67">
        <f>$P$106 - (((M116/$M$106)* P116)+((M117/$M$106)*P117))</f>
        <v>0</v>
      </c>
    </row>
    <row r="116" spans="3:17" x14ac:dyDescent="0.35">
      <c r="C116" s="2" t="s">
        <v>368</v>
      </c>
      <c r="D116" s="2"/>
      <c r="E116" s="2"/>
      <c r="F116" s="2"/>
      <c r="G116" s="2"/>
      <c r="H116" s="2"/>
      <c r="I116" s="60">
        <f>$H$106 - (((E117/$E$106)* H117)+((E118/$E$106)*H118))</f>
        <v>4.9504250602608213E-2</v>
      </c>
      <c r="K116" s="2"/>
      <c r="L116" s="2" t="s">
        <v>319</v>
      </c>
      <c r="M116" s="2">
        <f>COUNTIFS($H$4:$H$96,$H$95,$J$4:$J$96,$J$91,$E$4:$E$96,$E$92)</f>
        <v>7</v>
      </c>
      <c r="N116" s="2">
        <f>COUNTIFS($H$4:$H$96,$H$95,$J$4:$J$96,$J$91,$E$4:$E$96,$E$92,$O$4:$O$96,$O$95)</f>
        <v>1</v>
      </c>
      <c r="O116" s="2">
        <f>COUNTIFS($H$4:$H$96,$H$95,$J$4:$J$96,$J$91,$E$4:$E$96,$E$92,$O$4:$O$96,$O$96)</f>
        <v>6</v>
      </c>
      <c r="P116" s="73">
        <f>((-N116/M116)*IMLOG2(N116/M116))+((-O116/M116)*IMLOG2(O116/M116))</f>
        <v>0.59167277858232681</v>
      </c>
      <c r="Q116" s="2"/>
    </row>
    <row r="117" spans="3:17" x14ac:dyDescent="0.35">
      <c r="C117" s="2"/>
      <c r="D117" s="2" t="s">
        <v>319</v>
      </c>
      <c r="E117" s="2">
        <f>COUNTIFS(G4:G96,G96)</f>
        <v>82</v>
      </c>
      <c r="F117" s="2">
        <f>COUNTIFS(G4:G96,G96,O4:O96,O95)</f>
        <v>22</v>
      </c>
      <c r="G117" s="2">
        <f>COUNTIFS(G4:G96,G96,O4:O96,O96)</f>
        <v>60</v>
      </c>
      <c r="H117" s="60">
        <f>((-F117/E117)*IMLOG2(F117/E117))+((-G117/E117)*IMLOG2(G117/E117))</f>
        <v>0.83900406136769856</v>
      </c>
      <c r="I117" s="2"/>
      <c r="K117" s="2"/>
      <c r="L117" s="2" t="s">
        <v>362</v>
      </c>
      <c r="M117" s="2">
        <f>COUNTIFS($H$4:$H$96,$H$38,$J$4:$J$96,$J$91,$E$4:$E$96,$E$92)</f>
        <v>0</v>
      </c>
      <c r="N117" s="2">
        <f t="shared" ref="N117:O117" si="3">COUNTIFS($H$4:$H$96,$H$38,$J$4:$J$96,$J$91,$E$4:$E$96,$E$92)</f>
        <v>0</v>
      </c>
      <c r="O117" s="2">
        <f t="shared" si="3"/>
        <v>0</v>
      </c>
      <c r="P117" s="2">
        <v>0</v>
      </c>
      <c r="Q117" s="2"/>
    </row>
    <row r="118" spans="3:17" x14ac:dyDescent="0.35">
      <c r="C118" s="2"/>
      <c r="D118" s="2" t="s">
        <v>362</v>
      </c>
      <c r="E118" s="2">
        <f>COUNTIFS($G$4:$G$96,$G$90)</f>
        <v>11</v>
      </c>
      <c r="F118" s="2">
        <f>COUNTIFS($G$4:$G$96,$G$90,O4:O96,O95)</f>
        <v>0</v>
      </c>
      <c r="G118" s="2">
        <f>COUNTIFS($G$4:$G$96,$G$90,O4:O96,O96)</f>
        <v>11</v>
      </c>
      <c r="H118" s="2">
        <v>0</v>
      </c>
      <c r="I118" s="2"/>
      <c r="K118" s="2"/>
      <c r="L118" s="2"/>
      <c r="M118" s="2"/>
      <c r="N118" s="2"/>
      <c r="O118" s="2"/>
      <c r="P118" s="2"/>
      <c r="Q118" s="2"/>
    </row>
    <row r="119" spans="3:17" x14ac:dyDescent="0.35">
      <c r="C119" s="2"/>
      <c r="D119" s="2"/>
      <c r="E119" s="2">
        <f>SUM(E117:E118)</f>
        <v>93</v>
      </c>
      <c r="F119" s="2">
        <f t="shared" ref="F119:G119" si="4">SUM(F117:F118)</f>
        <v>22</v>
      </c>
      <c r="G119" s="2">
        <f t="shared" si="4"/>
        <v>71</v>
      </c>
      <c r="H119" s="2"/>
      <c r="I119" s="2"/>
      <c r="K119" s="2" t="s">
        <v>372</v>
      </c>
      <c r="L119" s="2"/>
      <c r="M119" s="2"/>
      <c r="N119" s="2"/>
      <c r="O119" s="2"/>
      <c r="P119" s="2"/>
      <c r="Q119" s="67">
        <f>$P$106 - (((M120/$M$106)* P120)+((M121/$M$106)*P121))</f>
        <v>0</v>
      </c>
    </row>
    <row r="120" spans="3:17" x14ac:dyDescent="0.35">
      <c r="C120" s="2" t="s">
        <v>369</v>
      </c>
      <c r="D120" s="2"/>
      <c r="E120" s="2"/>
      <c r="F120" s="2"/>
      <c r="G120" s="2"/>
      <c r="H120" s="2"/>
      <c r="I120" s="60">
        <f>$H$106 - (((E121/$E$106)* H121)+((E122/$E$106)*H122))</f>
        <v>2.263698649607615E-2</v>
      </c>
      <c r="K120" s="2"/>
      <c r="L120" s="2" t="s">
        <v>319</v>
      </c>
      <c r="M120" s="2">
        <f>COUNTIFS($I$4:$I$96,$I$96,$J$4:$J$96,$J$91,$E$4:$E$96,$E$92)</f>
        <v>7</v>
      </c>
      <c r="N120" s="2">
        <f>COUNTIFS($I$4:$I$96,$I$96,$J$4:$J$96,$J$91,$E$4:$E$96,$E$92,$O$4:$O$96,$O$95)</f>
        <v>1</v>
      </c>
      <c r="O120" s="2">
        <f>COUNTIFS($I$4:$I$96,$I$96,$J$4:$J$96,$J$91,$E$4:$E$96,$E$92,$O$4:$O$96,$O$96)</f>
        <v>6</v>
      </c>
      <c r="P120" s="73">
        <f>((-N120/M120)*IMLOG2(N120/M120))+((-O120/M120)*IMLOG2(O120/M120))</f>
        <v>0.59167277858232681</v>
      </c>
      <c r="Q120" s="2"/>
    </row>
    <row r="121" spans="3:17" x14ac:dyDescent="0.35">
      <c r="C121" s="2"/>
      <c r="D121" s="2" t="s">
        <v>319</v>
      </c>
      <c r="E121" s="2">
        <f>COUNTIFS($H$4:$H$96,$H$93)</f>
        <v>92</v>
      </c>
      <c r="F121" s="2">
        <f>COUNTIFS($H$4:$H$96,$H$93,O4:O96,O94)</f>
        <v>21</v>
      </c>
      <c r="G121" s="2">
        <f>COUNTIFS($H$4:$H$96,$H$93,O4:O96,O96)</f>
        <v>71</v>
      </c>
      <c r="H121" s="60">
        <f>((-F121/E121)*IMLOG2(F121/E121))+((-G121/E121)*IMLOG2(G121/E121))</f>
        <v>0.77496726732672561</v>
      </c>
      <c r="I121" s="2"/>
      <c r="K121" s="2"/>
      <c r="L121" s="2" t="s">
        <v>362</v>
      </c>
      <c r="M121" s="2">
        <f>COUNTIFS($I$4:$I$96,$I$83,$J$4:$J$96,$J$91,$E$4:$E$96,$E$92)</f>
        <v>0</v>
      </c>
      <c r="N121" s="2">
        <v>0</v>
      </c>
      <c r="O121" s="2">
        <v>0</v>
      </c>
      <c r="P121" s="2">
        <v>0</v>
      </c>
      <c r="Q121" s="2"/>
    </row>
    <row r="122" spans="3:17" x14ac:dyDescent="0.35">
      <c r="C122" s="2"/>
      <c r="D122" s="2" t="s">
        <v>362</v>
      </c>
      <c r="E122" s="2">
        <f>COUNTIFS($H$4:$H$96,$H$38)</f>
        <v>1</v>
      </c>
      <c r="F122" s="2">
        <f>COUNTIFS($H$4:$H$96,$H$38,O4:O96,O89)</f>
        <v>1</v>
      </c>
      <c r="G122" s="2">
        <f>COUNTIFS($H$4:$H$96,$H$38,O4:O96,O96)</f>
        <v>0</v>
      </c>
      <c r="H122" s="2">
        <v>0</v>
      </c>
      <c r="I122" s="2"/>
      <c r="K122" s="2"/>
      <c r="L122" s="2"/>
      <c r="M122" s="2"/>
      <c r="N122" s="2"/>
      <c r="O122" s="2"/>
      <c r="P122" s="2"/>
      <c r="Q122" s="2"/>
    </row>
    <row r="123" spans="3:17" x14ac:dyDescent="0.35">
      <c r="C123" s="2"/>
      <c r="D123" s="2"/>
      <c r="E123" s="2">
        <f>SUM(E121:E122)</f>
        <v>93</v>
      </c>
      <c r="F123" s="2">
        <f t="shared" ref="F123:G123" si="5">SUM(F121:F122)</f>
        <v>22</v>
      </c>
      <c r="G123" s="2">
        <f t="shared" si="5"/>
        <v>71</v>
      </c>
      <c r="H123" s="2"/>
      <c r="I123" s="2"/>
      <c r="K123" s="90" t="s">
        <v>378</v>
      </c>
      <c r="L123" s="90"/>
      <c r="M123" s="90"/>
      <c r="N123" s="90"/>
      <c r="O123" s="90"/>
      <c r="P123" s="90"/>
      <c r="Q123" s="67">
        <f>$P$106 - (((M124/$M$106)* P124)+((M125/$M$106)*P125))</f>
        <v>0</v>
      </c>
    </row>
    <row r="124" spans="3:17" x14ac:dyDescent="0.35">
      <c r="C124" s="2" t="s">
        <v>372</v>
      </c>
      <c r="D124" s="2"/>
      <c r="E124" s="2"/>
      <c r="F124" s="2"/>
      <c r="G124" s="2"/>
      <c r="H124" s="2"/>
      <c r="I124" s="60">
        <f>$H$106 - (((E125/$E$106)* H125)+((E126/$E$106)*H126))</f>
        <v>8.479561374480471E-3</v>
      </c>
      <c r="K124" s="88"/>
      <c r="L124" s="88" t="s">
        <v>365</v>
      </c>
      <c r="M124" s="88">
        <f>COUNTIFS($M$4:$M$96,$M$96,$J$4:$J$96,$J$91,$E$4:$E$96,$E$92)</f>
        <v>7</v>
      </c>
      <c r="N124" s="88">
        <f>COUNTIFS($M$4:$M$96,$M$96,$J$4:$J$96,$J$91,$E$4:$E$96,$E$92,$O$4:$O$96,$O$95)</f>
        <v>1</v>
      </c>
      <c r="O124" s="88">
        <f>COUNTIFS($M$4:$M$96,$M$96,$J$4:$J$96,$J$91,$E$4:$E$96,$E$92,$O$4:$O$96,$O$96)</f>
        <v>6</v>
      </c>
      <c r="P124" s="107">
        <f>((-N124/M124)*IMLOG2(N124/M124))+((-O124/M124)*IMLOG2(O124/M124))</f>
        <v>0.59167277858232681</v>
      </c>
      <c r="Q124" s="88"/>
    </row>
    <row r="125" spans="3:17" x14ac:dyDescent="0.35">
      <c r="C125" s="2"/>
      <c r="D125" s="2" t="s">
        <v>319</v>
      </c>
      <c r="E125" s="2">
        <f>COUNTIFS($I$4:$I$96,$I$89)</f>
        <v>91</v>
      </c>
      <c r="F125" s="2">
        <f>COUNTIFS($I$4:$I$96,$I$89,O4:O96,O94)</f>
        <v>22</v>
      </c>
      <c r="G125" s="2">
        <f>COUNTIFS($I$4:$I$96,$I$89,O4:O96,O96)</f>
        <v>69</v>
      </c>
      <c r="H125" s="60">
        <f>((-F125/E125)*IMLOG2(F125/E125))+((-G125/E125)*IMLOG2(G125/E125))</f>
        <v>0.79795196846557315</v>
      </c>
      <c r="I125" s="2"/>
      <c r="K125" s="2"/>
      <c r="L125" s="2" t="s">
        <v>366</v>
      </c>
      <c r="M125" s="2">
        <f>COUNTIFS($M$4:$M$96,$M$34,$J$4:$J$96,$J$91,$E$4:$E$96,$E$92)</f>
        <v>0</v>
      </c>
      <c r="N125" s="2">
        <f>COUNTIFS($M$4:$M$96,$M$34,$J$4:$J$96,$J$91,$E$4:$E$96,$E$92,$O$4:$O$96,$O$95)</f>
        <v>0</v>
      </c>
      <c r="O125" s="2">
        <f>COUNTIFS($M$4:$M$96,$M$34,$J$4:$J$96,$J$91,$E$4:$E$96,$E$92,$O$4:$O$96,$O$96)</f>
        <v>0</v>
      </c>
      <c r="P125" s="2">
        <v>0</v>
      </c>
      <c r="Q125" s="2"/>
    </row>
    <row r="126" spans="3:17" x14ac:dyDescent="0.35">
      <c r="C126" s="2"/>
      <c r="D126" s="2" t="s">
        <v>362</v>
      </c>
      <c r="E126" s="2">
        <f>COUNTIFS($I$4:$I$96,$I$88)</f>
        <v>2</v>
      </c>
      <c r="F126" s="2">
        <f>COUNTIFS($I$4:$I$96,$I$88,O4:O96,O93)</f>
        <v>0</v>
      </c>
      <c r="G126" s="2">
        <f>COUNTIFS($I$4:$I$96,$I$88,O4:O96,O96)</f>
        <v>2</v>
      </c>
      <c r="H126" s="2">
        <v>0</v>
      </c>
      <c r="I126" s="2"/>
      <c r="K126" s="2"/>
      <c r="L126" s="2" t="s">
        <v>362</v>
      </c>
      <c r="M126" s="2">
        <f>COUNTIFS($M$4:$M$96,$M$47,$J$4:$J$96,$J$91,$E$4:$E$96,$E$92)</f>
        <v>0</v>
      </c>
      <c r="N126" s="2">
        <f>COUNTIFS($M$4:$M$96,$M$47,$J$4:$J$96,$J$91,$E$4:$E$96,$E$92,$O$4:$O$96,$O$95)</f>
        <v>0</v>
      </c>
      <c r="O126" s="2">
        <f>COUNTIFS($M$4:$M$96,$M$47,$J$4:$J$96,$J$91,$E$4:$E$96,$E$92,$O$4:$O$96,$O$96)</f>
        <v>0</v>
      </c>
      <c r="P126" s="2">
        <v>0</v>
      </c>
      <c r="Q126" s="2"/>
    </row>
    <row r="127" spans="3:17" x14ac:dyDescent="0.35">
      <c r="C127" s="2"/>
      <c r="D127" s="2"/>
      <c r="E127" s="2">
        <f t="shared" ref="E127:G127" si="6">SUM(E125:E126)</f>
        <v>93</v>
      </c>
      <c r="F127" s="2">
        <f t="shared" si="6"/>
        <v>22</v>
      </c>
      <c r="G127" s="2">
        <f t="shared" si="6"/>
        <v>71</v>
      </c>
      <c r="H127" s="2"/>
      <c r="I127" s="2"/>
      <c r="K127" s="2"/>
      <c r="L127" s="2"/>
      <c r="M127" s="2">
        <f>SUM(M124:M126)</f>
        <v>7</v>
      </c>
      <c r="N127" s="2">
        <f t="shared" ref="N127:O127" si="7">SUM(N124:N126)</f>
        <v>1</v>
      </c>
      <c r="O127" s="2">
        <f t="shared" si="7"/>
        <v>6</v>
      </c>
      <c r="P127" s="2"/>
      <c r="Q127" s="2"/>
    </row>
    <row r="128" spans="3:17" x14ac:dyDescent="0.35">
      <c r="C128" s="68" t="s">
        <v>8</v>
      </c>
      <c r="D128" s="71"/>
      <c r="E128" s="71"/>
      <c r="F128" s="71"/>
      <c r="G128" s="71"/>
      <c r="H128" s="71"/>
      <c r="I128" s="70">
        <f>$H$106 - (((E129/$E$106)* H129)-((E130/$E$106)*H130))</f>
        <v>0.89647044474350024</v>
      </c>
      <c r="K128" s="2" t="s">
        <v>373</v>
      </c>
      <c r="L128" s="2"/>
      <c r="M128" s="2"/>
      <c r="N128" s="2"/>
      <c r="O128" s="2"/>
      <c r="P128" s="2"/>
      <c r="Q128" s="67">
        <f>$P$106 - (((M129/$M$106)* P129)+((M130/$M$106)*P130)+((M131/$M$106)*P131))</f>
        <v>0</v>
      </c>
    </row>
    <row r="129" spans="3:17" x14ac:dyDescent="0.35">
      <c r="C129" s="2"/>
      <c r="D129" s="80" t="s">
        <v>365</v>
      </c>
      <c r="E129" s="80">
        <f>COUNTIFS($J$4:$J$96,$J$96)</f>
        <v>55</v>
      </c>
      <c r="F129" s="80">
        <f>COUNTIFS($J$4:$J$96,$J$96,O4:O96,O95)</f>
        <v>6</v>
      </c>
      <c r="G129" s="80">
        <f>COUNTIFS($J$4:$J$96,$J$96,O4:O96,O96)</f>
        <v>49</v>
      </c>
      <c r="H129" s="91">
        <f>((-F129/E129)*IMLOG2(F129/E129))+((-G129/E129)*IMLOG2(G129/E129))</f>
        <v>0.49716776141607455</v>
      </c>
      <c r="I129" s="2"/>
      <c r="K129" s="2"/>
      <c r="L129" s="2" t="s">
        <v>366</v>
      </c>
      <c r="M129" s="2">
        <f>COUNTIFS($K$4:$K$96,$K$95,$J$4:$J$96,$J$91,$E$4:$E$96,$E$92)</f>
        <v>0</v>
      </c>
      <c r="N129" s="2">
        <f>COUNTIFS($K$4:$K$96,$K$95,$J$4:$J$96,$J$91,$E$4:$E$96,$E$92,$O$4:$O$96,$O$95)</f>
        <v>0</v>
      </c>
      <c r="O129" s="2">
        <f>COUNTIFS($K$4:$K$96,$K$95,$J$4:$J$96,$J$91,$E$4:$E$96,$E$92,$O$4:$O$96,$O$96)</f>
        <v>0</v>
      </c>
      <c r="P129" s="2">
        <v>0</v>
      </c>
      <c r="Q129" s="2"/>
    </row>
    <row r="130" spans="3:17" x14ac:dyDescent="0.35">
      <c r="C130" s="2"/>
      <c r="D130" s="83" t="s">
        <v>362</v>
      </c>
      <c r="E130" s="83">
        <f>COUNTIFS($J$4:$J$96,$J$94)</f>
        <v>38</v>
      </c>
      <c r="F130" s="83">
        <f>COUNTIFS($J$4:$J$96,$J$94,O4:O96,O95)</f>
        <v>16</v>
      </c>
      <c r="G130" s="83">
        <f>COUNTIFS($J$4:$J$96,$J$94,O4:O96,O96)</f>
        <v>22</v>
      </c>
      <c r="H130" s="84">
        <f>((-F130/E130)*IMLOG2(F130/E130))+((-G130/E130)*IMLOG2(G130/E130))</f>
        <v>0.98194078686409947</v>
      </c>
      <c r="I130" s="2"/>
      <c r="K130" s="2"/>
      <c r="L130" s="2" t="s">
        <v>364</v>
      </c>
      <c r="M130" s="2">
        <f>COUNTIFS($K$4:$K$96,$K$90,$J$4:$J$96,$J$91,$E$4:$E$96,$E$92)</f>
        <v>0</v>
      </c>
      <c r="N130" s="2">
        <f>COUNTIFS($K$4:$K$96,$K$90,$J$4:$J$96,$J$91,$E$4:$E$96,$E$92,$O$4:$O$96,$O$95)</f>
        <v>0</v>
      </c>
      <c r="O130" s="2">
        <f>COUNTIFS($K$4:$K$96,$K$90,$J$4:$J$96,$J$91,$E$4:$E$96,$E$92,$O$4:$O$96,$O$96)</f>
        <v>0</v>
      </c>
      <c r="P130" s="2">
        <v>0</v>
      </c>
      <c r="Q130" s="2"/>
    </row>
    <row r="131" spans="3:17" x14ac:dyDescent="0.35">
      <c r="C131" s="2"/>
      <c r="D131" s="2"/>
      <c r="E131" s="2">
        <f t="shared" ref="E131" si="8">SUM(E129:E130)</f>
        <v>93</v>
      </c>
      <c r="F131" s="2">
        <f t="shared" ref="F131" si="9">SUM(F129:F130)</f>
        <v>22</v>
      </c>
      <c r="G131" s="2">
        <f t="shared" ref="G131" si="10">SUM(G129:G130)</f>
        <v>71</v>
      </c>
      <c r="H131" s="2"/>
      <c r="I131" s="2"/>
      <c r="K131" s="2"/>
      <c r="L131" s="2" t="s">
        <v>374</v>
      </c>
      <c r="M131" s="2">
        <f>COUNTIFS($K$4:$K$96,$K$91,$J$4:$J$96,$J$91,$E$4:$E$96,$E$92)</f>
        <v>7</v>
      </c>
      <c r="N131" s="2">
        <f>COUNTIFS($K$4:$K$96,$K$91,$J$4:$J$96,$J$91,$E$4:$E$96,$E$92,$O$4:$O$96,$O$95)</f>
        <v>1</v>
      </c>
      <c r="O131" s="2">
        <f>COUNTIFS($K$4:$K$96,$K$91,$J$4:$J$96,$J$91,$E$4:$E$96,$E$92,$O$4:$O$96,$O$96)</f>
        <v>6</v>
      </c>
      <c r="P131" s="73">
        <f>((-N131/M131)*IMLOG2(N131/M131))+((-O131/M131)*IMLOG2(O131/M131))</f>
        <v>0.59167277858232681</v>
      </c>
      <c r="Q131" s="2"/>
    </row>
    <row r="132" spans="3:17" x14ac:dyDescent="0.35">
      <c r="C132" s="2" t="s">
        <v>373</v>
      </c>
      <c r="D132" s="2"/>
      <c r="E132" s="2"/>
      <c r="F132" s="2"/>
      <c r="G132" s="2"/>
      <c r="H132" s="2"/>
      <c r="I132" s="60">
        <f>$H$106 - (((E133/$E$106)* H133)+((E134/$E$106)*H134)+((E135/$E$106)*H135))</f>
        <v>3.6553437263682875E-2</v>
      </c>
      <c r="K132" s="2"/>
      <c r="L132" s="2"/>
      <c r="M132" s="2">
        <f>SUM(M129:M131)</f>
        <v>7</v>
      </c>
      <c r="N132" s="2">
        <f t="shared" ref="N132:O132" si="11">SUM(N129:N131)</f>
        <v>1</v>
      </c>
      <c r="O132" s="2">
        <f t="shared" si="11"/>
        <v>6</v>
      </c>
      <c r="P132" s="2"/>
      <c r="Q132" s="2"/>
    </row>
    <row r="133" spans="3:17" x14ac:dyDescent="0.35">
      <c r="C133" s="2"/>
      <c r="D133" s="2" t="s">
        <v>366</v>
      </c>
      <c r="E133" s="2">
        <f>COUNTIFS($K$4:$K$96,$K$95)</f>
        <v>29</v>
      </c>
      <c r="F133" s="2">
        <f>COUNTIFS($K$4:$K$96,$K$95,O4:O96,O94)</f>
        <v>6</v>
      </c>
      <c r="G133" s="2">
        <f>COUNTIFS($K$4:$K$96,$K$95,O4:O96,O96)</f>
        <v>23</v>
      </c>
      <c r="H133" s="60">
        <f t="shared" ref="H133:H135" si="12">((-F133/E133)*IMLOG2(F133/E133))+((-G133/E133)*IMLOG2(G133/E133))</f>
        <v>0.73550858155384047</v>
      </c>
      <c r="I133" s="2"/>
      <c r="K133" s="2" t="s">
        <v>9</v>
      </c>
      <c r="L133" s="2"/>
      <c r="M133" s="2"/>
      <c r="N133" s="2"/>
      <c r="O133" s="2"/>
      <c r="P133" s="2"/>
      <c r="Q133" s="67">
        <f>$P$106 - (((M134/$M$106)* P134)+((M135/$M$106)*P135)+((M136/$M$106)*P136))</f>
        <v>0</v>
      </c>
    </row>
    <row r="134" spans="3:17" x14ac:dyDescent="0.35">
      <c r="C134" s="2"/>
      <c r="D134" s="2" t="s">
        <v>364</v>
      </c>
      <c r="E134" s="2">
        <f>COUNTIFS($K$4:$K$96,$K$90)</f>
        <v>21</v>
      </c>
      <c r="F134" s="2">
        <f>COUNTIFS($K$4:$K$96,$K$90,O4:O96,O91)</f>
        <v>2</v>
      </c>
      <c r="G134" s="2">
        <f>COUNTIFS($K$4:$K$96,$K$90,O4:O96,O96)</f>
        <v>19</v>
      </c>
      <c r="H134" s="60">
        <f t="shared" si="12"/>
        <v>0.45371633918694498</v>
      </c>
      <c r="I134" s="2"/>
      <c r="K134" s="2"/>
      <c r="L134" s="2" t="s">
        <v>319</v>
      </c>
      <c r="M134" s="2">
        <f>COUNTIFS($L$4:$L$96,$L$27,$J$4:$J$96,$J$91,$E$4:$E$96,$E$92)</f>
        <v>7</v>
      </c>
      <c r="N134" s="2">
        <f>COUNTIFS($L$4:$L$96,$L$27,$J$4:$J$96,$J$91,$E$4:$E$96,$E$92,$O$4:$O$96,$O$95)</f>
        <v>1</v>
      </c>
      <c r="O134" s="2">
        <f>COUNTIFS($L$4:$L$96,$L$27,$J$4:$J$96,$J$91,$E$4:$E$96,$E$92,$O$4:$O$96,$O$96)</f>
        <v>6</v>
      </c>
      <c r="P134" s="73">
        <f>((-N134/M134)*IMLOG2(N134/M134))+((-O134/M134)*IMLOG2(O134/M134))</f>
        <v>0.59167277858232681</v>
      </c>
      <c r="Q134" s="2"/>
    </row>
    <row r="135" spans="3:17" x14ac:dyDescent="0.35">
      <c r="C135" s="2"/>
      <c r="D135" s="2" t="s">
        <v>374</v>
      </c>
      <c r="E135" s="2">
        <f>COUNTIFS($K$4:$K$96,$K$94)</f>
        <v>43</v>
      </c>
      <c r="F135" s="2">
        <f>COUNTIFS($K$4:$K$96,$K$94,O4:O96,O94)</f>
        <v>14</v>
      </c>
      <c r="G135" s="2">
        <f>COUNTIFS($K$4:$K$96,$K$94,O4:O96,O96)</f>
        <v>29</v>
      </c>
      <c r="H135" s="60">
        <f t="shared" si="12"/>
        <v>0.91034806243451427</v>
      </c>
      <c r="I135" s="2"/>
      <c r="K135" s="2"/>
      <c r="L135" s="2" t="s">
        <v>366</v>
      </c>
      <c r="M135" s="2">
        <f>COUNTIFS($L$4:$L$96,$L$47,$J$4:$J$96,$J$91,$E$4:$E$96,$E$92)</f>
        <v>0</v>
      </c>
      <c r="N135" s="2">
        <f>COUNTIFS($L$4:$L$96,$L$47,$J$4:$J$96,$J$91,$E$4:$E$96,$E$92,$O$4:$O$96,$O$95)</f>
        <v>0</v>
      </c>
      <c r="O135" s="2">
        <f>COUNTIFS($L$4:$L$96,$L$47,$J$4:$J$96,$J$91,$E$4:$E$96,$E$92,$O$4:$O$96,$O$96)</f>
        <v>0</v>
      </c>
      <c r="P135" s="2">
        <v>0</v>
      </c>
      <c r="Q135" s="2"/>
    </row>
    <row r="136" spans="3:17" x14ac:dyDescent="0.35">
      <c r="C136" s="2"/>
      <c r="D136" s="2"/>
      <c r="E136" s="2">
        <f>SUM(E133:E135)</f>
        <v>93</v>
      </c>
      <c r="F136" s="2">
        <f t="shared" ref="F136:G136" si="13">SUM(F133:F135)</f>
        <v>22</v>
      </c>
      <c r="G136" s="2">
        <f t="shared" si="13"/>
        <v>71</v>
      </c>
      <c r="H136" s="2"/>
      <c r="I136" s="2"/>
      <c r="K136" s="2"/>
      <c r="L136" s="2" t="s">
        <v>362</v>
      </c>
      <c r="M136" s="2">
        <f>COUNTIFS($L$4:$L$96,$L$91,$J$4:$J$96,$J$91,$E$4:$E$96,$E$92)</f>
        <v>0</v>
      </c>
      <c r="N136" s="2">
        <f>COUNTIFS($L$4:$L$96,$L$91,$J$4:$J$96,$J$91,$E$4:$E$96,$E$92,$O$4:$O$96,$O$95)</f>
        <v>0</v>
      </c>
      <c r="O136" s="2">
        <f>COUNTIFS($L$4:$L$96,$L$91,$J$4:$J$96,$J$91,$E$4:$E$96,$E$92,$O$4:$O$96,$O$96)</f>
        <v>0</v>
      </c>
      <c r="P136" s="2">
        <v>0</v>
      </c>
      <c r="Q136" s="2"/>
    </row>
    <row r="137" spans="3:17" x14ac:dyDescent="0.35">
      <c r="C137" s="2" t="s">
        <v>9</v>
      </c>
      <c r="D137" s="2"/>
      <c r="E137" s="2"/>
      <c r="F137" s="2"/>
      <c r="G137" s="2"/>
      <c r="H137" s="2"/>
      <c r="I137" s="60">
        <f>$H$106 - (((E138/$E$106)* H138)+((E139/$E$106)*H139)+((E140/$E$106)*H140))</f>
        <v>0.2208890825793085</v>
      </c>
      <c r="K137" s="2"/>
      <c r="L137" s="2"/>
      <c r="M137" s="2">
        <f>SUM(M134:M136)</f>
        <v>7</v>
      </c>
      <c r="N137" s="2">
        <f t="shared" ref="N137:O137" si="14">SUM(N134:N136)</f>
        <v>1</v>
      </c>
      <c r="O137" s="2">
        <f t="shared" si="14"/>
        <v>6</v>
      </c>
      <c r="P137" s="2"/>
      <c r="Q137" s="2"/>
    </row>
    <row r="138" spans="3:17" x14ac:dyDescent="0.35">
      <c r="C138" s="2"/>
      <c r="D138" s="2" t="s">
        <v>319</v>
      </c>
      <c r="E138" s="2">
        <f>COUNTIFS($L$4:$L$96,$L$94)</f>
        <v>82</v>
      </c>
      <c r="F138" s="2">
        <f>COUNTIFS($L$4:$L$96,$L$94,O4:O96,O93)</f>
        <v>12</v>
      </c>
      <c r="G138" s="2">
        <f>COUNTIFS($L$4:$L$96,$L$94,O4:O96,O96)</f>
        <v>70</v>
      </c>
      <c r="H138" s="60">
        <f t="shared" ref="H138:H140" si="15">((-F138/E138)*IMLOG2(F138/E138))+((-G138/E138)*IMLOG2(G138/E138))</f>
        <v>0.60060857541318713</v>
      </c>
      <c r="I138" s="2"/>
      <c r="K138" s="2" t="s">
        <v>11</v>
      </c>
      <c r="L138" s="2"/>
      <c r="M138" s="2"/>
      <c r="N138" s="2"/>
      <c r="O138" s="2"/>
      <c r="P138" s="2"/>
      <c r="Q138" s="67">
        <f>$P$106 - (((M139/$M$106)* P139)+((M140/$M$106)*P140))</f>
        <v>0</v>
      </c>
    </row>
    <row r="139" spans="3:17" x14ac:dyDescent="0.35">
      <c r="C139" s="2"/>
      <c r="D139" s="2" t="s">
        <v>366</v>
      </c>
      <c r="E139" s="2">
        <f>COUNTIFS($L$4:$L$96,$L$47)</f>
        <v>6</v>
      </c>
      <c r="F139" s="2">
        <f>COUNTIFS($L$4:$L$96,$L$47,O4:O96,O93)</f>
        <v>6</v>
      </c>
      <c r="G139" s="2">
        <f>COUNTIFS($L$4:$L$96,$L$47,O4:O96,O96)</f>
        <v>0</v>
      </c>
      <c r="H139" s="60">
        <v>0</v>
      </c>
      <c r="I139" s="2"/>
      <c r="K139" s="2"/>
      <c r="L139" s="2" t="s">
        <v>365</v>
      </c>
      <c r="M139" s="2">
        <f>COUNTIFS($N$4:$N$96,$N$96,$J$4:$J$96,$J$91,$E$4:$E$96,$E$92)</f>
        <v>7</v>
      </c>
      <c r="N139" s="2">
        <f>COUNTIFS($N$4:$N$96,$N$96,$J$4:$J$96,$J$91,$E$4:$E$96,$E$92,$O$4:$O$96,$O$95)</f>
        <v>1</v>
      </c>
      <c r="O139" s="2">
        <f>COUNTIFS($N$4:$N$96,$N$96,$J$4:$J$96,$J$91,$E$4:$E$96,$E$92,$O$4:$O$96,$O$96)</f>
        <v>6</v>
      </c>
      <c r="P139" s="73">
        <f>((-N139/M139)*IMLOG2(N139/M139))+((-O139/M139)*IMLOG2(O139/M139))</f>
        <v>0.59167277858232681</v>
      </c>
      <c r="Q139" s="2"/>
    </row>
    <row r="140" spans="3:17" x14ac:dyDescent="0.35">
      <c r="C140" s="2"/>
      <c r="D140" s="2" t="s">
        <v>362</v>
      </c>
      <c r="E140" s="2">
        <f>COUNTIFS($L$4:$L$96,$L$33)</f>
        <v>5</v>
      </c>
      <c r="F140" s="2">
        <f>COUNTIFS($L$4:$L$96,$L$33,O4:O96,O93)</f>
        <v>4</v>
      </c>
      <c r="G140" s="2">
        <f>COUNTIFS($L$4:$L$96,$L$33,O4:O96,O96)</f>
        <v>1</v>
      </c>
      <c r="H140" s="60">
        <f t="shared" si="15"/>
        <v>0.72192809488736165</v>
      </c>
      <c r="I140" s="2"/>
      <c r="K140" s="2"/>
      <c r="L140" s="2" t="s">
        <v>366</v>
      </c>
      <c r="M140" s="2">
        <f>COUNTIFS($N$4:$N$96,$N$14,$J$4:$J$96,$J$91,$E$4:$E$96,$E$92)</f>
        <v>0</v>
      </c>
      <c r="N140" s="2">
        <f>COUNTIFS($N$4:$N$96,$N$14,$J$4:$J$96,$J$91,$E$4:$E$96,$E$92,$O$4:$O$96,$O$95)</f>
        <v>0</v>
      </c>
      <c r="O140" s="2">
        <f>COUNTIFS($N$4:$N$96,$N$14,$J$4:$J$96,$J$91,$E$4:$E$96,$E$93,$O$4:$O$96,$O$96)</f>
        <v>0</v>
      </c>
      <c r="P140" s="2">
        <v>0</v>
      </c>
      <c r="Q140" s="2"/>
    </row>
    <row r="141" spans="3:17" x14ac:dyDescent="0.35">
      <c r="C141" s="2"/>
      <c r="D141" s="2"/>
      <c r="E141" s="2">
        <f>SUM(E138:E140)</f>
        <v>93</v>
      </c>
      <c r="F141" s="2">
        <f t="shared" ref="F141:G141" si="16">SUM(F138:F140)</f>
        <v>22</v>
      </c>
      <c r="G141" s="2">
        <f t="shared" si="16"/>
        <v>71</v>
      </c>
      <c r="H141" s="2"/>
      <c r="I141" s="2"/>
      <c r="K141" s="2"/>
      <c r="L141" s="2"/>
      <c r="M141" s="2"/>
      <c r="N141" s="2"/>
      <c r="O141" s="2"/>
      <c r="P141" s="2"/>
      <c r="Q141" s="2"/>
    </row>
    <row r="142" spans="3:17" x14ac:dyDescent="0.35">
      <c r="C142" s="63" t="s">
        <v>375</v>
      </c>
      <c r="D142" s="2"/>
      <c r="E142" s="2"/>
      <c r="F142" s="2"/>
      <c r="G142" s="2"/>
      <c r="H142" s="2"/>
      <c r="I142" s="67">
        <f>$H$106 - (((E143/$E$106)* H143)+((E144/$E$106)*H144)+((E145/$E$106)*H145))</f>
        <v>0.37264121871330541</v>
      </c>
      <c r="K142" s="2"/>
      <c r="L142" s="2"/>
      <c r="M142" s="2"/>
      <c r="N142" s="2"/>
      <c r="O142" s="2"/>
      <c r="P142" s="2"/>
      <c r="Q142" s="60">
        <f>MAX(Q107:Q140)</f>
        <v>0</v>
      </c>
    </row>
    <row r="143" spans="3:17" x14ac:dyDescent="0.35">
      <c r="C143" s="2"/>
      <c r="D143" s="2" t="s">
        <v>319</v>
      </c>
      <c r="E143" s="2">
        <f>COUNTIFS($M$4:$M$96,$M$96)</f>
        <v>72</v>
      </c>
      <c r="F143" s="2">
        <f t="shared" ref="F143" si="17">COUNTIFS($M$4:$M$96,$M$96,$O$4:$O$96,$O$95)</f>
        <v>5</v>
      </c>
      <c r="G143" s="2">
        <f>COUNTIFS($M$4:$M$96,$M$96,$O$4:$O$96,$O$96)</f>
        <v>67</v>
      </c>
      <c r="H143" s="60">
        <f t="shared" ref="H143:H144" si="18">((-F143/E143)*IMLOG2(F143/E143))+((-G143/E143)*IMLOG2(G143/E143))</f>
        <v>0.36384699817692956</v>
      </c>
      <c r="I143" s="2"/>
      <c r="K143" s="2"/>
      <c r="L143" s="2"/>
      <c r="M143" s="2"/>
      <c r="N143" s="2"/>
      <c r="O143" s="2"/>
      <c r="P143" s="2"/>
      <c r="Q143" s="2"/>
    </row>
    <row r="144" spans="3:17" x14ac:dyDescent="0.35">
      <c r="C144" s="2"/>
      <c r="D144" s="2" t="s">
        <v>366</v>
      </c>
      <c r="E144" s="2">
        <f>COUNTIFS($M$4:$M$96,$M$28)</f>
        <v>15</v>
      </c>
      <c r="F144" s="2">
        <f>COUNTIFS($M$4:$M$96,$M$28,$O$4:$O$96,$O$95)</f>
        <v>11</v>
      </c>
      <c r="G144" s="2">
        <f>COUNTIFS($M$4:$M$96,$M$54,$O$4:$O$96,$O$96)</f>
        <v>4</v>
      </c>
      <c r="H144" s="60">
        <f t="shared" si="18"/>
        <v>0.83664074194116733</v>
      </c>
      <c r="I144" s="2"/>
    </row>
    <row r="145" spans="3:17" x14ac:dyDescent="0.35">
      <c r="C145" s="2"/>
      <c r="D145" s="2" t="s">
        <v>362</v>
      </c>
      <c r="E145" s="2">
        <f>COUNTIFS($M$4:$M$96,$M$93)</f>
        <v>6</v>
      </c>
      <c r="F145" s="2">
        <f>COUNTIFS($M$4:$M$96,$M$93,$O$4:$O$96,$O$95)</f>
        <v>6</v>
      </c>
      <c r="G145" s="2">
        <f>COUNTIFS($M$4:$M$96,$M$93,$O$4:$O$96,$O$96)</f>
        <v>0</v>
      </c>
      <c r="H145" s="60">
        <v>0</v>
      </c>
      <c r="I145" s="2"/>
    </row>
    <row r="146" spans="3:17" x14ac:dyDescent="0.35">
      <c r="C146" s="2"/>
      <c r="D146" s="2"/>
      <c r="E146" s="2">
        <f>SUM(E143:E145)</f>
        <v>93</v>
      </c>
      <c r="F146" s="2">
        <f t="shared" ref="F146:G146" si="19">SUM(F143:F145)</f>
        <v>22</v>
      </c>
      <c r="G146" s="2">
        <f t="shared" si="19"/>
        <v>71</v>
      </c>
      <c r="H146" s="2"/>
      <c r="I146" s="2"/>
    </row>
    <row r="147" spans="3:17" x14ac:dyDescent="0.35">
      <c r="C147" s="2" t="s">
        <v>11</v>
      </c>
      <c r="D147" s="2"/>
      <c r="E147" s="2"/>
      <c r="F147" s="2"/>
      <c r="G147" s="2"/>
      <c r="H147" s="2"/>
      <c r="I147" s="60">
        <f>$H$106 - (((E148/$E$106)* H148)+((E149/$E$106)*H149))</f>
        <v>2.263698649607615E-2</v>
      </c>
    </row>
    <row r="148" spans="3:17" x14ac:dyDescent="0.35">
      <c r="C148" s="2"/>
      <c r="D148" s="2" t="s">
        <v>365</v>
      </c>
      <c r="E148" s="2">
        <f>COUNTIFS($N$4:$N$96,$N$96)</f>
        <v>92</v>
      </c>
      <c r="F148" s="2">
        <f t="shared" ref="F148" si="20">COUNTIFS($N$4:$N$96,$N$96,$O$4:$O$96,$O$95)</f>
        <v>21</v>
      </c>
      <c r="G148" s="2">
        <f>COUNTIFS($N$4:$N$96,$N$96,$O$4:$O$96,$O$96)</f>
        <v>71</v>
      </c>
      <c r="H148" s="60">
        <f t="shared" ref="H148" si="21">((-F148/E148)*IMLOG2(F148/E148))+((-G148/E148)*IMLOG2(G148/E148))</f>
        <v>0.77496726732672561</v>
      </c>
      <c r="I148" s="2"/>
    </row>
    <row r="149" spans="3:17" x14ac:dyDescent="0.35">
      <c r="C149" s="2"/>
      <c r="D149" s="2" t="s">
        <v>366</v>
      </c>
      <c r="E149" s="2">
        <f>COUNTIFS($N$4:$N$96,$N$14)</f>
        <v>1</v>
      </c>
      <c r="F149" s="2">
        <f>COUNTIFS($N$4:$N$96,$N$14,$O$4:$O$96,$O$93)</f>
        <v>1</v>
      </c>
      <c r="G149" s="2">
        <f>COUNTIFS($N$4:$N$96,$N$14,$O$4:$O$96,$O$96)</f>
        <v>0</v>
      </c>
      <c r="H149" s="2">
        <v>0</v>
      </c>
      <c r="I149" s="2"/>
    </row>
    <row r="150" spans="3:17" x14ac:dyDescent="0.35">
      <c r="C150" s="2"/>
      <c r="D150" s="2"/>
      <c r="E150" s="2">
        <f>SUM(E148:E149)</f>
        <v>93</v>
      </c>
      <c r="F150" s="2">
        <f t="shared" ref="F150:G150" si="22">SUM(F148:F149)</f>
        <v>22</v>
      </c>
      <c r="G150" s="2">
        <f t="shared" si="22"/>
        <v>71</v>
      </c>
      <c r="H150" s="2"/>
      <c r="I150" s="2"/>
    </row>
    <row r="151" spans="3:17" x14ac:dyDescent="0.35">
      <c r="C151" s="2"/>
      <c r="D151" s="2"/>
      <c r="E151" s="2"/>
      <c r="F151" s="2"/>
      <c r="G151" s="2"/>
      <c r="H151" s="2"/>
      <c r="I151" s="64">
        <f>MAX(I107:I150)</f>
        <v>0.89647044474350024</v>
      </c>
    </row>
    <row r="152" spans="3:17" x14ac:dyDescent="0.35">
      <c r="C152" s="2"/>
      <c r="D152" s="2"/>
      <c r="E152" s="2"/>
      <c r="F152" s="2"/>
      <c r="G152" s="2"/>
      <c r="H152" s="2"/>
      <c r="I152" s="2"/>
    </row>
    <row r="153" spans="3:17" x14ac:dyDescent="0.35">
      <c r="C153" s="66"/>
      <c r="D153" s="66"/>
      <c r="E153" s="66"/>
      <c r="F153" s="66"/>
      <c r="G153" s="66"/>
      <c r="H153" s="66"/>
      <c r="I153" s="66"/>
    </row>
    <row r="154" spans="3:17" x14ac:dyDescent="0.35">
      <c r="C154" s="41"/>
      <c r="D154" s="41"/>
      <c r="E154" s="41"/>
      <c r="F154" s="41"/>
      <c r="G154" s="41"/>
      <c r="H154" s="41"/>
      <c r="I154" s="41"/>
    </row>
    <row r="155" spans="3:17" ht="29" x14ac:dyDescent="0.35">
      <c r="C155" s="56" t="s">
        <v>376</v>
      </c>
      <c r="D155" s="57"/>
      <c r="E155" s="58" t="s">
        <v>356</v>
      </c>
      <c r="F155" s="58" t="s">
        <v>357</v>
      </c>
      <c r="G155" s="59" t="s">
        <v>358</v>
      </c>
      <c r="H155" s="58" t="s">
        <v>359</v>
      </c>
      <c r="I155" s="58" t="s">
        <v>360</v>
      </c>
      <c r="K155" s="56" t="s">
        <v>385</v>
      </c>
      <c r="L155" s="57"/>
      <c r="M155" s="58" t="s">
        <v>356</v>
      </c>
      <c r="N155" s="58" t="s">
        <v>357</v>
      </c>
      <c r="O155" s="59" t="s">
        <v>358</v>
      </c>
      <c r="P155" s="58" t="s">
        <v>359</v>
      </c>
      <c r="Q155" s="58" t="s">
        <v>360</v>
      </c>
    </row>
    <row r="156" spans="3:17" x14ac:dyDescent="0.35">
      <c r="C156" s="65" t="s">
        <v>377</v>
      </c>
      <c r="D156" s="65"/>
      <c r="E156" s="2">
        <f>E130</f>
        <v>38</v>
      </c>
      <c r="F156" s="2">
        <f>F130</f>
        <v>16</v>
      </c>
      <c r="G156" s="35">
        <f>G130</f>
        <v>22</v>
      </c>
      <c r="H156" s="60">
        <f>((-F156/E156)*IMLOG2(F156/E156))+((-G156/E156)*IMLOG2(G156/E156))</f>
        <v>0.98194078686409947</v>
      </c>
      <c r="I156" s="2"/>
      <c r="K156" s="65" t="s">
        <v>386</v>
      </c>
      <c r="L156" s="65"/>
      <c r="M156" s="2">
        <f>E129</f>
        <v>55</v>
      </c>
      <c r="N156" s="2">
        <f>F129</f>
        <v>6</v>
      </c>
      <c r="O156" s="35">
        <f>G129</f>
        <v>49</v>
      </c>
      <c r="P156" s="60">
        <f>((-N156/M156)*IMLOG2(N156/M156))+((-O156/M156)*IMLOG2(O156/M156))</f>
        <v>0.49716776141607455</v>
      </c>
      <c r="Q156" s="2"/>
    </row>
    <row r="157" spans="3:17" x14ac:dyDescent="0.35">
      <c r="C157" s="68" t="s">
        <v>124</v>
      </c>
      <c r="D157" s="69"/>
      <c r="E157" s="69"/>
      <c r="F157" s="69"/>
      <c r="G157" s="69"/>
      <c r="H157" s="69"/>
      <c r="I157" s="70">
        <f>$H$156 - (((E158/$E$156)* H158)+((E159/E$106)*H159)+((E160/E$106) *H160))</f>
        <v>0.69110072750629925</v>
      </c>
      <c r="K157" s="90" t="s">
        <v>124</v>
      </c>
      <c r="L157" s="90"/>
      <c r="M157" s="90"/>
      <c r="N157" s="90"/>
      <c r="O157" s="90"/>
      <c r="P157" s="90"/>
      <c r="Q157" s="79">
        <f>$P$156 - (((M158/$M$156)* P158)+((M159/$M$156)*P159)+((M160/$M$156) *P160))</f>
        <v>5.9144841555445193E-2</v>
      </c>
    </row>
    <row r="158" spans="3:17" x14ac:dyDescent="0.35">
      <c r="C158" s="2"/>
      <c r="D158" s="2" t="s">
        <v>311</v>
      </c>
      <c r="E158" s="2">
        <f>COUNTIFS($E$4:$E$96,$E$96,$J$4:$J$96,$J$92)</f>
        <v>7</v>
      </c>
      <c r="F158" s="2">
        <f>COUNTIFS($E$4:$E$96,$E$96,$J$4:$J$96,$J$92,$O$4:$O$96,$O$95)</f>
        <v>0</v>
      </c>
      <c r="G158" s="2">
        <f>COUNTIFS($E$4:$E$96,$E$96,$J$4:$J$96,$J$92,$O$4:$O$96,$O$88)</f>
        <v>7</v>
      </c>
      <c r="H158" s="60">
        <v>0</v>
      </c>
      <c r="I158" s="2"/>
      <c r="K158" s="2"/>
      <c r="L158" s="2" t="s">
        <v>311</v>
      </c>
      <c r="M158" s="2">
        <f>COUNTIFS($E$4:$E$96,$E$96,$J$4:$J$96,$J$95)</f>
        <v>16</v>
      </c>
      <c r="N158" s="2">
        <f>COUNTIFS($E$4:$E$96,$E$96,$J$4:$J$96,$J$95,$O$4:$O$96,$O$95)</f>
        <v>0</v>
      </c>
      <c r="O158" s="2">
        <f>COUNTIFS($E$4:$E$96,$E$96,$J$4:$J$96,$J$95,$O$4:$O$96,$O$88)</f>
        <v>16</v>
      </c>
      <c r="P158" s="60">
        <v>0</v>
      </c>
      <c r="Q158" s="2"/>
    </row>
    <row r="159" spans="3:17" x14ac:dyDescent="0.35">
      <c r="C159" s="2"/>
      <c r="D159" s="80" t="s">
        <v>363</v>
      </c>
      <c r="E159" s="80">
        <f>COUNTIFS($E$4:$E$96,$E$92,$J$4:$J$96,$J$92)</f>
        <v>7</v>
      </c>
      <c r="F159" s="80">
        <f>COUNTIFS($E$4:$E$96,$E$92,$J$4:$J$96,$J$92,$O$4:$O$96,$O$95)</f>
        <v>1</v>
      </c>
      <c r="G159" s="80">
        <f>COUNTIFS($E$4:$E$96,$E$92,$J$4:$J$96,$J$92,$O$4:$O$96,$O$88)</f>
        <v>6</v>
      </c>
      <c r="H159" s="91">
        <f t="shared" ref="H159:H160" si="23">((-F159/E159)*IMLOG2(F159/E159))+((-G159/E159)*IMLOG2(G159/E159))</f>
        <v>0.59167277858232681</v>
      </c>
      <c r="I159" s="2"/>
      <c r="K159" s="2"/>
      <c r="L159" s="2" t="s">
        <v>363</v>
      </c>
      <c r="M159" s="2">
        <f>COUNTIFS($E$4:$E$96,$E$92,$J$4:$J$96,$J$95)</f>
        <v>28</v>
      </c>
      <c r="N159" s="2">
        <f>COUNTIFS($E$4:$E$96,$E$92,$J$4:$J$96,$J$95,$O$4:$O$96,$O$95)</f>
        <v>4</v>
      </c>
      <c r="O159" s="2">
        <f>COUNTIFS($E$4:$E$96,$E$92,$J$4:$J$96,$J$95,$O$4:$O$96,$O$88)</f>
        <v>24</v>
      </c>
      <c r="P159" s="60">
        <f t="shared" ref="P159:P160" si="24">((-N159/M159)*IMLOG2(N159/M159))+((-O159/M159)*IMLOG2(O159/M159))</f>
        <v>0.59167277858232681</v>
      </c>
      <c r="Q159" s="2"/>
    </row>
    <row r="160" spans="3:17" x14ac:dyDescent="0.35">
      <c r="C160" s="2"/>
      <c r="D160" s="81" t="s">
        <v>364</v>
      </c>
      <c r="E160" s="81">
        <f>COUNTIFS($E$4:$E$96,$E$93,$J$4:$J$96,$J$92)</f>
        <v>24</v>
      </c>
      <c r="F160" s="81">
        <f>COUNTIFS($E$4:$E$96,$E$93,$J$4:$J$96,$J$92,$O$4:$O$96,$O$95)</f>
        <v>15</v>
      </c>
      <c r="G160" s="81">
        <f>COUNTIFS($E$4:$E$96,$E$93,$J$4:$J$96,$J$92,$O$4:$O$96,$O$88)</f>
        <v>9</v>
      </c>
      <c r="H160" s="85">
        <f t="shared" si="23"/>
        <v>0.95443400292496372</v>
      </c>
      <c r="I160" s="2"/>
      <c r="K160" s="2"/>
      <c r="L160" s="88" t="s">
        <v>364</v>
      </c>
      <c r="M160" s="88">
        <f>COUNTIFS($E$4:$E$96,$E$93,$J$4:$J$96,$J$95)</f>
        <v>11</v>
      </c>
      <c r="N160" s="88">
        <f>COUNTIFS($E$4:$E$96,$E$93,$J$4:$J$96,$J$95,$O$4:$O$96,$O$95)</f>
        <v>2</v>
      </c>
      <c r="O160" s="88">
        <f>COUNTIFS($E$4:$E$96,$E$93,$J$4:$J$96,$J$92,$O$4:$O$96,$O$88)</f>
        <v>9</v>
      </c>
      <c r="P160" s="89">
        <f t="shared" si="24"/>
        <v>0.68403843563904232</v>
      </c>
      <c r="Q160" s="2"/>
    </row>
    <row r="161" spans="3:17" x14ac:dyDescent="0.35">
      <c r="C161" s="2"/>
      <c r="D161" s="2"/>
      <c r="E161" s="62">
        <f>SUM(E158:E160)</f>
        <v>38</v>
      </c>
      <c r="F161" s="62">
        <f t="shared" ref="F161:G161" si="25">SUM(F158:F160)</f>
        <v>16</v>
      </c>
      <c r="G161" s="62">
        <f t="shared" si="25"/>
        <v>22</v>
      </c>
      <c r="H161" s="2"/>
      <c r="I161" s="2"/>
      <c r="K161" s="2"/>
      <c r="L161" s="2"/>
      <c r="M161" s="62">
        <f>SUM(M158:M160)</f>
        <v>55</v>
      </c>
      <c r="N161" s="62">
        <f t="shared" ref="N161" si="26">SUM(N158:N160)</f>
        <v>6</v>
      </c>
      <c r="O161" s="62">
        <f t="shared" ref="O161" si="27">SUM(O158:O160)</f>
        <v>49</v>
      </c>
      <c r="P161" s="2"/>
      <c r="Q161" s="2"/>
    </row>
    <row r="162" spans="3:17" x14ac:dyDescent="0.35">
      <c r="C162" s="2" t="s">
        <v>5</v>
      </c>
      <c r="D162" s="2"/>
      <c r="E162" s="2"/>
      <c r="F162" s="2"/>
      <c r="G162" s="2"/>
      <c r="H162" s="2"/>
      <c r="I162" s="60">
        <f>$H$156 - (((E163/$E$156)* H163)+((E164/E$106)*H164))</f>
        <v>0.27290749741694798</v>
      </c>
      <c r="K162" s="2" t="s">
        <v>5</v>
      </c>
      <c r="L162" s="2"/>
      <c r="M162" s="2"/>
      <c r="N162" s="2"/>
      <c r="O162" s="2"/>
      <c r="P162" s="2"/>
      <c r="Q162" s="79">
        <f>$P$156 - (((M163/$M$156)* P163)+((M164/$M$156)*P164))</f>
        <v>0.20626634279300332</v>
      </c>
    </row>
    <row r="163" spans="3:17" x14ac:dyDescent="0.35">
      <c r="C163" s="2"/>
      <c r="D163" s="2" t="s">
        <v>362</v>
      </c>
      <c r="E163" s="2">
        <f>COUNTIFS($F$4:$F$96,$F$96,$J$4:$J$96,$J$89)</f>
        <v>31</v>
      </c>
      <c r="F163" s="2">
        <f>COUNTIFS($F$4:$F$96,$F$96,$J$4:$J$96,$J$89,$O$4:$O$96,$O$91)</f>
        <v>9</v>
      </c>
      <c r="G163" s="2">
        <f>COUNTIFS($F$4:$F$96,$F$96,$J$4:$J$96,$J$89,$O$4:$O$96,$O$90)</f>
        <v>22</v>
      </c>
      <c r="H163" s="60">
        <f t="shared" ref="H163" si="28">((-F163/E163)*IMLOG2(F163/E163))+((-G163/E163)*IMLOG2(G163/E163))</f>
        <v>0.86913758061263735</v>
      </c>
      <c r="I163" s="2"/>
      <c r="K163" s="2"/>
      <c r="L163" s="2" t="s">
        <v>362</v>
      </c>
      <c r="M163" s="2">
        <f>COUNTIFS($F$4:$F$96,$F$96,$J$4:$J$96,$J$95)</f>
        <v>46</v>
      </c>
      <c r="N163" s="2">
        <f>COUNTIFS($F$4:$F$96,$F$96,$J$4:$J$96,$J$95,$O$4:$O$96,$O$91)</f>
        <v>3</v>
      </c>
      <c r="O163" s="2">
        <f>COUNTIFS($F$4:$F$96,$F$96,$J$4:$J$96,$J$95,$O$4:$O$96,$O$90)</f>
        <v>43</v>
      </c>
      <c r="P163" s="60">
        <f t="shared" ref="P163" si="29">((-N163/M163)*IMLOG2(N163/M163))+((-O163/M163)*IMLOG2(O163/M163))</f>
        <v>0.34781691357106348</v>
      </c>
      <c r="Q163" s="2"/>
    </row>
    <row r="164" spans="3:17" x14ac:dyDescent="0.35">
      <c r="C164" s="2"/>
      <c r="D164" s="2" t="s">
        <v>367</v>
      </c>
      <c r="E164" s="2">
        <f>COUNTIFS($F$4:$F$96,$F$93,$J$4:$J$96,$J$89)</f>
        <v>7</v>
      </c>
      <c r="F164" s="2">
        <f>COUNTIFS($F$4:$F$96,$F$93,$J$4:$J$96,$J$89,$O$4:$O$96,$O$91)</f>
        <v>7</v>
      </c>
      <c r="G164" s="2">
        <f>COUNTIFS($F$4:$F$96,$F$93,$J$4:$J$96,$J$89,$O$4:$O$96,$O$90)</f>
        <v>0</v>
      </c>
      <c r="H164" s="60">
        <v>0</v>
      </c>
      <c r="I164" s="2"/>
      <c r="K164" s="2"/>
      <c r="L164" s="2" t="s">
        <v>367</v>
      </c>
      <c r="M164" s="2">
        <f>COUNTIFS($F$4:$F$96,$F$93,$J$4:$J$96,$J$95)</f>
        <v>9</v>
      </c>
      <c r="N164" s="2">
        <f>COUNTIFS($F$4:$F$96,$F$93,$J$4:$J$96,$J$95,$O$4:$O$96,$O$91)</f>
        <v>3</v>
      </c>
      <c r="O164" s="2">
        <f>COUNTIFS($F$4:$F$96,$F$93,$J$4:$J$96,$J$95,$O$4:$O$96,$O$90)</f>
        <v>6</v>
      </c>
      <c r="P164" s="60">
        <v>0</v>
      </c>
      <c r="Q164" s="2"/>
    </row>
    <row r="165" spans="3:17" x14ac:dyDescent="0.35">
      <c r="C165" s="2"/>
      <c r="D165" s="2"/>
      <c r="E165" s="62">
        <f>SUM(E163:E164)</f>
        <v>38</v>
      </c>
      <c r="F165" s="62">
        <f t="shared" ref="F165:G165" si="30">SUM(F163:F164)</f>
        <v>16</v>
      </c>
      <c r="G165" s="62">
        <f t="shared" si="30"/>
        <v>22</v>
      </c>
      <c r="H165" s="2"/>
      <c r="I165" s="2"/>
      <c r="K165" s="2"/>
      <c r="L165" s="2"/>
      <c r="M165" s="62">
        <f>SUM(M163:M164)</f>
        <v>55</v>
      </c>
      <c r="N165" s="62">
        <f t="shared" ref="N165" si="31">SUM(N163:N164)</f>
        <v>6</v>
      </c>
      <c r="O165" s="62">
        <f t="shared" ref="O165" si="32">SUM(O163:O164)</f>
        <v>49</v>
      </c>
      <c r="P165" s="2"/>
      <c r="Q165" s="2"/>
    </row>
    <row r="166" spans="3:17" x14ac:dyDescent="0.35">
      <c r="C166" s="2" t="s">
        <v>368</v>
      </c>
      <c r="D166" s="2"/>
      <c r="E166" s="2"/>
      <c r="F166" s="2"/>
      <c r="G166" s="2"/>
      <c r="H166" s="2"/>
      <c r="I166" s="60">
        <f>$H$156 - (((E167/$E$156)* H167)+((E168/E$106)*H168))</f>
        <v>4.302662491210052E-2</v>
      </c>
      <c r="K166" s="2" t="s">
        <v>368</v>
      </c>
      <c r="L166" s="2"/>
      <c r="M166" s="2"/>
      <c r="N166" s="2"/>
      <c r="O166" s="2"/>
      <c r="P166" s="2"/>
      <c r="Q166" s="79">
        <f>$P$156 - (((M167/$M$156)* P167)+((M168/$M$156)*P168))</f>
        <v>2.9950467256052771E-2</v>
      </c>
    </row>
    <row r="167" spans="3:17" x14ac:dyDescent="0.35">
      <c r="C167" s="2"/>
      <c r="D167" s="2" t="s">
        <v>319</v>
      </c>
      <c r="E167" s="2">
        <f>COUNTIFS($G$4:$G$96,$G$91,$J$4:$J$96,$J$93)</f>
        <v>36</v>
      </c>
      <c r="F167" s="2">
        <f>COUNTIFS($G$4:$G$96,$G$91,$J$4:$J$96,$J$93,$O$4:$O$96,$O$94)</f>
        <v>16</v>
      </c>
      <c r="G167" s="2">
        <f>COUNTIFS($G$4:$G$96,$G$91,$J$4:$J$96,$J$93,$O$4:$O$96,$O$96)</f>
        <v>20</v>
      </c>
      <c r="H167" s="60">
        <f t="shared" ref="H167" si="33">((-F167/E167)*IMLOG2(F167/E167))+((-G167/E167)*IMLOG2(G167/E167))</f>
        <v>0.99107605983822111</v>
      </c>
      <c r="I167" s="60"/>
      <c r="K167" s="2"/>
      <c r="L167" s="2" t="s">
        <v>319</v>
      </c>
      <c r="M167" s="2">
        <f>COUNTIFS($G$4:$G$96,$G$91,$J$4:$J$96,$J$95)</f>
        <v>46</v>
      </c>
      <c r="N167" s="2">
        <f>COUNTIFS($G$4:$G$96,$G$91,$J$4:$J$96,$J$95,$O$4:$O$96,$O$94)</f>
        <v>6</v>
      </c>
      <c r="O167" s="2">
        <f>COUNTIFS($G$4:$G$96,$G$91,$J$4:$J$96,$J$95,$O$4:$O$96,$O$96)</f>
        <v>40</v>
      </c>
      <c r="P167" s="60">
        <f t="shared" ref="P167" si="34">((-N167/M167)*IMLOG2(N167/M167))+((-O167/M167)*IMLOG2(O167/M167))</f>
        <v>0.55862937345219998</v>
      </c>
      <c r="Q167" s="60"/>
    </row>
    <row r="168" spans="3:17" x14ac:dyDescent="0.35">
      <c r="C168" s="2"/>
      <c r="D168" s="2" t="s">
        <v>362</v>
      </c>
      <c r="E168" s="2">
        <f>COUNTIFS($G$4:$G$96,$G$78,$J$4:$J$96,$J$93)</f>
        <v>2</v>
      </c>
      <c r="F168" s="2">
        <f>COUNTIFS($G$4:$G$96,$G$78,$J$4:$J$96,$J$93,$O$4:$O$96,$O$94)</f>
        <v>0</v>
      </c>
      <c r="G168" s="2">
        <f>COUNTIFS($G$4:$G$96,$G$78,$J$4:$J$96,$J$93,$O$4:$O$96,$O$96)</f>
        <v>2</v>
      </c>
      <c r="H168" s="2">
        <v>0</v>
      </c>
      <c r="I168" s="2"/>
      <c r="K168" s="2"/>
      <c r="L168" s="2" t="s">
        <v>362</v>
      </c>
      <c r="M168" s="2">
        <f>COUNTIFS($G$4:$G$96,$G$78,$J$4:$J$96,$J$95)</f>
        <v>9</v>
      </c>
      <c r="N168" s="2">
        <f>COUNTIFS($G$4:$G$96,$G$78,$J$4:$J$96,$J$95,$O$4:$O$96,$O$94)</f>
        <v>0</v>
      </c>
      <c r="O168" s="2">
        <f>COUNTIFS($G$4:$G$96,$G$78,$J$4:$J$96,$J$95,$O$4:$O$96,$O$96)</f>
        <v>9</v>
      </c>
      <c r="P168" s="2">
        <v>0</v>
      </c>
      <c r="Q168" s="2"/>
    </row>
    <row r="169" spans="3:17" x14ac:dyDescent="0.35">
      <c r="C169" s="2"/>
      <c r="D169" s="2"/>
      <c r="E169" s="62">
        <f>SUM(E167:E168)</f>
        <v>38</v>
      </c>
      <c r="F169" s="62">
        <f t="shared" ref="F169" si="35">SUM(F167:F168)</f>
        <v>16</v>
      </c>
      <c r="G169" s="62">
        <f t="shared" ref="G169" si="36">SUM(G167:G168)</f>
        <v>22</v>
      </c>
      <c r="H169" s="2"/>
      <c r="I169" s="2"/>
      <c r="K169" s="2"/>
      <c r="L169" s="2"/>
      <c r="M169" s="62">
        <f>SUM(M167:M168)</f>
        <v>55</v>
      </c>
      <c r="N169" s="62">
        <f t="shared" ref="N169" si="37">SUM(N167:N168)</f>
        <v>6</v>
      </c>
      <c r="O169" s="62">
        <f t="shared" ref="O169" si="38">SUM(O167:O168)</f>
        <v>49</v>
      </c>
      <c r="P169" s="2"/>
      <c r="Q169" s="2"/>
    </row>
    <row r="170" spans="3:17" x14ac:dyDescent="0.35">
      <c r="C170" s="2" t="s">
        <v>369</v>
      </c>
      <c r="D170" s="2"/>
      <c r="E170" s="2"/>
      <c r="F170" s="2"/>
      <c r="G170" s="2"/>
      <c r="H170" s="2"/>
      <c r="I170" s="60">
        <f>$H$156 - (((E171/$E$156)* H171)+((E172/E$106)*H172))</f>
        <v>3.3548155702973204E-2</v>
      </c>
      <c r="K170" s="2" t="s">
        <v>369</v>
      </c>
      <c r="L170" s="2"/>
      <c r="M170" s="2"/>
      <c r="N170" s="2"/>
      <c r="O170" s="2"/>
      <c r="P170" s="2"/>
      <c r="Q170" s="79">
        <f>$P$156 - (((M171/$M$156)* P171)+((M172/$M$156)*P172))</f>
        <v>0</v>
      </c>
    </row>
    <row r="171" spans="3:17" x14ac:dyDescent="0.35">
      <c r="C171" s="2"/>
      <c r="D171" s="2" t="s">
        <v>319</v>
      </c>
      <c r="E171" s="2">
        <f>COUNTIFS($H$4:$H$96,$H$94,$J$4:$J$96,$J$93)</f>
        <v>37</v>
      </c>
      <c r="F171" s="2">
        <f>COUNTIFS($H$4:$H$96,$H$94,$J$4:$J$96,$J$93,$O$4:$O$96,$O$95)</f>
        <v>15</v>
      </c>
      <c r="G171" s="2">
        <f>COUNTIFS($H$4:$H$96,$H$94,$J$4:$J$96,$J$93,$O$4:$O$96,$O$96)</f>
        <v>22</v>
      </c>
      <c r="H171" s="60">
        <f t="shared" ref="H171" si="39">((-F171/E171)*IMLOG2(F171/E171))+((-G171/E171)*IMLOG2(G171/E171))</f>
        <v>0.97402486443575131</v>
      </c>
      <c r="I171" s="2"/>
      <c r="K171" s="2"/>
      <c r="L171" s="2" t="s">
        <v>319</v>
      </c>
      <c r="M171" s="2">
        <f>COUNTIFS($H$4:$H$96,$H$94,$J$4:$J$96,$J$95)</f>
        <v>55</v>
      </c>
      <c r="N171" s="2">
        <f>COUNTIFS($H$4:$H$96,$H$94,$J$4:$J$96,$J$95,$O$4:$O$96,$O$95)</f>
        <v>6</v>
      </c>
      <c r="O171" s="2">
        <f>COUNTIFS($H$4:$H$96,$H$94,$J$4:$J$96,$J$95,$O$4:$O$96,$O$96)</f>
        <v>49</v>
      </c>
      <c r="P171" s="60">
        <f t="shared" ref="P171" si="40">((-N171/M171)*IMLOG2(N171/M171))+((-O171/M171)*IMLOG2(O171/M171))</f>
        <v>0.49716776141607455</v>
      </c>
      <c r="Q171" s="2"/>
    </row>
    <row r="172" spans="3:17" x14ac:dyDescent="0.35">
      <c r="C172" s="2"/>
      <c r="D172" s="2" t="s">
        <v>362</v>
      </c>
      <c r="E172" s="2">
        <f>COUNTIFS($H$4:$H$96,$H$38,$J$4:$J$96,$J$93)</f>
        <v>1</v>
      </c>
      <c r="F172" s="2">
        <f>COUNTIFS($H$4:$H$96,$H$38,$J$4:$J$96,$J$93,$O$4:$O$96,O95)</f>
        <v>1</v>
      </c>
      <c r="G172" s="2">
        <f>COUNTIFS($H$4:$H$96,$H$38,$J$4:$J$96,$J$93,$O$4:$O$96,O96)</f>
        <v>0</v>
      </c>
      <c r="H172" s="2">
        <v>0</v>
      </c>
      <c r="I172" s="2"/>
      <c r="K172" s="2"/>
      <c r="L172" s="2" t="s">
        <v>362</v>
      </c>
      <c r="M172" s="2">
        <f>COUNTIFS($H$4:$H$96,$H$38,$J$4:$J$96,$J$95)</f>
        <v>0</v>
      </c>
      <c r="N172" s="2">
        <f>COUNTIFS($H$4:$H$96,$H$38,$J$4:$J$96,$J$95,$O$4:$O$96,W95)</f>
        <v>0</v>
      </c>
      <c r="O172" s="2">
        <f>COUNTIFS($H$4:$H$96,$H$38,$J$4:$J$96,$J$95,$O$4:$O$96,W96)</f>
        <v>0</v>
      </c>
      <c r="P172" s="2">
        <v>0</v>
      </c>
      <c r="Q172" s="2"/>
    </row>
    <row r="173" spans="3:17" x14ac:dyDescent="0.35">
      <c r="C173" s="2"/>
      <c r="D173" s="2"/>
      <c r="E173" s="62">
        <f>SUM(E171:E172)</f>
        <v>38</v>
      </c>
      <c r="F173" s="62">
        <f t="shared" ref="F173" si="41">SUM(F171:F172)</f>
        <v>16</v>
      </c>
      <c r="G173" s="62">
        <f t="shared" ref="G173" si="42">SUM(G171:G172)</f>
        <v>22</v>
      </c>
      <c r="H173" s="2"/>
      <c r="I173" s="2"/>
      <c r="K173" s="2"/>
      <c r="L173" s="2"/>
      <c r="M173" s="62">
        <f>SUM(M171:M172)</f>
        <v>55</v>
      </c>
      <c r="N173" s="62">
        <f t="shared" ref="N173" si="43">SUM(N171:N172)</f>
        <v>6</v>
      </c>
      <c r="O173" s="62">
        <f t="shared" ref="O173" si="44">SUM(O171:O172)</f>
        <v>49</v>
      </c>
      <c r="P173" s="2"/>
      <c r="Q173" s="2"/>
    </row>
    <row r="174" spans="3:17" x14ac:dyDescent="0.35">
      <c r="C174" s="2" t="s">
        <v>372</v>
      </c>
      <c r="D174" s="2"/>
      <c r="E174" s="2"/>
      <c r="F174" s="2"/>
      <c r="G174" s="2"/>
      <c r="H174" s="2"/>
      <c r="I174" s="60">
        <f>$H$156 - (((E175/$E$156)* H175)+((E176/E$106)*H176))</f>
        <v>0.11461051663063104</v>
      </c>
      <c r="K174" s="2" t="s">
        <v>372</v>
      </c>
      <c r="L174" s="2"/>
      <c r="M174" s="2"/>
      <c r="N174" s="2"/>
      <c r="O174" s="2"/>
      <c r="P174" s="2"/>
      <c r="Q174" s="79">
        <f>$P$156 - (((M175/$M$156)* P175)+((M176/$M$156)*P176))</f>
        <v>6.1798876220081067E-3</v>
      </c>
    </row>
    <row r="175" spans="3:17" x14ac:dyDescent="0.35">
      <c r="C175" s="2"/>
      <c r="D175" s="2" t="s">
        <v>319</v>
      </c>
      <c r="E175" s="2">
        <f>COUNTIFS($I$4:$I$96,$I$89,$J$4:$J$96,$J$93)</f>
        <v>38</v>
      </c>
      <c r="F175" s="2">
        <f>COUNTIFS($I$4:$I$96,$I$89,$J$4:$J$96,$J$93,$O$4:$O$96,$O$95)</f>
        <v>16</v>
      </c>
      <c r="G175" s="2">
        <f>COUNTIFS($I$4:$I$96,$I$89,$M$4:$M$96,$M$95,$O$4:$O$96,$O$88)</f>
        <v>4</v>
      </c>
      <c r="H175" s="60">
        <f t="shared" ref="H175" si="45">((-F175/E175)*IMLOG2(F175/E175))+((-G175/E175)*IMLOG2(G175/E175))</f>
        <v>0.86733027023346843</v>
      </c>
      <c r="I175" s="2"/>
      <c r="K175" s="2"/>
      <c r="L175" s="2" t="s">
        <v>319</v>
      </c>
      <c r="M175" s="2">
        <f>COUNTIFS($I$4:$I$96,$I$89,$J$4:$J$96,$J$95)</f>
        <v>53</v>
      </c>
      <c r="N175" s="2">
        <f>COUNTIFS($I$4:$I$96,$I$89,$J$4:$J$96,$J$95,$O$4:$O$96,$O$95)</f>
        <v>6</v>
      </c>
      <c r="O175" s="2">
        <f>COUNTIFS($I$4:$I$96,$I$89,$J$4:$J$96,$J$95,$O$4:$O$96,$O$88)</f>
        <v>47</v>
      </c>
      <c r="P175" s="60">
        <f t="shared" ref="P175" si="46">((-N175/M175)*IMLOG2(N175/M175))+((-O175/M175)*IMLOG2(O175/M175))</f>
        <v>0.50951571808818219</v>
      </c>
      <c r="Q175" s="2"/>
    </row>
    <row r="176" spans="3:17" x14ac:dyDescent="0.35">
      <c r="C176" s="2"/>
      <c r="D176" s="2" t="s">
        <v>362</v>
      </c>
      <c r="E176" s="2">
        <f>COUNTIFS($I$4:$I$96,$I$88,$M$4:$M$96,$M$95)</f>
        <v>0</v>
      </c>
      <c r="F176" s="2">
        <f>COUNTIFS($I$4:$I$96,$I$83,$M$4:$M$96,$M$95,$O$4:$O$96,$O$95)</f>
        <v>0</v>
      </c>
      <c r="G176" s="2">
        <f>COUNTIFS($I$4:$I$96,$I$83,$M$4:$M$96,$M$95,$O$4:$O$96,$O$96)</f>
        <v>0</v>
      </c>
      <c r="H176" s="2">
        <v>0</v>
      </c>
      <c r="I176" s="2"/>
      <c r="K176" s="2"/>
      <c r="L176" s="2" t="s">
        <v>362</v>
      </c>
      <c r="M176" s="2">
        <f>COUNTIFS($I$4:$I$96,$I$88,$J$4:$J$96,$J$95)</f>
        <v>2</v>
      </c>
      <c r="N176" s="2">
        <f>COUNTIFS($I$4:$I$96,$I$83,$J$4:$J$96,$J$95,$O$4:$O$96,$O$95)</f>
        <v>0</v>
      </c>
      <c r="O176" s="2">
        <f>COUNTIFS($I$4:$I$96,$I$83,$J$4:$J$96,$J$95,$O$4:$O$96,$O$96)</f>
        <v>2</v>
      </c>
      <c r="P176" s="2">
        <v>0</v>
      </c>
      <c r="Q176" s="2"/>
    </row>
    <row r="177" spans="3:17" x14ac:dyDescent="0.35">
      <c r="C177" s="2"/>
      <c r="D177" s="2"/>
      <c r="E177" s="2"/>
      <c r="F177" s="2"/>
      <c r="G177" s="2"/>
      <c r="H177" s="2"/>
      <c r="I177" s="2"/>
      <c r="K177" s="2"/>
      <c r="L177" s="2"/>
      <c r="M177" s="62">
        <f>SUM(M175:M176)</f>
        <v>55</v>
      </c>
      <c r="N177" s="62">
        <f t="shared" ref="N177" si="47">SUM(N175:N176)</f>
        <v>6</v>
      </c>
      <c r="O177" s="62">
        <f t="shared" ref="O177" si="48">SUM(O175:O176)</f>
        <v>49</v>
      </c>
      <c r="P177" s="2"/>
      <c r="Q177" s="2"/>
    </row>
    <row r="178" spans="3:17" x14ac:dyDescent="0.35">
      <c r="C178" s="2" t="s">
        <v>378</v>
      </c>
      <c r="D178" s="2"/>
      <c r="E178" s="2"/>
      <c r="F178" s="2"/>
      <c r="G178" s="2"/>
      <c r="H178" s="2"/>
      <c r="I178" s="60">
        <f>$H$156 - (((E179/$E$156)* H179)+((E180/E$106)*H180)+((E181/E$106) *H181))</f>
        <v>0.49076114281261762</v>
      </c>
      <c r="K178" s="92" t="s">
        <v>378</v>
      </c>
      <c r="L178" s="92"/>
      <c r="M178" s="92"/>
      <c r="N178" s="92"/>
      <c r="O178" s="92"/>
      <c r="P178" s="92"/>
      <c r="Q178" s="93">
        <f>$P$156 - (((M179/$M$156)* P179)+((M180/$M$156)*P180)+((M181/$M$156)*P181))</f>
        <v>0.33499167889709291</v>
      </c>
    </row>
    <row r="179" spans="3:17" x14ac:dyDescent="0.35">
      <c r="C179" s="2"/>
      <c r="D179" s="2" t="s">
        <v>365</v>
      </c>
      <c r="E179" s="2">
        <f>COUNTIFS($M$4:$M$96,$M$96,$J$4:$J$96,$J$89)</f>
        <v>27</v>
      </c>
      <c r="F179" s="2">
        <f>COUNTIFS($M$4:$M$96,$M$96,$J$4:$J$96,$J$89,$O$4:$O$96,$O$94)</f>
        <v>5</v>
      </c>
      <c r="G179" s="2">
        <f>COUNTIFS($M$4:$M$96,$M$96,$J$4:$J$96,$J$89,$O$4:$O$96,$O$96)</f>
        <v>22</v>
      </c>
      <c r="H179" s="60">
        <f t="shared" ref="H179" si="49">((-F179/E179)*IMLOG2(F179/E179))+((-G179/E179)*IMLOG2(G179/E179))</f>
        <v>0.69128986940578929</v>
      </c>
      <c r="I179" s="2"/>
      <c r="K179" s="2"/>
      <c r="L179" s="2" t="s">
        <v>365</v>
      </c>
      <c r="M179" s="2">
        <f>COUNTIFS($M$4:$M$96,$M$96,$J$4:$J$96,$J$95)</f>
        <v>45</v>
      </c>
      <c r="N179" s="2">
        <f>COUNTIFS($M$4:$M$96,$M$96,$J$4:$J$96,$J$95,$O$4:$O$96,$O$94)</f>
        <v>0</v>
      </c>
      <c r="O179" s="2">
        <f>COUNTIFS($M$4:$M$96,$M$96,$J$4:$J$96,$J$95,$O$4:$O$96,$O$96)</f>
        <v>45</v>
      </c>
      <c r="P179" s="60">
        <v>0</v>
      </c>
      <c r="Q179" s="2"/>
    </row>
    <row r="180" spans="3:17" x14ac:dyDescent="0.35">
      <c r="C180" s="2"/>
      <c r="D180" s="2" t="s">
        <v>366</v>
      </c>
      <c r="E180" s="2">
        <f>COUNTIFS($M$4:$M$96,$M$54,$J$4:$J$96,$J$89)</f>
        <v>6</v>
      </c>
      <c r="F180" s="2">
        <f>COUNTIFS($M$4:$M$96,$M$54,$J$4:$J$96,$J$89,$O$4:$O$96,$O$94)</f>
        <v>6</v>
      </c>
      <c r="G180" s="2">
        <f>COUNTIFS($M$4:$M$96,$M$54,$J$4:$J$96,$J$89,$O$4:$O$96,$O$96)</f>
        <v>0</v>
      </c>
      <c r="H180" s="61">
        <v>0</v>
      </c>
      <c r="I180" s="2"/>
      <c r="K180" s="2"/>
      <c r="L180" s="69" t="s">
        <v>366</v>
      </c>
      <c r="M180" s="69">
        <f>COUNTIFS($M$4:$M$96,$M$54,$J$4:$J$96,$J$95)</f>
        <v>9</v>
      </c>
      <c r="N180" s="69">
        <f>COUNTIFS($M$4:$M$96,$M$54,$J$4:$J$96,$J$95,$O$4:$O$96,$O$94)</f>
        <v>5</v>
      </c>
      <c r="O180" s="69">
        <f>COUNTIFS($M$4:$M$96,$M$54,$J$4:$J$96,$J$95,$O$4:$O$96,$O$96)</f>
        <v>4</v>
      </c>
      <c r="P180" s="87">
        <f t="shared" ref="P180" si="50">((-N180/M180)*IMLOG2(N180/M180))+((-O180/M180)*IMLOG2(O180/M180))</f>
        <v>0.99107605983822111</v>
      </c>
      <c r="Q180" s="2"/>
    </row>
    <row r="181" spans="3:17" x14ac:dyDescent="0.35">
      <c r="C181" s="2"/>
      <c r="D181" s="2" t="s">
        <v>362</v>
      </c>
      <c r="E181" s="2">
        <f>COUNTIFS($M$4:$M$96,$M$91,$J$4:$J$96,$J$89)</f>
        <v>5</v>
      </c>
      <c r="F181" s="2">
        <f>COUNTIFS($M$4:$M$96,$M$91,$J$4:$J$96,$J$89,$O$4:$O$96,$O$94)</f>
        <v>5</v>
      </c>
      <c r="G181" s="2">
        <f>COUNTIFS($M$4:$M$96,$M$91,$J$4:$J$96,$J$89,$O$4:$O$96,$O$96)</f>
        <v>0</v>
      </c>
      <c r="H181" s="2">
        <v>0</v>
      </c>
      <c r="I181" s="2"/>
      <c r="K181" s="2"/>
      <c r="L181" s="2" t="s">
        <v>362</v>
      </c>
      <c r="M181" s="2">
        <f>COUNTIFS($M$4:$M$96,$M$91,$J$4:$J$96,$J$95)</f>
        <v>1</v>
      </c>
      <c r="N181" s="2">
        <f>COUNTIFS($M$4:$M$96,$M$91,$J$4:$J$96,$J$95,$O$4:$O$96,$O$94)</f>
        <v>1</v>
      </c>
      <c r="O181" s="2">
        <f>COUNTIFS($M$4:$M$96,$M$91,$J$4:$J$96,$J$95,$O$4:$O$96,$O$96)</f>
        <v>0</v>
      </c>
      <c r="P181" s="2">
        <v>0</v>
      </c>
      <c r="Q181" s="2"/>
    </row>
    <row r="182" spans="3:17" x14ac:dyDescent="0.35">
      <c r="C182" s="2"/>
      <c r="D182" s="2"/>
      <c r="E182" s="62">
        <f>SUM(E179:E181)</f>
        <v>38</v>
      </c>
      <c r="F182" s="62">
        <f t="shared" ref="F182:G182" si="51">SUM(F179:F181)</f>
        <v>16</v>
      </c>
      <c r="G182" s="62">
        <f t="shared" si="51"/>
        <v>22</v>
      </c>
      <c r="H182" s="62"/>
      <c r="I182" s="2"/>
      <c r="K182" s="2"/>
      <c r="L182" s="2"/>
      <c r="M182" s="62">
        <f>SUM(M179:M181)</f>
        <v>55</v>
      </c>
      <c r="N182" s="62">
        <f t="shared" ref="N182" si="52">SUM(N179:N181)</f>
        <v>6</v>
      </c>
      <c r="O182" s="62">
        <f t="shared" ref="O182" si="53">SUM(O179:O181)</f>
        <v>49</v>
      </c>
      <c r="P182" s="62"/>
      <c r="Q182" s="2"/>
    </row>
    <row r="183" spans="3:17" x14ac:dyDescent="0.35">
      <c r="C183" s="2" t="s">
        <v>373</v>
      </c>
      <c r="D183" s="2"/>
      <c r="E183" s="2"/>
      <c r="F183" s="2"/>
      <c r="G183" s="2"/>
      <c r="H183" s="2"/>
      <c r="I183" s="60">
        <f>$H$156 - (((E184/$E$156)* H184)+((E185/E$106)*H185)+((E186/E$106) *H186))</f>
        <v>0.51934208277626692</v>
      </c>
      <c r="K183" s="2" t="s">
        <v>373</v>
      </c>
      <c r="L183" s="2"/>
      <c r="M183" s="2"/>
      <c r="N183" s="2"/>
      <c r="O183" s="2"/>
      <c r="P183" s="2"/>
      <c r="Q183" s="79">
        <f>$P$156 - (((M184/$M$156)* P184)+((M185/$M$156)*P185)+((M186/$M$156)*P186))</f>
        <v>0.20884523657945298</v>
      </c>
    </row>
    <row r="184" spans="3:17" x14ac:dyDescent="0.35">
      <c r="C184" s="2"/>
      <c r="D184" s="2" t="s">
        <v>366</v>
      </c>
      <c r="E184" s="2">
        <f>COUNTIFS($K$4:$K$96,$K$95,$J$4:$J$96,$J$89)</f>
        <v>4</v>
      </c>
      <c r="F184" s="2">
        <f>COUNTIFS($K$4:$K$96,$K$95,$J$4:$J$96,$J$89,$O$4:$O$96,$O$95)</f>
        <v>2</v>
      </c>
      <c r="G184" s="2">
        <f>COUNTIFS($K$4:$K$96,$K$95,$J$4:$J$96,$J$89,$O$4:$O$96,$O$96)</f>
        <v>2</v>
      </c>
      <c r="H184" s="60">
        <f t="shared" ref="H184:H186" si="54">((-F184/E184)*IMLOG2(F184/E184))+((-G184/E184)*IMLOG2(G184/E184))</f>
        <v>1</v>
      </c>
      <c r="I184" s="2"/>
      <c r="K184" s="2"/>
      <c r="L184" s="2" t="s">
        <v>366</v>
      </c>
      <c r="M184" s="2">
        <f>COUNTIFS($K$4:$K$96,$K$95,$J$4:$J$96,$J$95)</f>
        <v>25</v>
      </c>
      <c r="N184" s="2">
        <f>COUNTIFS($K$4:$K$96,$K$95,$J$4:$J$96,$J$95,$O$4:$O$96,$O$95)</f>
        <v>4</v>
      </c>
      <c r="O184" s="2">
        <f>COUNTIFS($K$4:$K$96,$K$95,$J$4:$J$96,$J$95,$O$4:$O$96,$O$96)</f>
        <v>21</v>
      </c>
      <c r="P184" s="60">
        <f t="shared" ref="P184" si="55">((-N184/M184)*IMLOG2(N184/M184))+((-O184/M184)*IMLOG2(O184/M184))</f>
        <v>0.63430955464056749</v>
      </c>
      <c r="Q184" s="2"/>
    </row>
    <row r="185" spans="3:17" x14ac:dyDescent="0.35">
      <c r="C185" s="2"/>
      <c r="D185" s="2" t="s">
        <v>364</v>
      </c>
      <c r="E185" s="2">
        <f>COUNTIFS($K$4:$K$96,$K$70,$J$4:$J$96,$J$89)</f>
        <v>0</v>
      </c>
      <c r="F185" s="2">
        <f>COUNTIFS($K$4:$K$96,$K$70,$J$4:$J$96,$J$89,$O$4:$O$96,$O$95)</f>
        <v>0</v>
      </c>
      <c r="G185" s="2">
        <f>COUNTIFS($K$4:$K$96,$K$70,$J$4:$J$96,$J$89,$O$4:$O$96,$O$96)</f>
        <v>0</v>
      </c>
      <c r="H185" s="60">
        <v>0</v>
      </c>
      <c r="I185" s="2"/>
      <c r="K185" s="2"/>
      <c r="L185" s="2" t="s">
        <v>364</v>
      </c>
      <c r="M185" s="2">
        <f>COUNTIFS($K$4:$K$96,$K$70,$J$4:$J$96,$J$95)</f>
        <v>21</v>
      </c>
      <c r="N185" s="2">
        <f>COUNTIFS($K$4:$K$96,$K$70,$J$4:$J$96,$J$95,$O$4:$O$96,$O$95)</f>
        <v>2</v>
      </c>
      <c r="O185" s="2">
        <f>COUNTIFS($K$4:$K$96,$K$70,$J$4:$J$96,$J$95,$O$4:$O$96,$O$96)</f>
        <v>19</v>
      </c>
      <c r="P185" s="60">
        <v>0</v>
      </c>
      <c r="Q185" s="2"/>
    </row>
    <row r="186" spans="3:17" x14ac:dyDescent="0.35">
      <c r="C186" s="2"/>
      <c r="D186" s="2" t="s">
        <v>374</v>
      </c>
      <c r="E186" s="2">
        <f>COUNTIFS($K$4:$K$96,$K$94,$J$4:$J$96,$J$89)</f>
        <v>34</v>
      </c>
      <c r="F186" s="2">
        <f>COUNTIFS($K$4:$K$96,$K$94,$J$4:$J$96,$J$89,$O$4:$O$96,$O$95)</f>
        <v>14</v>
      </c>
      <c r="G186" s="2">
        <f>COUNTIFS($K$4:$K$96,$K$94,$J$4:$J$96,$J$89,$O$4:$O$96,$O$96)</f>
        <v>20</v>
      </c>
      <c r="H186" s="60">
        <f t="shared" si="54"/>
        <v>0.97741781752817358</v>
      </c>
      <c r="I186" s="2"/>
      <c r="K186" s="2"/>
      <c r="L186" s="2" t="s">
        <v>374</v>
      </c>
      <c r="M186" s="2">
        <f>COUNTIFS($K$4:$K$96,$K$94,$J$4:$J$96,$J$95)</f>
        <v>9</v>
      </c>
      <c r="N186" s="2">
        <f>COUNTIFS($K$4:$K$96,$K$94,$J$4:$J$96,$J$95,$O$4:$O$96,$O$95)</f>
        <v>0</v>
      </c>
      <c r="O186" s="2">
        <f>COUNTIFS($K$4:$K$96,$K$94,$J$4:$J$96,$J$95,$O$4:$O$96,$O$96)</f>
        <v>9</v>
      </c>
      <c r="P186" s="60">
        <v>0</v>
      </c>
      <c r="Q186" s="2"/>
    </row>
    <row r="187" spans="3:17" x14ac:dyDescent="0.35">
      <c r="C187" s="2"/>
      <c r="D187" s="2"/>
      <c r="E187" s="62">
        <f t="shared" ref="E187:G187" si="56">SUM(E184:E186)</f>
        <v>38</v>
      </c>
      <c r="F187" s="62">
        <f t="shared" si="56"/>
        <v>16</v>
      </c>
      <c r="G187" s="62">
        <f t="shared" si="56"/>
        <v>22</v>
      </c>
      <c r="H187" s="62"/>
      <c r="I187" s="2"/>
      <c r="K187" s="2"/>
      <c r="L187" s="2"/>
      <c r="M187" s="62">
        <f t="shared" ref="M187" si="57">SUM(M184:M186)</f>
        <v>55</v>
      </c>
      <c r="N187" s="62">
        <f t="shared" ref="N187" si="58">SUM(N184:N186)</f>
        <v>6</v>
      </c>
      <c r="O187" s="62">
        <f t="shared" ref="O187" si="59">SUM(O184:O186)</f>
        <v>49</v>
      </c>
      <c r="P187" s="62"/>
      <c r="Q187" s="2"/>
    </row>
    <row r="188" spans="3:17" x14ac:dyDescent="0.35">
      <c r="C188" s="2" t="s">
        <v>9</v>
      </c>
      <c r="D188" s="2"/>
      <c r="E188" s="2"/>
      <c r="F188" s="2"/>
      <c r="G188" s="2"/>
      <c r="H188" s="2"/>
      <c r="I188" s="60">
        <f>$H$156 - (((E189/$E$156)* H189)+((E190/E$106)*H190)+((E191/E$106) *H191))</f>
        <v>0.27290749741694798</v>
      </c>
      <c r="K188" s="2" t="s">
        <v>9</v>
      </c>
      <c r="L188" s="2"/>
      <c r="M188" s="2"/>
      <c r="N188" s="2"/>
      <c r="O188" s="2"/>
      <c r="P188" s="2"/>
      <c r="Q188" s="79">
        <f>$P$156 - (((M189/$M$156)* P189)+((M190/$M$156)*P190)+((M191/$M$156)*P191))</f>
        <v>0.19788403589303255</v>
      </c>
    </row>
    <row r="189" spans="3:17" x14ac:dyDescent="0.35">
      <c r="C189" s="2"/>
      <c r="D189" s="2" t="s">
        <v>319</v>
      </c>
      <c r="E189" s="2">
        <f>COUNTIFS($L$4:$L$96,$L$94,$J$4:$J$96,$J$89)</f>
        <v>31</v>
      </c>
      <c r="F189" s="2">
        <f>COUNTIFS($L$4:$L$96,$L$94,$J$4:$J$96,$J$89,$O$4:$O$96,$O$93)</f>
        <v>9</v>
      </c>
      <c r="G189" s="2">
        <f>COUNTIFS($L$4:$L$96,$L$94,$J$4:$J$96,$J$89,$O$4:$O$96,$O$96)</f>
        <v>22</v>
      </c>
      <c r="H189" s="60">
        <f t="shared" ref="H189" si="60">((-F189/E189)*IMLOG2(F189/E189))+((-G189/E189)*IMLOG2(G189/E189))</f>
        <v>0.86913758061263735</v>
      </c>
      <c r="I189" s="2"/>
      <c r="K189" s="2"/>
      <c r="L189" s="2" t="s">
        <v>319</v>
      </c>
      <c r="M189" s="2">
        <f>COUNTIFS($L$4:$L$96,$L$94,$J$4:$J$96,$J$95)</f>
        <v>51</v>
      </c>
      <c r="N189" s="2">
        <f>COUNTIFS($L$4:$L$96,$L$94,$J$4:$J$96,$J$95,$O$4:$O$96,$O$93)</f>
        <v>3</v>
      </c>
      <c r="O189" s="2">
        <f>COUNTIFS($L$4:$L$96,$L$94,$J$4:$J$96,$J$95,$O$4:$O$96,$O$96)</f>
        <v>48</v>
      </c>
      <c r="P189" s="60">
        <f t="shared" ref="P189" si="61">((-N189/M189)*IMLOG2(N189/M189))+((-O189/M189)*IMLOG2(O189/M189))</f>
        <v>0.32275695889739825</v>
      </c>
      <c r="Q189" s="2"/>
    </row>
    <row r="190" spans="3:17" x14ac:dyDescent="0.35">
      <c r="C190" s="2"/>
      <c r="D190" s="2" t="s">
        <v>366</v>
      </c>
      <c r="E190" s="2">
        <f>COUNTIFS($L$4:$L$96,$L$38,$J$4:$J$96,$J$89)</f>
        <v>4</v>
      </c>
      <c r="F190" s="2">
        <f>COUNTIFS($L$4:$L$96,$L$38,$J$4:$J$96,$J$89,$O$4:$O$96,$O$95)</f>
        <v>4</v>
      </c>
      <c r="G190" s="2">
        <f>COUNTIFS($L$4:$L$96,$L$38,$J$4:$J$96,$J$89,$O$4:$O$96,$O$96)</f>
        <v>0</v>
      </c>
      <c r="H190" s="60">
        <v>0</v>
      </c>
      <c r="I190" s="2"/>
      <c r="K190" s="2"/>
      <c r="L190" s="2" t="s">
        <v>366</v>
      </c>
      <c r="M190" s="2">
        <f>COUNTIFS($L$4:$L$96,$L$38,$J$4:$J$96,$J$95)</f>
        <v>2</v>
      </c>
      <c r="N190" s="2">
        <f>COUNTIFS($L$4:$L$96,$L$38,$J$4:$J$96,$J$95,$O$4:$O$96,$O$95)</f>
        <v>2</v>
      </c>
      <c r="O190" s="2">
        <f>COUNTIFS($L$4:$L$96,$L$38,$J$4:$J$96,$J$95,$O$4:$O$96,$O$96)</f>
        <v>0</v>
      </c>
      <c r="P190" s="60">
        <v>0</v>
      </c>
      <c r="Q190" s="2"/>
    </row>
    <row r="191" spans="3:17" x14ac:dyDescent="0.35">
      <c r="C191" s="2"/>
      <c r="D191" s="2" t="s">
        <v>362</v>
      </c>
      <c r="E191" s="2">
        <f>COUNTIFS($L$4:$L$96,$L$76,$J$4:$J$96,$J$89)</f>
        <v>3</v>
      </c>
      <c r="F191" s="2">
        <f>COUNTIFS($L$4:$L$96,$L$76,$J$4:$J$96,J$89,O$4:O$96,O$94)</f>
        <v>3</v>
      </c>
      <c r="G191" s="2">
        <f>COUNTIFS($L$4:$L$96,$L$76,$J$4:$J$96,$J$89,$O$4:$O$96,$O$96)</f>
        <v>0</v>
      </c>
      <c r="H191" s="60">
        <v>0</v>
      </c>
      <c r="I191" s="2"/>
      <c r="K191" s="2"/>
      <c r="L191" s="2" t="s">
        <v>362</v>
      </c>
      <c r="M191" s="2">
        <f>COUNTIFS($L$4:$L$96,$L$76,$J$4:$J$96,$J$95)</f>
        <v>2</v>
      </c>
      <c r="N191" s="2">
        <f>COUNTIFS($L$4:$L$96,$L$76,$J$4:$J$96,$J$95,$O$4:$O$96,$O$95)</f>
        <v>1</v>
      </c>
      <c r="O191" s="2">
        <f>COUNTIFS($L$4:$L$96,$L$76,$J$4:$J$96,$J$95,$O$4:$O$96,$O$96)</f>
        <v>1</v>
      </c>
      <c r="P191" s="60">
        <v>0</v>
      </c>
      <c r="Q191" s="2"/>
    </row>
    <row r="192" spans="3:17" x14ac:dyDescent="0.35">
      <c r="C192" s="2"/>
      <c r="D192" s="2"/>
      <c r="E192" s="62">
        <f t="shared" ref="E192" si="62">SUM(E189:E191)</f>
        <v>38</v>
      </c>
      <c r="F192" s="62">
        <f t="shared" ref="F192" si="63">SUM(F189:F191)</f>
        <v>16</v>
      </c>
      <c r="G192" s="62">
        <f t="shared" ref="G192" si="64">SUM(G189:G191)</f>
        <v>22</v>
      </c>
      <c r="H192" s="2"/>
      <c r="I192" s="2"/>
      <c r="K192" s="2"/>
      <c r="L192" s="2"/>
      <c r="M192" s="62">
        <f t="shared" ref="M192" si="65">SUM(M189:M191)</f>
        <v>55</v>
      </c>
      <c r="N192" s="62">
        <f t="shared" ref="N192" si="66">SUM(N189:N191)</f>
        <v>6</v>
      </c>
      <c r="O192" s="62">
        <f t="shared" ref="O192" si="67">SUM(O189:O191)</f>
        <v>49</v>
      </c>
      <c r="P192" s="2"/>
      <c r="Q192" s="2"/>
    </row>
    <row r="193" spans="3:18" x14ac:dyDescent="0.35">
      <c r="C193" s="2" t="s">
        <v>11</v>
      </c>
      <c r="D193" s="2"/>
      <c r="E193" s="2"/>
      <c r="F193" s="2"/>
      <c r="G193" s="2"/>
      <c r="H193" s="2"/>
      <c r="I193" s="60">
        <f>$H$156 - (((E194/$E$156)* H194)+((E195/E$106)*H195))</f>
        <v>3.3548155702973204E-2</v>
      </c>
      <c r="K193" s="2" t="s">
        <v>11</v>
      </c>
      <c r="L193" s="2"/>
      <c r="M193" s="2"/>
      <c r="N193" s="2"/>
      <c r="O193" s="2"/>
      <c r="P193" s="2"/>
      <c r="Q193" s="79">
        <f>$P$156 - (((M194/$M$156)* P194)+((M195/$M$156)*P195))</f>
        <v>0</v>
      </c>
    </row>
    <row r="194" spans="3:18" x14ac:dyDescent="0.35">
      <c r="C194" s="2"/>
      <c r="D194" s="2" t="s">
        <v>365</v>
      </c>
      <c r="E194" s="2">
        <f>COUNTIFS($N$4:$N$96,$N$96,$J$4:$J$96,$J$92)</f>
        <v>37</v>
      </c>
      <c r="F194" s="2">
        <f>COUNTIFS($N$4:$N$96,$N$96,$J$4:$J$96,$J$92,$O$4:$O$96,$O$95)</f>
        <v>15</v>
      </c>
      <c r="G194" s="2">
        <f>COUNTIFS($N$4:$N$96,$N$96,$J$4:$J$96,$J$92,$O$4:$O$96,$O$96)</f>
        <v>22</v>
      </c>
      <c r="H194" s="60">
        <f t="shared" ref="H194" si="68">((-F194/E194)*IMLOG2(F194/E194))+((-G194/E194)*IMLOG2(G194/E194))</f>
        <v>0.97402486443575131</v>
      </c>
      <c r="I194" s="2"/>
      <c r="K194" s="2"/>
      <c r="L194" s="2" t="s">
        <v>365</v>
      </c>
      <c r="M194" s="2">
        <f>COUNTIFS($N$4:$N$96,$N$96,$J$4:$J$96,$J$95)</f>
        <v>55</v>
      </c>
      <c r="N194" s="2">
        <f>COUNTIFS($N$4:$N$96,$N$96,$J$4:$J$96,$J$95,$O$4:$O$96,$O$95)</f>
        <v>6</v>
      </c>
      <c r="O194" s="2">
        <f>COUNTIFS($N$4:$N$96,$N$96,$J$4:$J$96,$J$95,$O$4:$O$96,$O$96)</f>
        <v>49</v>
      </c>
      <c r="P194" s="60">
        <f t="shared" ref="P194" si="69">((-N194/M194)*IMLOG2(N194/M194))+((-O194/M194)*IMLOG2(O194/M194))</f>
        <v>0.49716776141607455</v>
      </c>
      <c r="Q194" s="2"/>
      <c r="R194">
        <f>6+49</f>
        <v>55</v>
      </c>
    </row>
    <row r="195" spans="3:18" x14ac:dyDescent="0.35">
      <c r="C195" s="2"/>
      <c r="D195" s="2" t="s">
        <v>366</v>
      </c>
      <c r="E195" s="2">
        <f>COUNTIFS($N$4:$N$96,$N$14,$J$4:$J$96,$J$92)</f>
        <v>1</v>
      </c>
      <c r="F195" s="2">
        <f>COUNTIFS($N$4:$N$96,$N$14,$J$4:$J$96,$J$92,$O$4:$O$96,$O$95)</f>
        <v>1</v>
      </c>
      <c r="G195" s="2">
        <f>COUNTIFS($N$4:$N$96,$N$14,$J$4:$J$96,$J$92,$O$4:$O$96,$O$96)</f>
        <v>0</v>
      </c>
      <c r="H195" s="2">
        <v>0</v>
      </c>
      <c r="I195" s="2"/>
      <c r="K195" s="2"/>
      <c r="L195" s="2" t="s">
        <v>366</v>
      </c>
      <c r="M195" s="2">
        <f>COUNTIFS($N$4:$N$96,$N$14,$J$4:$J$96,$J$95)</f>
        <v>0</v>
      </c>
      <c r="N195" s="2">
        <f>COUNTIFS($N$4:$N$96,$N$14,$J$4:$J$96,$J$95,$O$4:$O$96,$O$95)</f>
        <v>0</v>
      </c>
      <c r="O195" s="2">
        <f>COUNTIFS($N$4:$N$96,$N$14,$J$4:$J$96,$J$95,$O$4:$O$96,$O$96)</f>
        <v>0</v>
      </c>
      <c r="P195" s="2">
        <v>0</v>
      </c>
      <c r="Q195" s="2"/>
    </row>
    <row r="196" spans="3:18" x14ac:dyDescent="0.35">
      <c r="C196" s="2"/>
      <c r="D196" s="2"/>
      <c r="E196" s="2"/>
      <c r="F196" s="2"/>
      <c r="G196" s="2"/>
      <c r="H196" s="2"/>
      <c r="I196" s="2"/>
      <c r="K196" s="2"/>
      <c r="L196" s="2"/>
      <c r="M196" s="2"/>
      <c r="N196" s="2"/>
      <c r="O196" s="2"/>
      <c r="P196" s="2"/>
      <c r="Q196" s="2"/>
    </row>
    <row r="197" spans="3:18" x14ac:dyDescent="0.35">
      <c r="C197" s="2"/>
      <c r="D197" s="2"/>
      <c r="E197" s="2"/>
      <c r="F197" s="2"/>
      <c r="G197" s="2"/>
      <c r="H197" s="2"/>
      <c r="I197" s="64">
        <f>MAX(I157:I193)</f>
        <v>0.69110072750629925</v>
      </c>
      <c r="K197" s="2"/>
      <c r="L197" s="2"/>
      <c r="M197" s="2"/>
      <c r="N197" s="2"/>
      <c r="O197" s="2"/>
      <c r="P197" s="2"/>
      <c r="Q197" s="64">
        <f>MAX(Q157:Q193)</f>
        <v>0.33499167889709291</v>
      </c>
    </row>
    <row r="198" spans="3:18" x14ac:dyDescent="0.35">
      <c r="C198" s="2"/>
      <c r="D198" s="2"/>
      <c r="E198" s="2"/>
      <c r="F198" s="2"/>
      <c r="G198" s="2"/>
      <c r="H198" s="2"/>
      <c r="I198" s="2"/>
      <c r="K198" s="2"/>
      <c r="L198" s="2"/>
      <c r="M198" s="2"/>
      <c r="N198" s="2"/>
      <c r="O198" s="2"/>
      <c r="P198" s="2"/>
      <c r="Q198" s="2"/>
    </row>
    <row r="199" spans="3:18" x14ac:dyDescent="0.35">
      <c r="C199" s="41"/>
      <c r="D199" s="41"/>
      <c r="E199" s="41"/>
      <c r="F199" s="41"/>
      <c r="G199" s="41"/>
      <c r="H199" s="41"/>
      <c r="I199" s="41"/>
    </row>
    <row r="200" spans="3:18" x14ac:dyDescent="0.35">
      <c r="C200" s="41"/>
      <c r="D200" s="41"/>
      <c r="E200" s="41"/>
      <c r="F200" s="41"/>
      <c r="G200" s="41"/>
      <c r="H200" s="41"/>
      <c r="I200" s="41"/>
    </row>
    <row r="201" spans="3:18" ht="29" x14ac:dyDescent="0.35">
      <c r="C201" s="56" t="s">
        <v>379</v>
      </c>
      <c r="D201" s="57"/>
      <c r="E201" s="58" t="s">
        <v>356</v>
      </c>
      <c r="F201" s="58" t="s">
        <v>357</v>
      </c>
      <c r="G201" s="59" t="s">
        <v>358</v>
      </c>
      <c r="H201" s="58" t="s">
        <v>359</v>
      </c>
      <c r="I201" s="58" t="s">
        <v>360</v>
      </c>
      <c r="K201" s="56" t="s">
        <v>387</v>
      </c>
      <c r="L201" s="57"/>
      <c r="M201" s="58" t="s">
        <v>356</v>
      </c>
      <c r="N201" s="58" t="s">
        <v>357</v>
      </c>
      <c r="O201" s="59" t="s">
        <v>358</v>
      </c>
      <c r="P201" s="58" t="s">
        <v>359</v>
      </c>
      <c r="Q201" s="58" t="s">
        <v>360</v>
      </c>
    </row>
    <row r="202" spans="3:18" ht="28.5" customHeight="1" x14ac:dyDescent="0.35">
      <c r="C202" s="72" t="s">
        <v>380</v>
      </c>
      <c r="D202" s="58"/>
      <c r="E202" s="94">
        <f>E160</f>
        <v>24</v>
      </c>
      <c r="F202" s="94">
        <f>F160</f>
        <v>15</v>
      </c>
      <c r="G202" s="77">
        <f>G160</f>
        <v>9</v>
      </c>
      <c r="H202" s="95">
        <f>((-F202/E202)*IMLOG2(F202/E202))+((-G202/E202)*IMLOG2(G202/E202))</f>
        <v>0.95443400292496372</v>
      </c>
      <c r="I202" s="94"/>
      <c r="J202" s="31"/>
      <c r="K202" s="222" t="s">
        <v>388</v>
      </c>
      <c r="L202" s="223"/>
      <c r="M202" s="30">
        <f>M180</f>
        <v>9</v>
      </c>
      <c r="N202" s="30">
        <f>N180</f>
        <v>5</v>
      </c>
      <c r="O202" s="96">
        <f>O180</f>
        <v>4</v>
      </c>
      <c r="P202" s="97">
        <f>((-N202/M202)*IMLOG2(N202/M202))+((-O202/M202)*IMLOG2(O202/M202))</f>
        <v>0.99107605983822111</v>
      </c>
      <c r="Q202" s="30"/>
    </row>
    <row r="203" spans="3:18" x14ac:dyDescent="0.35">
      <c r="C203" s="2" t="s">
        <v>5</v>
      </c>
      <c r="D203" s="2"/>
      <c r="E203" s="2"/>
      <c r="F203" s="2"/>
      <c r="G203" s="2"/>
      <c r="H203" s="2"/>
      <c r="I203" s="67">
        <f>$H$202 - (((E204/$E$202)* H204)+((E205/$E$202)*H205))</f>
        <v>0.24786969924684032</v>
      </c>
      <c r="J203" s="74"/>
      <c r="K203" s="90" t="s">
        <v>124</v>
      </c>
      <c r="L203" s="90"/>
      <c r="M203" s="90"/>
      <c r="N203" s="90"/>
      <c r="O203" s="90"/>
      <c r="P203" s="90"/>
      <c r="Q203" s="79">
        <f>$P$202 - (((M204/$M$202)* P204)+((M205/$M$202)*P205)+((M206/$M$202) *P206))</f>
        <v>0.22478750958935823</v>
      </c>
    </row>
    <row r="204" spans="3:18" x14ac:dyDescent="0.35">
      <c r="C204" s="2"/>
      <c r="D204" s="2" t="s">
        <v>362</v>
      </c>
      <c r="E204" s="2">
        <f>COUNTIFS($F$4:$F$96,$F$96,$J$4:$J$96,$J$91,$E$4:$E$96,$E$91)</f>
        <v>17</v>
      </c>
      <c r="F204" s="2">
        <f>COUNTIFS($F$4:$F$96,$F$96,$J$4:$J$96,$J$91,$E$4:$E$96,$E$91,$O$4:$O$96,$O$95)</f>
        <v>8</v>
      </c>
      <c r="G204" s="2">
        <f>COUNTIFS($F$4:$F$96,$F$96,$J$4:$J$96,$J$91,$E$4:$E$96,$E$91,$O$4:$O$96,$O$96)</f>
        <v>9</v>
      </c>
      <c r="H204" s="73">
        <f>((-F204/E204)*IMLOG2(F204/E204))+((-G204/E204)*IMLOG2(G204/E204))</f>
        <v>0.99750254636911539</v>
      </c>
      <c r="I204" s="2"/>
      <c r="J204" s="75"/>
      <c r="K204" s="2"/>
      <c r="L204" s="2" t="s">
        <v>311</v>
      </c>
      <c r="M204" s="2">
        <f>COUNTIFS($E$4:$E$96,$E$96,$J$4:$J$96,$J$95,$M$4:$M$96,$M$95)</f>
        <v>0</v>
      </c>
      <c r="N204" s="2">
        <f>COUNTIFS($E$4:$E$96,$E$96,$J$4:$J$96,$J$95,$M$4:$M$96,$M$95,$O$4:$O$96,$O$95)</f>
        <v>0</v>
      </c>
      <c r="O204" s="2">
        <f>COUNTIFS($E$4:$E$96,$E$96,$J$4:$J$96,$J$95,$M$4:$M$96,$M$95,$O$4:$O$96,$O$88)</f>
        <v>0</v>
      </c>
      <c r="P204" s="60">
        <v>0</v>
      </c>
      <c r="Q204" s="2"/>
    </row>
    <row r="205" spans="3:18" x14ac:dyDescent="0.35">
      <c r="C205" s="2"/>
      <c r="D205" s="2" t="s">
        <v>367</v>
      </c>
      <c r="E205" s="2">
        <f>COUNTIFS($F$4:$F$96,$F$93,$J$4:$J$96,$J$91,$E$4:$E$96,$E$91)</f>
        <v>7</v>
      </c>
      <c r="F205" s="2">
        <f>COUNTIFS($F$4:$F$96,$F$93,$J$4:$J$96,$J$91,$E$4:$E$96,$E$91,$O$4:$O$96,$O$95)</f>
        <v>7</v>
      </c>
      <c r="G205" s="2">
        <f>COUNTIFS($F$4:$F$96,$F$93,$J$4:$J$96,$J$91,$E$4:$E$96,$E$91,$O$4:$O$96,$O$96)</f>
        <v>0</v>
      </c>
      <c r="H205" s="2">
        <v>0</v>
      </c>
      <c r="I205" s="2"/>
      <c r="J205" s="75"/>
      <c r="K205" s="2"/>
      <c r="L205" s="2" t="s">
        <v>363</v>
      </c>
      <c r="M205" s="2">
        <f>COUNTIFS($E$4:$E$96,$E$92,$J$4:$J$96,$J$95,$M$4:$M$96,$M$95)</f>
        <v>7</v>
      </c>
      <c r="N205" s="2">
        <f>COUNTIFS($E$4:$E$96,$E$92,$J$4:$J$96,$J$95,$M$4:$M$96,$M$95,$O$4:$O$96,$O$95)</f>
        <v>4</v>
      </c>
      <c r="O205" s="2">
        <f>COUNTIFS($E$4:$E$96,$E$92,$J$4:$J$96,$J$95,$M$4:$M$96,$M$95,$O$4:$O$96,$O$88)</f>
        <v>3</v>
      </c>
      <c r="P205" s="60">
        <f t="shared" ref="P205" si="70">((-N205/M205)*IMLOG2(N205/M205))+((-O205/M205)*IMLOG2(O205/M205))</f>
        <v>0.9852281360342523</v>
      </c>
      <c r="Q205" s="2"/>
    </row>
    <row r="206" spans="3:18" x14ac:dyDescent="0.35">
      <c r="C206" s="2"/>
      <c r="D206" s="2"/>
      <c r="E206" s="62">
        <f>SUM(E204:E205)</f>
        <v>24</v>
      </c>
      <c r="F206" s="62">
        <f t="shared" ref="F206:G206" si="71">SUM(F204:F205)</f>
        <v>15</v>
      </c>
      <c r="G206" s="62">
        <f t="shared" si="71"/>
        <v>9</v>
      </c>
      <c r="H206" s="2"/>
      <c r="I206" s="2"/>
      <c r="J206" s="75"/>
      <c r="K206" s="2"/>
      <c r="L206" s="88" t="s">
        <v>364</v>
      </c>
      <c r="M206" s="88">
        <f>COUNTIFS($E$4:$E$96,$E$93,$J$4:$J$96,$J$95,$M$4:$M$96,$M$95)</f>
        <v>2</v>
      </c>
      <c r="N206" s="88">
        <f>COUNTIFS($E$4:$E$96,$E$93,$J$4:$J$96,$J$95,$M$4:$M$96,$M$95,$O$4:$O$96,$O$95)</f>
        <v>1</v>
      </c>
      <c r="O206" s="88">
        <f>COUNTIFS($E$4:$E$96,$E$93,$J$4:$J$96,$J$95,$M$4:$M$96,$M$95,$O$4:$O$96,$O$96)</f>
        <v>1</v>
      </c>
      <c r="P206" s="89">
        <v>0</v>
      </c>
      <c r="Q206" s="2"/>
    </row>
    <row r="207" spans="3:18" x14ac:dyDescent="0.35">
      <c r="C207" s="2" t="s">
        <v>368</v>
      </c>
      <c r="D207" s="2"/>
      <c r="E207" s="2"/>
      <c r="F207" s="2"/>
      <c r="G207" s="2"/>
      <c r="H207" s="2"/>
      <c r="I207" s="67">
        <f>$H$202 - (((E208/$E$202)* H208)+((E209/$E$202)*H209))</f>
        <v>0.12724016036290065</v>
      </c>
      <c r="J207" s="75"/>
      <c r="K207" s="2"/>
      <c r="L207" s="2"/>
      <c r="M207" s="62">
        <f>SUM(M204:M206)</f>
        <v>9</v>
      </c>
      <c r="N207" s="62">
        <f t="shared" ref="N207" si="72">SUM(N204:N206)</f>
        <v>5</v>
      </c>
      <c r="O207" s="62">
        <f t="shared" ref="O207" si="73">SUM(O204:O206)</f>
        <v>4</v>
      </c>
      <c r="P207" s="2"/>
      <c r="Q207" s="2"/>
    </row>
    <row r="208" spans="3:18" x14ac:dyDescent="0.35">
      <c r="C208" s="2"/>
      <c r="D208" s="2" t="s">
        <v>319</v>
      </c>
      <c r="E208" s="2">
        <f>COUNTIFS($G$4:$G$96,$G$96,$J$4:$J$96,$J$91,$E$4:$E$96,$E$91)</f>
        <v>22</v>
      </c>
      <c r="F208" s="2">
        <f>COUNTIFS($G$4:$G$96,$G$96,$J$4:$J$96,$J$91,$E$4:$E$96,$E$91,O4:O96,O94)</f>
        <v>15</v>
      </c>
      <c r="G208" s="2">
        <f>COUNTIFS($G$4:$G$96,$G$96,$J$4:$J$96,$J$91,$E$4:$E$96,$E$91,O4:O96,O90)</f>
        <v>7</v>
      </c>
      <c r="H208" s="73">
        <f>((-F208/E208)*IMLOG2(F208/E208))+((-G208/E208)*IMLOG2(G208/E208))</f>
        <v>0.90239328279497788</v>
      </c>
      <c r="I208" s="2"/>
      <c r="J208" s="75"/>
      <c r="K208" s="2" t="s">
        <v>5</v>
      </c>
      <c r="L208" s="2"/>
      <c r="M208" s="2"/>
      <c r="N208" s="2"/>
      <c r="O208" s="2"/>
      <c r="P208" s="2"/>
      <c r="Q208" s="79">
        <f>$P$202 - (((M209/$M$202)* P209)+((M210/$M$202)*P210))</f>
        <v>9.1091007603791185E-2</v>
      </c>
    </row>
    <row r="209" spans="3:17" x14ac:dyDescent="0.35">
      <c r="C209" s="2"/>
      <c r="D209" s="2" t="s">
        <v>362</v>
      </c>
      <c r="E209" s="2">
        <f>COUNTIFS($G$4:$G$96,$G$81,$J$4:$J$96,$J$91,$E$4:$E$96,$E$91)</f>
        <v>2</v>
      </c>
      <c r="F209" s="2">
        <f>COUNTIFS($G$4:$G$96,$G$81,$J$4:$J$96,$J$91,$E$4:$E$96,$E$91,O4:O96,O95)</f>
        <v>0</v>
      </c>
      <c r="G209" s="2">
        <f>COUNTIFS($G$4:$G$96,$G$81,$J$4:$J$96,$J$91,$E$4:$E$96,$E$91,O4:O96,O96)</f>
        <v>2</v>
      </c>
      <c r="H209" s="73">
        <v>0</v>
      </c>
      <c r="I209" s="2"/>
      <c r="J209" s="75"/>
      <c r="K209" s="2"/>
      <c r="L209" s="2" t="s">
        <v>362</v>
      </c>
      <c r="M209" s="2">
        <f>COUNTIFS($F$4:$F$96,$F$96,$J$4:$J$96,$J$95,$M$4:$M$96,$M$95)</f>
        <v>5</v>
      </c>
      <c r="N209" s="2">
        <f>COUNTIFS($F$4:$F$96,$F$96,$J$4:$J$96,$J$95,$M$4:$M$96,$M$95,$O$4:$O$96,$O$91)</f>
        <v>2</v>
      </c>
      <c r="O209" s="2">
        <f>COUNTIFS($F$4:$F$96,$F$96,$J$4:$J$96,$J$95,$M$4:$M$96,$M$95,$O$4:$O$96,$O$90)</f>
        <v>3</v>
      </c>
      <c r="P209" s="60">
        <f t="shared" ref="P209:P210" si="74">((-N209/M209)*IMLOG2(N209/M209))+((-O209/M209)*IMLOG2(O209/M209))</f>
        <v>0.97095059445466747</v>
      </c>
      <c r="Q209" s="2"/>
    </row>
    <row r="210" spans="3:17" x14ac:dyDescent="0.35">
      <c r="C210" s="2"/>
      <c r="D210" s="2"/>
      <c r="E210" s="62">
        <f>SUM(E208:E209)</f>
        <v>24</v>
      </c>
      <c r="F210" s="62">
        <f t="shared" ref="F210:G210" si="75">SUM(F208:F209)</f>
        <v>15</v>
      </c>
      <c r="G210" s="62">
        <f t="shared" si="75"/>
        <v>9</v>
      </c>
      <c r="H210" s="2"/>
      <c r="I210" s="2"/>
      <c r="J210" s="75"/>
      <c r="K210" s="2"/>
      <c r="L210" s="2" t="s">
        <v>367</v>
      </c>
      <c r="M210" s="2">
        <f>COUNTIFS($F$4:$F$96,$F$93,$J$4:$J$96,$J$95,$M$4:$M$96,$M$95)</f>
        <v>4</v>
      </c>
      <c r="N210" s="2">
        <f>COUNTIFS($F$4:$F$96,$F$93,$J$4:$J$96,$J$95,$M$4:$M$96,$M$95,$O$4:$O$96,$O$91)</f>
        <v>3</v>
      </c>
      <c r="O210" s="2">
        <f>COUNTIFS($F$4:$F$96,$F$93,$J$4:$J$96,$J$95,$M$4:$M$96,$M$95,$O$4:$O$96,$O$90)</f>
        <v>1</v>
      </c>
      <c r="P210" s="60">
        <f t="shared" si="74"/>
        <v>0.81127812445913294</v>
      </c>
      <c r="Q210" s="2"/>
    </row>
    <row r="211" spans="3:17" x14ac:dyDescent="0.35">
      <c r="C211" s="2" t="s">
        <v>369</v>
      </c>
      <c r="D211" s="2"/>
      <c r="E211" s="2"/>
      <c r="F211" s="2"/>
      <c r="G211" s="2"/>
      <c r="H211" s="2"/>
      <c r="I211" s="67">
        <f>$H$202 - (((E212/$E$202)* H212)+((E213/$E$202)*H213))</f>
        <v>2.9032708444795885E-2</v>
      </c>
      <c r="J211" s="75"/>
      <c r="K211" s="2"/>
      <c r="L211" s="2"/>
      <c r="M211" s="62">
        <f>SUM(M209:M210)</f>
        <v>9</v>
      </c>
      <c r="N211" s="62">
        <f t="shared" ref="N211" si="76">SUM(N209:N210)</f>
        <v>5</v>
      </c>
      <c r="O211" s="62">
        <f t="shared" ref="O211" si="77">SUM(O209:O210)</f>
        <v>4</v>
      </c>
      <c r="P211" s="2"/>
      <c r="Q211" s="2"/>
    </row>
    <row r="212" spans="3:17" x14ac:dyDescent="0.35">
      <c r="C212" s="2"/>
      <c r="D212" s="2" t="s">
        <v>319</v>
      </c>
      <c r="E212" s="2">
        <f>COUNTIFS($H$4:$H$96,$H$95,$J$4:$J$96,$J$91,$E$4:$E$96,$E$91)</f>
        <v>23</v>
      </c>
      <c r="F212" s="2">
        <f>COUNTIFS($H$4:$H$96,$H$95,$J$4:$J$96,$J$91,$E$4:$E$96,$E$91,O4:O96,O94)</f>
        <v>14</v>
      </c>
      <c r="G212" s="2">
        <f>COUNTIFS($H$4:$H$96,$H$95,$J$4:$J$96,$J$91,$E$4:$E$96,$E$91,O4:O96,O96)</f>
        <v>9</v>
      </c>
      <c r="H212" s="73">
        <f>((-F212/E212)*IMLOG2(F212/E212))+((-G212/E212)*IMLOG2(G212/E212))</f>
        <v>0.96563613337060983</v>
      </c>
      <c r="I212" s="2"/>
      <c r="J212" s="75"/>
      <c r="K212" s="2" t="s">
        <v>368</v>
      </c>
      <c r="L212" s="2"/>
      <c r="M212" s="2"/>
      <c r="N212" s="2"/>
      <c r="O212" s="2"/>
      <c r="P212" s="2"/>
      <c r="Q212" s="79">
        <f>$P$202 - (((M213/$M$202)* P213)+((M214/$M$202)*P214))</f>
        <v>0</v>
      </c>
    </row>
    <row r="213" spans="3:17" x14ac:dyDescent="0.35">
      <c r="C213" s="2"/>
      <c r="D213" s="2" t="s">
        <v>362</v>
      </c>
      <c r="E213" s="2">
        <f>COUNTIFS($H$4:$H$96,$H$38,$J$4:$J$96,$J$91,$E$4:$E$96,$E$91)</f>
        <v>1</v>
      </c>
      <c r="F213" s="2">
        <f>COUNTIFS($H$4:$H$96,$H$38,$J$4:$J$96,$J$91,$E$4:$E$96,$E$91,O4:O96,O95)</f>
        <v>1</v>
      </c>
      <c r="G213" s="2">
        <f>COUNTIFS($H$4:$H$96,$H$38,$J$4:$J$96,$J$91,$E$4:$E$96,$E$91,O4:O96,O96)</f>
        <v>0</v>
      </c>
      <c r="H213" s="2">
        <v>0</v>
      </c>
      <c r="I213" s="2"/>
      <c r="J213" s="75"/>
      <c r="K213" s="2"/>
      <c r="L213" s="2" t="s">
        <v>319</v>
      </c>
      <c r="M213" s="2">
        <f>COUNTIFS($G$4:$G$96,$G$91,$J$4:$J$96,$J$95,$M$4:$M$96,$M$95)</f>
        <v>9</v>
      </c>
      <c r="N213" s="2">
        <f>COUNTIFS($G$4:$G$96,$G$91,$J$4:$J$96,$J$95,$M$4:$M$96,$M$95,$O$4:$O$96,$O$94)</f>
        <v>5</v>
      </c>
      <c r="O213" s="2">
        <f>COUNTIFS($G$4:$G$96,$G$91,$J$4:$J$96,$J$95,$M$4:$M$96,$M$95,$O$4:$O$96,$O$96)</f>
        <v>4</v>
      </c>
      <c r="P213" s="60">
        <f t="shared" ref="P213" si="78">((-N213/M213)*IMLOG2(N213/M213))+((-O213/M213)*IMLOG2(O213/M213))</f>
        <v>0.99107605983822111</v>
      </c>
      <c r="Q213" s="60"/>
    </row>
    <row r="214" spans="3:17" x14ac:dyDescent="0.35">
      <c r="C214" s="2"/>
      <c r="D214" s="2"/>
      <c r="E214" s="2"/>
      <c r="F214" s="2"/>
      <c r="G214" s="2"/>
      <c r="H214" s="2"/>
      <c r="I214" s="2"/>
      <c r="J214" s="75"/>
      <c r="K214" s="2"/>
      <c r="L214" s="2" t="s">
        <v>362</v>
      </c>
      <c r="M214" s="2">
        <f>COUNTIFS($G$4:$G$96,$G$78,$J$4:$J$96,$J$95,$M$4:$M$96,$M$95)</f>
        <v>0</v>
      </c>
      <c r="N214" s="2">
        <f>COUNTIFS($G$4:$G$96,$G$78,$J$4:$J$96,$J$95,$M$4:$M$96,$M$95,$O$4:$O$96,$O$94)</f>
        <v>0</v>
      </c>
      <c r="O214" s="2">
        <f>COUNTIFS($G$4:$G$96,$G$78,$J$4:$J$96,$J$95,$M$4:$M$96,$M$95,$O$4:$O$96,$O$96)</f>
        <v>0</v>
      </c>
      <c r="P214" s="2">
        <v>0</v>
      </c>
      <c r="Q214" s="2"/>
    </row>
    <row r="215" spans="3:17" x14ac:dyDescent="0.35">
      <c r="C215" s="2" t="s">
        <v>372</v>
      </c>
      <c r="D215" s="2"/>
      <c r="E215" s="2"/>
      <c r="F215" s="2"/>
      <c r="G215" s="2"/>
      <c r="H215" s="2"/>
      <c r="I215" s="67">
        <f>$H$202 - (((E216/$E$202)* H216)+((E217/$E$202)*H217))</f>
        <v>0</v>
      </c>
      <c r="J215" s="75"/>
      <c r="K215" s="2"/>
      <c r="L215" s="2"/>
      <c r="M215" s="62">
        <f>SUM(M213:M214)</f>
        <v>9</v>
      </c>
      <c r="N215" s="62">
        <f t="shared" ref="N215" si="79">SUM(N213:N214)</f>
        <v>5</v>
      </c>
      <c r="O215" s="62">
        <f t="shared" ref="O215" si="80">SUM(O213:O214)</f>
        <v>4</v>
      </c>
      <c r="P215" s="2"/>
      <c r="Q215" s="2"/>
    </row>
    <row r="216" spans="3:17" x14ac:dyDescent="0.35">
      <c r="C216" s="2"/>
      <c r="D216" s="2" t="s">
        <v>319</v>
      </c>
      <c r="E216" s="2">
        <f>COUNTIFS($I$4:$I$96,$I$96,$J$4:$J$96,$J$91,$E$4:$E$96,$E$93)</f>
        <v>24</v>
      </c>
      <c r="F216" s="2">
        <f>COUNTIFS($I$4:$I$96,$I$96,$J$4:$J$96,$J$91,$E$4:$E$96,$E$93,O4:O96,O95)</f>
        <v>15</v>
      </c>
      <c r="G216" s="2">
        <f>COUNTIFS($I$4:$I$96,$I$96,$J$4:$J$96,$J$91,$E$4:$E$96,$E$93,O4:O96,O96)</f>
        <v>9</v>
      </c>
      <c r="H216" s="73">
        <f>((-F216/E216)*IMLOG2(F216/E216))+((-G216/E216)*IMLOG2(G216/E216))</f>
        <v>0.95443400292496372</v>
      </c>
      <c r="I216" s="2"/>
      <c r="J216" s="75"/>
      <c r="K216" s="2" t="s">
        <v>369</v>
      </c>
      <c r="L216" s="2"/>
      <c r="M216" s="2"/>
      <c r="N216" s="2"/>
      <c r="O216" s="2"/>
      <c r="P216" s="2"/>
      <c r="Q216" s="79">
        <f>$P$202 - (((M217/$M$202)* P217)+((M218/$M$202)*P218))</f>
        <v>0</v>
      </c>
    </row>
    <row r="217" spans="3:17" x14ac:dyDescent="0.35">
      <c r="C217" s="2"/>
      <c r="D217" s="2" t="s">
        <v>362</v>
      </c>
      <c r="E217" s="2">
        <f>COUNTIFS($I$4:$I$96,$I$83,$J$4:$J$96,$J$91,$E$4:$E$96,$E$93)</f>
        <v>0</v>
      </c>
      <c r="F217" s="2">
        <v>0</v>
      </c>
      <c r="G217" s="2">
        <v>0</v>
      </c>
      <c r="H217" s="2">
        <v>0</v>
      </c>
      <c r="I217" s="2"/>
      <c r="J217" s="75"/>
      <c r="K217" s="2"/>
      <c r="L217" s="2" t="s">
        <v>319</v>
      </c>
      <c r="M217" s="2">
        <f>COUNTIFS($H$4:$H$96,$H$94,$J$4:$J$96,$J$95,$M$4:$M$96,$M$95)</f>
        <v>9</v>
      </c>
      <c r="N217" s="2">
        <f>COUNTIFS($H$4:$H$96,$H$94,$J$4:$J$96,$J$95,$M$4:$M$96,$M$95,$O$4:$O$96,$O$95)</f>
        <v>5</v>
      </c>
      <c r="O217" s="2">
        <f>COUNTIFS($H$4:$H$96,$H$94,$J$4:$J$96,$J$95,$M$4:$M$96,$M$95,$O$4:$O$96,$O$96)</f>
        <v>4</v>
      </c>
      <c r="P217" s="60">
        <f t="shared" ref="P217" si="81">((-N217/M217)*IMLOG2(N217/M217))+((-O217/M217)*IMLOG2(O217/M217))</f>
        <v>0.99107605983822111</v>
      </c>
      <c r="Q217" s="2"/>
    </row>
    <row r="218" spans="3:17" x14ac:dyDescent="0.35">
      <c r="C218" s="2"/>
      <c r="D218" s="2"/>
      <c r="E218" s="2"/>
      <c r="F218" s="2"/>
      <c r="G218" s="2"/>
      <c r="H218" s="2"/>
      <c r="I218" s="2"/>
      <c r="J218" s="75"/>
      <c r="K218" s="2"/>
      <c r="L218" s="2" t="s">
        <v>362</v>
      </c>
      <c r="M218" s="2">
        <f>COUNTIFS($H$4:$H$96,$H$38,$J$4:$J$96,$J$95,$M$4:$M$96,$M$95)</f>
        <v>0</v>
      </c>
      <c r="N218" s="2">
        <f>COUNTIFS($H$4:$H$96,$H$38,$J$4:$J$96,$J$95,$O$4:$O$96,W141)</f>
        <v>0</v>
      </c>
      <c r="O218" s="2">
        <f>COUNTIFS($H$4:$H$96,$H$38,$J$4:$J$96,$J$95,$O$4:$O$96,W142)</f>
        <v>0</v>
      </c>
      <c r="P218" s="2">
        <v>0</v>
      </c>
      <c r="Q218" s="2"/>
    </row>
    <row r="219" spans="3:17" x14ac:dyDescent="0.35">
      <c r="C219" s="68" t="s">
        <v>378</v>
      </c>
      <c r="D219" s="68"/>
      <c r="E219" s="68"/>
      <c r="F219" s="68"/>
      <c r="G219" s="68"/>
      <c r="H219" s="68"/>
      <c r="I219" s="70">
        <f>$H$202 - (((E220/$E$202)* H220)+((E221/$E$202)*H221)+((E222/$E$202)*H222))</f>
        <v>0.4720843644727396</v>
      </c>
      <c r="J219" s="75"/>
      <c r="K219" s="2"/>
      <c r="L219" s="2"/>
      <c r="M219" s="62">
        <f>SUM(M217:M218)</f>
        <v>9</v>
      </c>
      <c r="N219" s="62">
        <f t="shared" ref="N219" si="82">SUM(N217:N218)</f>
        <v>5</v>
      </c>
      <c r="O219" s="62">
        <f t="shared" ref="O219" si="83">SUM(O217:O218)</f>
        <v>4</v>
      </c>
      <c r="P219" s="2"/>
      <c r="Q219" s="2"/>
    </row>
    <row r="220" spans="3:17" x14ac:dyDescent="0.35">
      <c r="C220" s="2"/>
      <c r="D220" s="81" t="s">
        <v>365</v>
      </c>
      <c r="E220" s="81">
        <f>COUNTIFS($M$4:$M$96,$M$96,$J$4:$J$96,$J$91,$E$4:$E$96,$E$93)</f>
        <v>13</v>
      </c>
      <c r="F220" s="81">
        <f>COUNTIFS($M$4:$M$96,$M$96,$J$4:$J$96,$J$91,$E$4:$E$96,$E$93,$O$4:$O$96,$O$94)</f>
        <v>4</v>
      </c>
      <c r="G220" s="81">
        <f>COUNTIFS($M$4:$M$96,$M$96,$J$4:$J$96,$J$91,$E$4:$E$96,$E$93,$O$4:$O$96,$O$96)</f>
        <v>9</v>
      </c>
      <c r="H220" s="86">
        <f>((-F220/E220)*IMLOG2(F220/E220))+((-G220/E220)*IMLOG2(G220/E220))</f>
        <v>0.89049164021949079</v>
      </c>
      <c r="I220" s="2"/>
      <c r="J220" s="75"/>
      <c r="K220" s="2" t="s">
        <v>372</v>
      </c>
      <c r="L220" s="2"/>
      <c r="M220" s="2"/>
      <c r="N220" s="2"/>
      <c r="O220" s="2"/>
      <c r="P220" s="2"/>
      <c r="Q220" s="79">
        <f>$P$202 - (((M221/$M$202)* P221)+((M222/$M$202)*P222))</f>
        <v>0</v>
      </c>
    </row>
    <row r="221" spans="3:17" x14ac:dyDescent="0.35">
      <c r="C221" s="2"/>
      <c r="D221" s="2" t="s">
        <v>366</v>
      </c>
      <c r="E221" s="2">
        <f>COUNTIFS($M$4:$M$96,$M$34,$J$4:$J$96,$J$91,$E$4:$E$96,$E$93)</f>
        <v>6</v>
      </c>
      <c r="F221" s="2">
        <f>COUNTIFS($M$4:$M$96,$M$34,$J$4:$J$96,$J$91,$E$4:$E$96,$E$93,$O$4:$O$96,$O$94)</f>
        <v>6</v>
      </c>
      <c r="G221" s="2">
        <f>COUNTIFS($M$4:$M$96,$M$34,$J$4:$J$96,$J$91,$E$4:$E$96,$E$93,$O$4:$O$96,$O$96)</f>
        <v>0</v>
      </c>
      <c r="H221" s="2">
        <v>0</v>
      </c>
      <c r="I221" s="2"/>
      <c r="J221" s="75"/>
      <c r="K221" s="2"/>
      <c r="L221" s="2" t="s">
        <v>319</v>
      </c>
      <c r="M221" s="2">
        <f>COUNTIFS($I$4:$I$96,$I$89,$J$4:$J$96,$J$95,$M$4:$M$96,$M$95)</f>
        <v>9</v>
      </c>
      <c r="N221" s="2">
        <f>COUNTIFS($I$4:$I$96,$I$89,$J$4:$J$96,$J$95,$M$4:$M$96,$M$95,$O$4:$O$96,$O$95)</f>
        <v>5</v>
      </c>
      <c r="O221" s="2">
        <f>COUNTIFS($I$4:$I$96,$I$89,$J$4:$J$96,$J$95,$M$4:$M$96,$M$95,$O$4:$O$96,$O$88)</f>
        <v>4</v>
      </c>
      <c r="P221" s="60">
        <f t="shared" ref="P221" si="84">((-N221/M221)*IMLOG2(N221/M221))+((-O221/M221)*IMLOG2(O221/M221))</f>
        <v>0.99107605983822111</v>
      </c>
      <c r="Q221" s="2"/>
    </row>
    <row r="222" spans="3:17" x14ac:dyDescent="0.35">
      <c r="C222" s="2"/>
      <c r="D222" s="2" t="s">
        <v>362</v>
      </c>
      <c r="E222" s="2">
        <f>COUNTIFS($M$4:$M$96,$M$47,$J$4:$J$96,$J$91,$E$4:$E$96,$E$93)</f>
        <v>5</v>
      </c>
      <c r="F222" s="2">
        <f>COUNTIFS($M$4:$M$96,$M$47,$J$4:$J$96,$J$91,$E$4:$E$96,$E$93,$O$4:$O$96,$O$94)</f>
        <v>5</v>
      </c>
      <c r="G222" s="2">
        <f>COUNTIFS($M$4:$M$96,$M$47,$J$4:$J$96,$J$91,$E$4:$E$96,$E$93,$O$4:$O$96,$O$96)</f>
        <v>0</v>
      </c>
      <c r="H222" s="2">
        <v>0</v>
      </c>
      <c r="I222" s="2"/>
      <c r="J222" s="75"/>
      <c r="K222" s="2"/>
      <c r="L222" s="2" t="s">
        <v>362</v>
      </c>
      <c r="M222" s="2">
        <f>COUNTIFS($I$4:$I$96,$I$88,$J$4:$J$96,$J$95,$M$4:$M$96,$M$95)</f>
        <v>0</v>
      </c>
      <c r="N222" s="2">
        <f>COUNTIFS($I$4:$I$96,$I$83,$J$4:$J$96,$J$95,$M$4:$M$96,$M$95,$O$4:$O$96,$O$95)</f>
        <v>0</v>
      </c>
      <c r="O222" s="2">
        <f>COUNTIFS($I$4:$I$96,$I$83,$J$4:$J$96,$J$95,$M$4:$M$96,$M$95,$O$4:$O$96,$O$96)</f>
        <v>0</v>
      </c>
      <c r="P222" s="2">
        <v>0</v>
      </c>
      <c r="Q222" s="2"/>
    </row>
    <row r="223" spans="3:17" x14ac:dyDescent="0.35">
      <c r="C223" s="2"/>
      <c r="D223" s="2"/>
      <c r="E223" s="2">
        <f>SUM(E220:E222)</f>
        <v>24</v>
      </c>
      <c r="F223" s="2">
        <f t="shared" ref="F223:G223" si="85">SUM(F220:F222)</f>
        <v>15</v>
      </c>
      <c r="G223" s="2">
        <f t="shared" si="85"/>
        <v>9</v>
      </c>
      <c r="H223" s="2"/>
      <c r="I223" s="2"/>
      <c r="J223" s="75"/>
      <c r="K223" s="2"/>
      <c r="L223" s="2"/>
      <c r="M223" s="62">
        <f>SUM(M221:M222)</f>
        <v>9</v>
      </c>
      <c r="N223" s="62">
        <f t="shared" ref="N223" si="86">SUM(N221:N222)</f>
        <v>5</v>
      </c>
      <c r="O223" s="62">
        <f t="shared" ref="O223" si="87">SUM(O221:O222)</f>
        <v>4</v>
      </c>
      <c r="P223" s="2"/>
      <c r="Q223" s="2"/>
    </row>
    <row r="224" spans="3:17" x14ac:dyDescent="0.35">
      <c r="C224" s="2" t="s">
        <v>373</v>
      </c>
      <c r="D224" s="2"/>
      <c r="E224" s="2"/>
      <c r="F224" s="2"/>
      <c r="G224" s="2"/>
      <c r="H224" s="2"/>
      <c r="I224" s="67">
        <f>$H$202 - (((E225/$E$202)* H225)+((E226/$E$202)*H226)+((E227/$E$202)*H227))</f>
        <v>5.9748408708068412E-2</v>
      </c>
      <c r="J224" s="75"/>
      <c r="K224" s="2" t="s">
        <v>373</v>
      </c>
      <c r="L224" s="2"/>
      <c r="M224" s="2"/>
      <c r="N224" s="2"/>
      <c r="O224" s="2"/>
      <c r="P224" s="2"/>
      <c r="Q224" s="79">
        <f>$P$202 - (((M225/$M$202)* P225)+((M226/$M$202)*P226)+((M227/$M$202)*P227))</f>
        <v>9.1091007603791185E-2</v>
      </c>
    </row>
    <row r="225" spans="3:17" x14ac:dyDescent="0.35">
      <c r="C225" s="2"/>
      <c r="D225" s="2" t="s">
        <v>366</v>
      </c>
      <c r="E225" s="2">
        <f>COUNTIFS($K$4:$K$96,$K$95,$J$4:$J$96,$J$91,$E$4:$E$96,$E$93)</f>
        <v>2</v>
      </c>
      <c r="F225" s="2">
        <f>COUNTIFS($K$4:$K$96,$K$95,$J$4:$J$96,$J$91,$E$4:$E$96,$E$93,$O$4:$O$96,$O$94)</f>
        <v>2</v>
      </c>
      <c r="G225" s="2">
        <f>COUNTIFS($K$4:$K$96,$K$95,$J$4:$J$96,$J$91,$E$4:$E$96,$E$93,$O$4:$O$96,$O$96)</f>
        <v>0</v>
      </c>
      <c r="H225" s="2">
        <v>0</v>
      </c>
      <c r="I225" s="2"/>
      <c r="J225" s="75"/>
      <c r="K225" s="2"/>
      <c r="L225" s="2" t="s">
        <v>366</v>
      </c>
      <c r="M225" s="2">
        <f>COUNTIFS($K$4:$K$96,$K$95,$J$4:$J$96,$J$95,$M$4:$M$96,$M$95)</f>
        <v>4</v>
      </c>
      <c r="N225" s="2">
        <f>COUNTIFS($K$4:$K$96,$K$95,$J$4:$J$96,$J$95,$M$4:$M$96,$M$95,$O$4:$O$96,$O$95)</f>
        <v>3</v>
      </c>
      <c r="O225" s="2">
        <f>COUNTIFS($K$4:$K$96,$K$95,$J$4:$J$96,$J$95,$M$4:$M$96,$M$95,$O$4:$O$96,$O$96)</f>
        <v>1</v>
      </c>
      <c r="P225" s="60">
        <f t="shared" ref="P225:P226" si="88">((-N225/M225)*IMLOG2(N225/M225))+((-O225/M225)*IMLOG2(O225/M225))</f>
        <v>0.81127812445913294</v>
      </c>
      <c r="Q225" s="2"/>
    </row>
    <row r="226" spans="3:17" x14ac:dyDescent="0.35">
      <c r="C226" s="2"/>
      <c r="D226" s="2" t="s">
        <v>364</v>
      </c>
      <c r="E226" s="2">
        <f>COUNTIFS($K$4:$K$96,$K$90,$J$4:$J$96,$J$91,$E$4:$E$96,$E$93)</f>
        <v>0</v>
      </c>
      <c r="F226" s="2">
        <f>COUNTIFS($K$4:$K$96,$K$90,$J$4:$J$96,$J$91,$E$4:$E$96,$E$93,$O$4:$O$96,$O$94)</f>
        <v>0</v>
      </c>
      <c r="G226" s="2">
        <f t="shared" ref="G226" si="89">COUNTIFS($K$4:$K$96,$K$90,$J$4:$J$96,$J$91,$E$4:$E$96,$E$93)</f>
        <v>0</v>
      </c>
      <c r="H226" s="2">
        <v>0</v>
      </c>
      <c r="I226" s="2"/>
      <c r="J226" s="75"/>
      <c r="K226" s="2"/>
      <c r="L226" s="2" t="s">
        <v>364</v>
      </c>
      <c r="M226" s="2">
        <f>COUNTIFS($K$4:$K$96,$K$70,$J$4:$J$96,$J$95,$M$4:$M$96,$M$95)</f>
        <v>5</v>
      </c>
      <c r="N226" s="2">
        <f>COUNTIFS($K$4:$K$96,$K$70,$J$4:$J$96,$J$95,$M$4:$M$96,$M$95,$O$4:$O$96,$O$95)</f>
        <v>2</v>
      </c>
      <c r="O226" s="2">
        <f>COUNTIFS($K$4:$K$96,$K$70,$J$4:$J$96,$J$95,$M$4:$M$96,$M$95,$O$4:$O$96,$O$96)</f>
        <v>3</v>
      </c>
      <c r="P226" s="60">
        <f t="shared" si="88"/>
        <v>0.97095059445466747</v>
      </c>
      <c r="Q226" s="2"/>
    </row>
    <row r="227" spans="3:17" x14ac:dyDescent="0.35">
      <c r="C227" s="2"/>
      <c r="D227" s="2" t="s">
        <v>374</v>
      </c>
      <c r="E227" s="2">
        <f>COUNTIFS($K$4:$K$96,$K$91,$J$4:$J$96,$J$91,$E$4:$E$96,$E$93)</f>
        <v>22</v>
      </c>
      <c r="F227" s="2">
        <f>COUNTIFS($K$4:$K$96,$K$91,$J$4:$J$96,$J$91,$E$4:$E$96,$E$93,$O$4:$O$96,$O$95)</f>
        <v>13</v>
      </c>
      <c r="G227" s="2">
        <f>COUNTIFS($K$4:$K$96,$K$91,$J$4:$J$96,$J$91,$E$4:$E$96,$E$93,$O$4:$O$96,$O$96)</f>
        <v>9</v>
      </c>
      <c r="H227" s="73">
        <f>((-F227/E227)*IMLOG2(F227/E227))+((-G227/E227)*IMLOG2(G227/E227))</f>
        <v>0.97602064823661305</v>
      </c>
      <c r="I227" s="2"/>
      <c r="J227" s="75"/>
      <c r="K227" s="2"/>
      <c r="L227" s="2" t="s">
        <v>374</v>
      </c>
      <c r="M227" s="2">
        <f>COUNTIFS($K$4:$K$96,$K$94,$J$4:$J$96,$J$95,$M$4:$M$96,$M$95)</f>
        <v>0</v>
      </c>
      <c r="N227" s="2">
        <f>COUNTIFS($K$4:$K$96,$K$94,$J$4:$J$96,$J$95,$O$4:$O$96,$O$95)</f>
        <v>0</v>
      </c>
      <c r="O227" s="2">
        <f>COUNTIFS($K$4:$K$96,$K$94,$J$4:$J$96,$J$95,$O$4:$O$96,$O$95)</f>
        <v>0</v>
      </c>
      <c r="P227" s="60">
        <v>0</v>
      </c>
      <c r="Q227" s="2"/>
    </row>
    <row r="228" spans="3:17" x14ac:dyDescent="0.35">
      <c r="C228" s="2"/>
      <c r="D228" s="2"/>
      <c r="E228" s="2">
        <f>SUM(E225:E227)</f>
        <v>24</v>
      </c>
      <c r="F228" s="2">
        <f t="shared" ref="F228:G228" si="90">SUM(F225:F227)</f>
        <v>15</v>
      </c>
      <c r="G228" s="2">
        <f t="shared" si="90"/>
        <v>9</v>
      </c>
      <c r="H228" s="2"/>
      <c r="I228" s="2"/>
      <c r="J228" s="75"/>
      <c r="K228" s="2"/>
      <c r="L228" s="2"/>
      <c r="M228" s="62">
        <f t="shared" ref="M228" si="91">SUM(M225:M227)</f>
        <v>9</v>
      </c>
      <c r="N228" s="62">
        <f t="shared" ref="N228" si="92">SUM(N225:N227)</f>
        <v>5</v>
      </c>
      <c r="O228" s="62">
        <f t="shared" ref="O228" si="93">SUM(O225:O227)</f>
        <v>4</v>
      </c>
      <c r="P228" s="62"/>
      <c r="Q228" s="2"/>
    </row>
    <row r="229" spans="3:17" x14ac:dyDescent="0.35">
      <c r="C229" s="2" t="s">
        <v>9</v>
      </c>
      <c r="D229" s="2"/>
      <c r="E229" s="2"/>
      <c r="F229" s="2"/>
      <c r="G229" s="2"/>
      <c r="H229" s="2"/>
      <c r="I229" s="67">
        <f>$H$202 - (((E230/$E$202)* H230)+((E231/$E$202)*H231)+((E232/$E$202)*H232))</f>
        <v>0.24786969924684032</v>
      </c>
      <c r="J229" s="75"/>
      <c r="K229" s="92" t="s">
        <v>9</v>
      </c>
      <c r="L229" s="92"/>
      <c r="M229" s="92"/>
      <c r="N229" s="92"/>
      <c r="O229" s="92"/>
      <c r="P229" s="92"/>
      <c r="Q229" s="93">
        <f>$P$156 - (((M230/$M$156)* P230)+((M231/$M$156)*P231)+((M232/$M$156)*P232))</f>
        <v>0.37177508955716976</v>
      </c>
    </row>
    <row r="230" spans="3:17" x14ac:dyDescent="0.35">
      <c r="C230" s="2"/>
      <c r="D230" s="2" t="s">
        <v>319</v>
      </c>
      <c r="E230" s="2">
        <f>COUNTIFS($L$4:$L$96,$L$27,$J$4:$J$96,$J$91,$E$4:$E$96,$E$93)</f>
        <v>17</v>
      </c>
      <c r="F230" s="2">
        <f>COUNTIFS($L$4:$L$96,$L$27,$J$4:$J$96,$J$91,$E$4:$E$96,$E$93,O$4:O$96,$O$95)</f>
        <v>8</v>
      </c>
      <c r="G230" s="2">
        <f>COUNTIFS($L$4:$L$96,$L$27,$J$4:$J$96,$J$91,$E$4:$E$96,$E$93,O$4:O$96,$O$96)</f>
        <v>9</v>
      </c>
      <c r="H230" s="73">
        <f>((-F230/E230)*IMLOG2(F230/E230))+((-G230/E230)*IMLOG2(G230/E230))</f>
        <v>0.99750254636911539</v>
      </c>
      <c r="I230" s="2"/>
      <c r="J230" s="75"/>
      <c r="K230" s="2"/>
      <c r="L230" s="69" t="s">
        <v>319</v>
      </c>
      <c r="M230" s="69">
        <f>COUNTIFS($L$4:$L$96,$L$94,$J$4:$J$96,$J$95,$M$4:$M$96,$M$95)</f>
        <v>7</v>
      </c>
      <c r="N230" s="69">
        <f>COUNTIFS($L$4:$L$96,$L$94,$J$4:$J$96,$J$95,$O$4:$O$96,$O$93)</f>
        <v>3</v>
      </c>
      <c r="O230" s="69">
        <f>COUNTIFS($L$4:$L$96,$L$94,$J$4:$J$96,$J$95,$M$4:$M$96,$M$95,$O$4:$O$96,$O$96)</f>
        <v>4</v>
      </c>
      <c r="P230" s="87">
        <f t="shared" ref="P230" si="94">((-N230/M230)*IMLOG2(N230/M230))+((-O230/M230)*IMLOG2(O230/M230))</f>
        <v>0.9852281360342523</v>
      </c>
      <c r="Q230" s="2"/>
    </row>
    <row r="231" spans="3:17" x14ac:dyDescent="0.35">
      <c r="C231" s="2"/>
      <c r="D231" s="2" t="s">
        <v>366</v>
      </c>
      <c r="E231" s="2">
        <f>COUNTIFS($L$4:$L$96,$L$47,$J$4:$J$96,$J$91,$E$4:$E$96,$E$93)</f>
        <v>4</v>
      </c>
      <c r="F231" s="2">
        <f>COUNTIFS($L$4:$L$96,$L$47,$J$4:$J$96,$J$91,$E$4:$E$96,$E$93,O$4:O$96,$O$95)</f>
        <v>4</v>
      </c>
      <c r="G231" s="2">
        <f>COUNTIFS($L$4:$L$96,$L$47,$J$4:$J$96,$J$91,$E$4:$E$96,$E$93,O$4:O$96,$O$96)</f>
        <v>0</v>
      </c>
      <c r="H231" s="2">
        <v>0</v>
      </c>
      <c r="I231" s="2"/>
      <c r="J231" s="75"/>
      <c r="K231" s="2"/>
      <c r="L231" s="2" t="s">
        <v>366</v>
      </c>
      <c r="M231" s="2">
        <f>COUNTIFS($L$4:$L$96,$L$38,$J$4:$J$96,$J$95,$M$4:$M$96,$M$95)</f>
        <v>1</v>
      </c>
      <c r="N231" s="2">
        <f>COUNTIFS($L$4:$L$96,$L$38,$J$4:$J$96,$J$95,$M$4:$M$96,$M$95,$O$4:$O$96,$O$95)</f>
        <v>1</v>
      </c>
      <c r="O231" s="2">
        <f>COUNTIFS($L$4:$L$96,$L$38,$J$4:$J$96,$J$95,$M$4:$M$96,$M$95,$O$4:$O$96,$O$96)</f>
        <v>0</v>
      </c>
      <c r="P231" s="60">
        <v>0</v>
      </c>
      <c r="Q231" s="2"/>
    </row>
    <row r="232" spans="3:17" x14ac:dyDescent="0.35">
      <c r="C232" s="2"/>
      <c r="D232" s="2" t="s">
        <v>362</v>
      </c>
      <c r="E232" s="2">
        <f>COUNTIFS($L$4:$L$96,$L$91,$J$4:$J$96,$J$91,$E$4:$E$96,$E$93)</f>
        <v>3</v>
      </c>
      <c r="F232" s="2">
        <f>COUNTIFS($L$4:$L$96,$L$91,$J$4:$J$96,$J$91,$E$4:$E$96,$E$93,O$4:O$96,$O$95)</f>
        <v>3</v>
      </c>
      <c r="G232" s="2">
        <f>COUNTIFS($L$4:$L$96,$L$91,$J$4:$J$96,$J$91,$E$4:$E$96,$E$93,O$4:O$96,$O$96)</f>
        <v>0</v>
      </c>
      <c r="H232" s="2">
        <v>0</v>
      </c>
      <c r="I232" s="2"/>
      <c r="J232" s="75"/>
      <c r="K232" s="2"/>
      <c r="L232" s="2" t="s">
        <v>362</v>
      </c>
      <c r="M232" s="2">
        <f>COUNTIFS($L$4:$L$96,$L$76,$J$4:$J$96,$J$95,$M$4:$M$96,$M$95)</f>
        <v>1</v>
      </c>
      <c r="N232" s="2">
        <f>COUNTIFS($L$4:$L$96,$L$76,$J$4:$J$96,$J$95,$M$4:$M$96,$M$95,$O$4:$O$96,$O$95)</f>
        <v>1</v>
      </c>
      <c r="O232" s="2">
        <f>COUNTIFS($L$4:$L$96,$L$76,$J$4:$J$96,$J$95,$M$4:$M$96,$M$95,$O$4:$O$96,$O$96)</f>
        <v>0</v>
      </c>
      <c r="P232" s="60">
        <v>0</v>
      </c>
      <c r="Q232" s="2"/>
    </row>
    <row r="233" spans="3:17" x14ac:dyDescent="0.35">
      <c r="C233" s="2"/>
      <c r="D233" s="2"/>
      <c r="E233" s="2">
        <f>SUM(E230:E232)</f>
        <v>24</v>
      </c>
      <c r="F233" s="2">
        <f t="shared" ref="F233:G233" si="95">SUM(F230:F232)</f>
        <v>15</v>
      </c>
      <c r="G233" s="2">
        <f t="shared" si="95"/>
        <v>9</v>
      </c>
      <c r="H233" s="2"/>
      <c r="I233" s="2"/>
      <c r="J233" s="75"/>
      <c r="K233" s="2"/>
      <c r="L233" s="2"/>
      <c r="M233" s="62">
        <f t="shared" ref="M233" si="96">SUM(M230:M232)</f>
        <v>9</v>
      </c>
      <c r="N233" s="62">
        <f t="shared" ref="N233" si="97">SUM(N230:N232)</f>
        <v>5</v>
      </c>
      <c r="O233" s="62">
        <f t="shared" ref="O233" si="98">SUM(O230:O232)</f>
        <v>4</v>
      </c>
      <c r="P233" s="2"/>
      <c r="Q233" s="2"/>
    </row>
    <row r="234" spans="3:17" x14ac:dyDescent="0.35">
      <c r="C234" s="2" t="s">
        <v>11</v>
      </c>
      <c r="D234" s="2"/>
      <c r="E234" s="2"/>
      <c r="F234" s="2"/>
      <c r="G234" s="2"/>
      <c r="H234" s="2"/>
      <c r="I234" s="67">
        <f>$H$202 - (((E235/$E$202)* H235)+((E236/$E$202)*H236))</f>
        <v>2.9032708444795885E-2</v>
      </c>
      <c r="J234" s="75"/>
      <c r="K234" s="2" t="s">
        <v>11</v>
      </c>
      <c r="L234" s="2"/>
      <c r="M234" s="2"/>
      <c r="N234" s="2"/>
      <c r="O234" s="2"/>
      <c r="P234" s="2"/>
      <c r="Q234" s="79">
        <f>$P$156 - (((M235/$M$156)* P235)+((M236/$M$156)*P236))</f>
        <v>0.33499167889709291</v>
      </c>
    </row>
    <row r="235" spans="3:17" x14ac:dyDescent="0.35">
      <c r="C235" s="2"/>
      <c r="D235" s="2" t="s">
        <v>365</v>
      </c>
      <c r="E235" s="2">
        <f>COUNTIFS($N$4:$N$96,$N$96,$J$4:$J$96,$J$91,$E$4:$E$96,$E$93)</f>
        <v>23</v>
      </c>
      <c r="F235" s="2">
        <f>COUNTIFS($N$4:$N$96,$N$96,$J$4:$J$96,$J$91,$E$4:$E$96,$E$93,$O$4:$O$96,$O$95)</f>
        <v>14</v>
      </c>
      <c r="G235" s="2">
        <f>COUNTIFS($N$4:$N$96,$N$96,$J$4:$J$96,$J$91,$E$4:$E$96,$E$93,$O$4:$O$96,$O$96)</f>
        <v>9</v>
      </c>
      <c r="H235" s="73">
        <f>((-F235/E235)*IMLOG2(F235/E235))+((-G235/E235)*IMLOG2(G235/E235))</f>
        <v>0.96563613337060983</v>
      </c>
      <c r="I235" s="2"/>
      <c r="J235" s="75"/>
      <c r="K235" s="2"/>
      <c r="L235" s="2" t="s">
        <v>365</v>
      </c>
      <c r="M235" s="2">
        <f>COUNTIFS($N$4:$N$96,$N$96,$J$4:$J$96,$J$95,$M$4:$M$96,$M$95)</f>
        <v>9</v>
      </c>
      <c r="N235" s="2">
        <f>COUNTIFS($N$4:$N$96,$N$96,$J$4:$J$96,$J$95,$M$4:$M$96,$M$95,$O$4:$O$96,$O$95)</f>
        <v>5</v>
      </c>
      <c r="O235" s="2">
        <f>COUNTIFS($N$4:$N$96,$N$96,$J$4:$J$96,$J$95,$M$4:$M$96,$M$95,$O$4:$O$96,$O$96)</f>
        <v>4</v>
      </c>
      <c r="P235" s="60">
        <f t="shared" ref="P235" si="99">((-N235/M235)*IMLOG2(N235/M235))+((-O235/M235)*IMLOG2(O235/M235))</f>
        <v>0.99107605983822111</v>
      </c>
      <c r="Q235" s="2"/>
    </row>
    <row r="236" spans="3:17" x14ac:dyDescent="0.35">
      <c r="C236" s="2"/>
      <c r="D236" s="2" t="s">
        <v>366</v>
      </c>
      <c r="E236" s="2">
        <f>COUNTIFS($N$4:$N$96,$N$14,$J$4:$J$96,$J$91,$E$4:$E$96,$E$93)</f>
        <v>1</v>
      </c>
      <c r="F236" s="2">
        <f>COUNTIFS($N$4:$N$96,$N$14,$J$4:$J$96,$J$91,$E$4:$E$96,$E$93,$O$4:$O$96,$O$95)</f>
        <v>1</v>
      </c>
      <c r="G236" s="2">
        <f>COUNTIFS($N$4:$N$96,$N$14,$J$4:$J$96,$J$91,$E$4:$E$96,$E$93,$O$4:$O$96,$O$96)</f>
        <v>0</v>
      </c>
      <c r="H236" s="2">
        <v>0</v>
      </c>
      <c r="I236" s="2"/>
      <c r="J236" s="75"/>
      <c r="K236" s="2"/>
      <c r="L236" s="2" t="s">
        <v>366</v>
      </c>
      <c r="M236" s="2">
        <f>COUNTIFS($N$4:$N$96,$N$14,$J$4:$J$96,$J$95)</f>
        <v>0</v>
      </c>
      <c r="N236" s="2">
        <f>COUNTIFS($N$4:$N$96,$N$14,$J$4:$J$96,$J$95,$O$4:$O$96,$O$95)</f>
        <v>0</v>
      </c>
      <c r="O236" s="2">
        <f>COUNTIFS($N$4:$N$96,$N$14,$J$4:$J$96,$J$95,$O$4:$O$96,$O$96)</f>
        <v>0</v>
      </c>
      <c r="P236" s="2">
        <v>0</v>
      </c>
      <c r="Q236" s="2"/>
    </row>
    <row r="237" spans="3:17" x14ac:dyDescent="0.35">
      <c r="C237" s="2"/>
      <c r="D237" s="2"/>
      <c r="E237" s="2"/>
      <c r="F237" s="2"/>
      <c r="G237" s="2"/>
      <c r="H237" s="2"/>
      <c r="I237" s="2"/>
      <c r="J237" s="75"/>
      <c r="K237" s="2"/>
      <c r="L237" s="2"/>
      <c r="M237" s="2"/>
      <c r="N237" s="2"/>
      <c r="O237" s="2"/>
      <c r="P237" s="2"/>
      <c r="Q237" s="2"/>
    </row>
    <row r="238" spans="3:17" x14ac:dyDescent="0.35">
      <c r="C238" s="2"/>
      <c r="D238" s="2"/>
      <c r="E238" s="2"/>
      <c r="F238" s="2"/>
      <c r="G238" s="2"/>
      <c r="H238" s="2"/>
      <c r="I238" s="60">
        <f>MAX(I203:I236)</f>
        <v>0.4720843644727396</v>
      </c>
      <c r="J238" s="75"/>
      <c r="K238" s="2"/>
      <c r="L238" s="2"/>
      <c r="M238" s="2"/>
      <c r="N238" s="2"/>
      <c r="O238" s="2"/>
      <c r="P238" s="2"/>
      <c r="Q238" s="64">
        <f>MAX(Q203:Q234)</f>
        <v>0.37177508955716976</v>
      </c>
    </row>
    <row r="239" spans="3:17" x14ac:dyDescent="0.35">
      <c r="C239" s="2"/>
      <c r="D239" s="2"/>
      <c r="E239" s="2"/>
      <c r="F239" s="2"/>
      <c r="G239" s="2"/>
      <c r="H239" s="2"/>
      <c r="I239" s="2"/>
      <c r="J239" s="75"/>
      <c r="K239" s="2"/>
      <c r="L239" s="2"/>
      <c r="M239" s="2"/>
      <c r="N239" s="2"/>
      <c r="O239" s="2"/>
      <c r="P239" s="2"/>
      <c r="Q239" s="2"/>
    </row>
    <row r="242" spans="3:25" ht="29" x14ac:dyDescent="0.35">
      <c r="C242" s="56" t="s">
        <v>381</v>
      </c>
      <c r="D242" s="57"/>
      <c r="E242" s="58" t="s">
        <v>356</v>
      </c>
      <c r="F242" s="58" t="s">
        <v>357</v>
      </c>
      <c r="G242" s="59" t="s">
        <v>358</v>
      </c>
      <c r="H242" s="58" t="s">
        <v>359</v>
      </c>
      <c r="I242" s="58" t="s">
        <v>360</v>
      </c>
      <c r="K242" s="56" t="s">
        <v>389</v>
      </c>
      <c r="L242" s="57"/>
      <c r="M242" s="58" t="s">
        <v>356</v>
      </c>
      <c r="N242" s="58" t="s">
        <v>357</v>
      </c>
      <c r="O242" s="59" t="s">
        <v>358</v>
      </c>
      <c r="P242" s="58" t="s">
        <v>359</v>
      </c>
      <c r="Q242" s="58" t="s">
        <v>360</v>
      </c>
      <c r="S242" s="56" t="s">
        <v>389</v>
      </c>
      <c r="T242" s="57"/>
      <c r="U242" s="58" t="s">
        <v>356</v>
      </c>
      <c r="V242" s="58" t="s">
        <v>357</v>
      </c>
      <c r="W242" s="59" t="s">
        <v>358</v>
      </c>
      <c r="X242" s="58" t="s">
        <v>359</v>
      </c>
      <c r="Y242" s="58" t="s">
        <v>360</v>
      </c>
    </row>
    <row r="243" spans="3:25" ht="49" customHeight="1" x14ac:dyDescent="0.35">
      <c r="C243" s="224" t="s">
        <v>382</v>
      </c>
      <c r="D243" s="225"/>
      <c r="E243" s="77">
        <f>E220</f>
        <v>13</v>
      </c>
      <c r="F243" s="77">
        <f>F220</f>
        <v>4</v>
      </c>
      <c r="G243" s="77">
        <f>G220</f>
        <v>9</v>
      </c>
      <c r="H243" s="78">
        <f>((-F243/E243)*IMLOG2(F243/E243))+((-G243/E243)*IMLOG2(G243/E243))</f>
        <v>0.89049164021949079</v>
      </c>
      <c r="I243" s="76"/>
      <c r="K243" s="222" t="s">
        <v>390</v>
      </c>
      <c r="L243" s="223"/>
      <c r="M243" s="30">
        <f>M230</f>
        <v>7</v>
      </c>
      <c r="N243" s="30">
        <f>N230</f>
        <v>3</v>
      </c>
      <c r="O243" s="96">
        <f>O230</f>
        <v>4</v>
      </c>
      <c r="P243" s="97">
        <f>((-N243/M243)*IMLOG2(N243/M243))+((-O243/M243)*IMLOG2(O243/M243))</f>
        <v>0.9852281360342523</v>
      </c>
      <c r="Q243" s="30"/>
      <c r="S243" s="222" t="s">
        <v>399</v>
      </c>
      <c r="T243" s="223"/>
      <c r="U243" s="30">
        <f>M247</f>
        <v>2</v>
      </c>
      <c r="V243" s="30">
        <f>N247</f>
        <v>1</v>
      </c>
      <c r="W243" s="96">
        <f>O247</f>
        <v>1</v>
      </c>
      <c r="X243" s="97">
        <f>((-V243/U243)*IMLOG2(V243/U243))+((-W243/U243)*IMLOG2(W243/U243))</f>
        <v>1</v>
      </c>
      <c r="Y243" s="30"/>
    </row>
    <row r="244" spans="3:25" x14ac:dyDescent="0.35">
      <c r="C244" s="2" t="s">
        <v>5</v>
      </c>
      <c r="D244" s="2"/>
      <c r="E244" s="2"/>
      <c r="F244" s="2"/>
      <c r="G244" s="2"/>
      <c r="H244" s="2"/>
      <c r="I244" s="60">
        <f>$H$243 - (((E245/$E$243)* H245)+((E246/$E$243)*H246))</f>
        <v>0.14161952533413724</v>
      </c>
      <c r="K244" s="71" t="s">
        <v>124</v>
      </c>
      <c r="L244" s="71"/>
      <c r="M244" s="71"/>
      <c r="N244" s="71"/>
      <c r="O244" s="71"/>
      <c r="P244" s="71"/>
      <c r="Q244" s="105">
        <f>$P$243 - (((M245/$M$243)* P245)+((M246/$M$243)*P246)+((M247/$M$243) *P247))</f>
        <v>5.9777114237755669E-3</v>
      </c>
      <c r="S244" s="2" t="s">
        <v>5</v>
      </c>
      <c r="T244" s="2"/>
      <c r="U244" s="2"/>
      <c r="V244" s="2"/>
      <c r="W244" s="2"/>
      <c r="X244" s="2"/>
      <c r="Y244" s="79">
        <f>$X$243 - (((U245/$U$243)* X245)+((U246/U$243)*X246))</f>
        <v>0</v>
      </c>
    </row>
    <row r="245" spans="3:25" x14ac:dyDescent="0.35">
      <c r="C245" s="2"/>
      <c r="D245" s="2" t="s">
        <v>362</v>
      </c>
      <c r="E245" s="2">
        <f>COUNTIFS($F$4:$F$96,$F$96,$J$4:$J$96,$J$92,$E$4:$E$96,$E$93,$M$4:$M$96,$M$96)</f>
        <v>12</v>
      </c>
      <c r="F245" s="2">
        <f>COUNTIFS($F$4:$F$96,$F$96,$J$4:$J$96,$J$92,$E$4:$E$96,$E$93,$M$4:$M$96,$M$96,$O$4:$O$96,$O$95)</f>
        <v>3</v>
      </c>
      <c r="G245" s="2">
        <f>COUNTIFS($F$4:$F$96,$F$96,$J$4:$J$96,$J$92,$E$4:$E$96,$E$93,$M$4:$M$96,$M$96,$O$4:$O$96,$O$96)</f>
        <v>9</v>
      </c>
      <c r="H245" s="78">
        <f>((-F245/E245)*IMLOG2(F245/E245))+((-G245/E245)*IMLOG2(G245/E245))</f>
        <v>0.81127812445913294</v>
      </c>
      <c r="I245" s="2"/>
      <c r="K245" s="2"/>
      <c r="L245" s="2" t="s">
        <v>311</v>
      </c>
      <c r="M245" s="2">
        <f>COUNTIFS($E$4:$E$96,$E$96,$J$4:$J$96,$J$95,$M$4:$M$96,$M$95,$L$4:$L$96,$L$96)</f>
        <v>0</v>
      </c>
      <c r="N245" s="2">
        <f>COUNTIFS($E$4:$E$96,$E$96,$J$4:$J$96,$J$95,$M$4:$M$96,$M$95,$L$4:$L$96,$L$96,$O$4:$O$96,$O$95)</f>
        <v>0</v>
      </c>
      <c r="O245" s="2">
        <f>COUNTIFS($E$4:$E$96,$E$96,$J$4:$J$96,$J$95,$M$4:$M$96,$M$95,$L$4:$L$96,$L$96,$O$4:$O$96,$O$88)</f>
        <v>0</v>
      </c>
      <c r="P245" s="60">
        <v>0</v>
      </c>
      <c r="Q245" s="2"/>
      <c r="S245" s="2"/>
      <c r="T245" s="2" t="s">
        <v>362</v>
      </c>
      <c r="U245" s="2">
        <f>COUNTIFS($F$4:$F$96,$F$96,$J$4:$J$96,$J$95,$M$4:$M$96,$M$95,$L$4:$L$96,$L$96,$E$4:$E$96,$E$95)</f>
        <v>2</v>
      </c>
      <c r="V245" s="2">
        <f>COUNTIFS($F$4:$F$96,$F$96,$J$4:$J$96,$J$95,$M$4:$M$96,$M$95,$L$4:$L$96,$L$96,$E$4:$E$96,$E$95,$O$4:$O$96,$O$91)</f>
        <v>1</v>
      </c>
      <c r="W245" s="2">
        <f>COUNTIFS($F$4:$F$96,$F$96,$J$4:$J$96,$J$95,$M$4:$M$96,$M$95,$L$4:$L$96,$L$96,$E$4:$E$96,$E$95,$O$4:$O$96,$O$90)</f>
        <v>1</v>
      </c>
      <c r="X245" s="60">
        <f t="shared" ref="X245" si="100">((-V245/U245)*IMLOG2(V245/U245))+((-W245/U245)*IMLOG2(W245/U245))</f>
        <v>1</v>
      </c>
      <c r="Y245" s="2"/>
    </row>
    <row r="246" spans="3:25" x14ac:dyDescent="0.35">
      <c r="C246" s="2"/>
      <c r="D246" s="2" t="s">
        <v>367</v>
      </c>
      <c r="E246" s="2">
        <f>COUNTIFS($F$4:$F$96,$F$93,$J$4:$J$96,$J$92,$E$4:$E$96,$E$93,$M$4:$M$96,$M$96)</f>
        <v>1</v>
      </c>
      <c r="F246" s="2">
        <f>COUNTIFS($F$4:$F$96,$F$93,$J$4:$J$96,$J$92,$E$4:$E$96,$E$93,$M$4:$M$96,$M$96,$O$4:$O$96,$O$95)</f>
        <v>1</v>
      </c>
      <c r="G246" s="2">
        <f>COUNTIFS($F$4:$F$96,$F$93,$J$4:$J$96,$J$92,$E$4:$E$96,$E$93,$M$4:$M$96,$M$96,$O$4:$O$96,$O$96)</f>
        <v>0</v>
      </c>
      <c r="H246" s="2">
        <v>0</v>
      </c>
      <c r="I246" s="2"/>
      <c r="K246" s="2"/>
      <c r="L246" s="69" t="s">
        <v>363</v>
      </c>
      <c r="M246" s="69">
        <f>COUNTIFS($E$4:$E$96,$E$92,$J$4:$J$96,$J$95,$M$4:$M$96,$M$95,$L$4:$L$96,$L$96)</f>
        <v>5</v>
      </c>
      <c r="N246" s="69">
        <f>COUNTIFS($E$4:$E$96,$E$92,$J$4:$J$96,$J$95,$M$4:$M$96,$M$95,$L$4:$L$96,$L$96,$O$4:$O$96,$O$95)</f>
        <v>2</v>
      </c>
      <c r="O246" s="69">
        <f>COUNTIFS($E$4:$E$96,$E$92,$J$4:$J$96,$J$95,$M$4:$M$96,$M$95,$L$4:$L$96,$L$96,$O$4:$O$96,$O$88)</f>
        <v>3</v>
      </c>
      <c r="P246" s="87">
        <f t="shared" ref="P246:P247" si="101">((-N246/M246)*IMLOG2(N246/M246))+((-O246/M246)*IMLOG2(O246/M246))</f>
        <v>0.97095059445466747</v>
      </c>
      <c r="Q246" s="2"/>
      <c r="S246" s="2"/>
      <c r="T246" s="2" t="s">
        <v>367</v>
      </c>
      <c r="U246" s="2">
        <f>COUNTIFS($F$4:$F$96,$F$93,$J$4:$J$96,$J$95,$M$4:$M$96,$M$95,$L$4:$L$96,$L$96,$E$4:$E$96,$E$95)</f>
        <v>0</v>
      </c>
      <c r="V246" s="2">
        <f>COUNTIFS($F$4:$F$96,$F$93,$J$4:$J$96,$J$95,$M$4:$M$96,$M$95,$L$4:$L$96,$L$96,$E$4:$E$96,$E$95,$O$4:$O$96,$O$91)</f>
        <v>0</v>
      </c>
      <c r="W246" s="2">
        <f>COUNTIFS($F$4:$F$96,$F$93,$J$4:$J$96,$J$95,$M$4:$M$96,$M$95,$L$4:$L$96,$L$96,$E$4:$E$96,$E$95,$O$4:$O$96,$O$90)</f>
        <v>0</v>
      </c>
      <c r="X246" s="61">
        <v>0</v>
      </c>
      <c r="Y246" s="2"/>
    </row>
    <row r="247" spans="3:25" x14ac:dyDescent="0.35">
      <c r="C247" s="2"/>
      <c r="D247" s="2"/>
      <c r="E247" s="2"/>
      <c r="F247" s="2"/>
      <c r="G247" s="2"/>
      <c r="H247" s="2"/>
      <c r="I247" s="2"/>
      <c r="K247" s="2"/>
      <c r="L247" s="81" t="s">
        <v>364</v>
      </c>
      <c r="M247" s="81">
        <f>COUNTIFS($E$4:$E$96,$E$93,$J$4:$J$96,$J$95,$M$4:$M$96,$M$95,$N$4:$N$96,$N$93)</f>
        <v>2</v>
      </c>
      <c r="N247" s="81">
        <f>COUNTIFS($E$4:$E$96,$E$93,$J$4:$J$96,$J$95,$M$4:$M$96,$M$95,$L$4:$L$96,$L$96,$O$4:$O$96,$O$95)</f>
        <v>1</v>
      </c>
      <c r="O247" s="81">
        <f>COUNTIFS($E$4:$E$96,$E$93,$J$4:$J$96,$J$95,$M$4:$M$96,$M$95,$L$4:$L$96,$L$96,$O$4:$O$96,$O$96)</f>
        <v>1</v>
      </c>
      <c r="P247" s="85">
        <f t="shared" si="101"/>
        <v>1</v>
      </c>
      <c r="Q247" s="2"/>
      <c r="S247" s="2"/>
      <c r="T247" s="2"/>
      <c r="U247" s="62">
        <f>SUM(U245:U246)</f>
        <v>2</v>
      </c>
      <c r="V247" s="62">
        <f t="shared" ref="V247:W247" si="102">SUM(V245:V246)</f>
        <v>1</v>
      </c>
      <c r="W247" s="62">
        <f t="shared" si="102"/>
        <v>1</v>
      </c>
      <c r="X247" s="2"/>
      <c r="Y247" s="2"/>
    </row>
    <row r="248" spans="3:25" x14ac:dyDescent="0.35">
      <c r="C248" s="2" t="s">
        <v>368</v>
      </c>
      <c r="D248" s="2"/>
      <c r="E248" s="2"/>
      <c r="F248" s="2"/>
      <c r="G248" s="2"/>
      <c r="H248" s="2"/>
      <c r="I248" s="60">
        <f>$H$243 - (((E249/$E$243)* H249)+((E250/$E$243)*H250))</f>
        <v>9.0317536326640635E-2</v>
      </c>
      <c r="K248" s="2"/>
      <c r="L248" s="2"/>
      <c r="M248" s="62">
        <f>SUM(M245:M247)</f>
        <v>7</v>
      </c>
      <c r="N248" s="62">
        <f t="shared" ref="N248" si="103">SUM(N245:N247)</f>
        <v>3</v>
      </c>
      <c r="O248" s="62">
        <f t="shared" ref="O248" si="104">SUM(O245:O247)</f>
        <v>4</v>
      </c>
      <c r="P248" s="2"/>
      <c r="Q248" s="2"/>
      <c r="S248" s="2" t="s">
        <v>368</v>
      </c>
      <c r="T248" s="2"/>
      <c r="U248" s="2"/>
      <c r="V248" s="2"/>
      <c r="W248" s="2"/>
      <c r="X248" s="2"/>
      <c r="Y248" s="79">
        <f>$X$243 - (((U249/$U$243)* X249)+((U250/U$243)*X250))</f>
        <v>0</v>
      </c>
    </row>
    <row r="249" spans="3:25" x14ac:dyDescent="0.35">
      <c r="C249" s="2"/>
      <c r="D249" s="2" t="s">
        <v>319</v>
      </c>
      <c r="E249" s="2">
        <f>COUNTIFS($G$4:$G$96,$G$91,$J$4:$J$96,$J$92,$E$4:$E$96,$E$93,$M$4:$M$96,$M$96)</f>
        <v>11</v>
      </c>
      <c r="F249" s="2">
        <f>COUNTIFS($G$4:$G$96,$G$91,$J$4:$J$96,$J$92,$E$4:$E$96,$E$93,$M$4:$M$96,$M$96,$O$4:$O$96,$O$95)</f>
        <v>4</v>
      </c>
      <c r="G249" s="2">
        <f>COUNTIFS($G$4:$G$96,$G$91,$J$4:$J$96,$J$92,$E$4:$E$96,$E$93,$M$4:$M$96,$M$96,$O$4:$O$96,$O$96)</f>
        <v>7</v>
      </c>
      <c r="H249" s="78">
        <f>((-F249/E249)*IMLOG2(F249/E249))+((-G249/E249)*IMLOG2(G249/E249))</f>
        <v>0.9456603046006411</v>
      </c>
      <c r="I249" s="2"/>
      <c r="K249" s="2" t="s">
        <v>5</v>
      </c>
      <c r="L249" s="2"/>
      <c r="M249" s="2"/>
      <c r="N249" s="2"/>
      <c r="O249" s="2"/>
      <c r="P249" s="2"/>
      <c r="Q249" s="79">
        <f>$P$243 - (((M250/$M$243)* P250)+((M251/$M$243)*P251))</f>
        <v>5.9777114237755669E-3</v>
      </c>
      <c r="S249" s="2"/>
      <c r="T249" s="2" t="s">
        <v>319</v>
      </c>
      <c r="U249" s="2">
        <f>COUNTIFS($G$4:$G$96,$G$91,$J$4:$J$96,$J$95,$M$4:$M$96,$M$95,$L$4:$L$96,$L$96,$E$4:$E$96,$E$95)</f>
        <v>2</v>
      </c>
      <c r="V249" s="2">
        <f>COUNTIFS($G$4:$G$96,$G$91,$J$4:$J$96,$J$95,$M$4:$M$96,$M$95,$L$4:$L$96,$L$96,$E$4:$E$96,$E$95,$O$4:$O$96,$O$94)</f>
        <v>1</v>
      </c>
      <c r="W249" s="2">
        <f>COUNTIFS($G$4:$G$96,$G$91,$J$4:$J$96,$J$95,$M$4:$M$96,$M$95,$L$4:$L$96,$L$96,$E$4:$E$96,$E$95,$O$4:$O$96,$O$96)</f>
        <v>1</v>
      </c>
      <c r="X249" s="60">
        <f t="shared" ref="X249" si="105">((-V249/U249)*IMLOG2(V249/U249))+((-W249/U249)*IMLOG2(W249/U249))</f>
        <v>1</v>
      </c>
      <c r="Y249" s="60"/>
    </row>
    <row r="250" spans="3:25" x14ac:dyDescent="0.35">
      <c r="C250" s="2"/>
      <c r="D250" s="2" t="s">
        <v>362</v>
      </c>
      <c r="E250" s="2">
        <f>COUNTIFS($G$4:$G$96,$G$90,$J$4:$J$96,$J$92,$E$4:$E$96,$E$93,$M$4:$M$96,$M$96)</f>
        <v>2</v>
      </c>
      <c r="F250" s="2">
        <f>COUNTIFS($G$4:$G$96,$G$90,$J$4:$J$96,$J$92,$E$4:$E$96,$E$93,$M$4:$M$96,$M$96,$O$4:$O$96,$O$95)</f>
        <v>0</v>
      </c>
      <c r="G250" s="2">
        <f>COUNTIFS($G$4:$G$96,$G$90,$J$4:$J$96,$J$92,$E$4:$E$96,$E$93,$M$4:$M$96,$M$96,$O$4:$O$96,$O$96)</f>
        <v>2</v>
      </c>
      <c r="H250" s="2">
        <v>0</v>
      </c>
      <c r="I250" s="2"/>
      <c r="K250" s="2"/>
      <c r="L250" s="2" t="s">
        <v>362</v>
      </c>
      <c r="M250" s="2">
        <f>COUNTIFS($F$4:$F$96,$F$96,$J$4:$J$96,$J$95,$M$4:$M$96,$M$95,$L$4:$L$96,$L$96)</f>
        <v>5</v>
      </c>
      <c r="N250" s="2">
        <f>COUNTIFS($F$4:$F$96,$F$96,$J$4:$J$96,$J$95,$M$4:$M$96,$M$95,$L$4:$L$96,$L$96,$O$4:$O$96,$O$91)</f>
        <v>2</v>
      </c>
      <c r="O250" s="2">
        <f>COUNTIFS($F$4:$F$96,$F$96,$J$4:$J$96,$J$95,$M$4:$M$96,$M$95,$L$4:$L$96,$L$96,$O$4:$O$96,$O$90)</f>
        <v>3</v>
      </c>
      <c r="P250" s="60">
        <f t="shared" ref="P250:P251" si="106">((-N250/M250)*IMLOG2(N250/M250))+((-O250/M250)*IMLOG2(O250/M250))</f>
        <v>0.97095059445466747</v>
      </c>
      <c r="Q250" s="2"/>
      <c r="S250" s="2"/>
      <c r="T250" s="2" t="s">
        <v>362</v>
      </c>
      <c r="U250" s="2">
        <f>COUNTIFS($G$4:$G$96,$G$78,$J$4:$J$96,$J$95,$M$4:$M$96,$M$95,$L$4:$L$96,$L$96)</f>
        <v>0</v>
      </c>
      <c r="V250" s="2">
        <f>COUNTIFS($G$4:$G$96,$G$78,$J$4:$J$96,$J$95,$M$4:$M$96,$M$95,$L$4:$L$96,$L$96,$O$4:$O$96,$O$94)</f>
        <v>0</v>
      </c>
      <c r="W250" s="2">
        <f>COUNTIFS($G$4:$G$96,$G$78,$J$4:$J$96,$J$95,$M$4:$M$96,$M$95,$L$4:$L$96,$L$96,$O$4:$O$96,$O$96)</f>
        <v>0</v>
      </c>
      <c r="X250" s="2">
        <v>0</v>
      </c>
      <c r="Y250" s="2"/>
    </row>
    <row r="251" spans="3:25" x14ac:dyDescent="0.35">
      <c r="C251" s="2"/>
      <c r="D251" s="2"/>
      <c r="E251" s="2"/>
      <c r="F251" s="2"/>
      <c r="G251" s="2"/>
      <c r="H251" s="2"/>
      <c r="I251" s="2"/>
      <c r="K251" s="2"/>
      <c r="L251" s="2" t="s">
        <v>367</v>
      </c>
      <c r="M251" s="2">
        <f>COUNTIFS($F$4:$F$96,$F$93,$J$4:$J$96,$J$95,$M$4:$M$96,$M$95,$L$4:$L$96,$L$96)</f>
        <v>2</v>
      </c>
      <c r="N251" s="2">
        <f>COUNTIFS($F$4:$F$96,$F$93,$J$4:$J$96,$J$95,$M$4:$M$96,$M$95,$L$4:$L$96,$L$96,$O$4:$O$96,$O$91)</f>
        <v>1</v>
      </c>
      <c r="O251" s="2">
        <f>COUNTIFS($F$4:$F$96,$F$93,$J$4:$J$96,$J$95,$M$4:$M$96,$M$95,$L$4:$L$96,$L$96,$O$4:$O$96,$O$90)</f>
        <v>1</v>
      </c>
      <c r="P251" s="61">
        <f t="shared" si="106"/>
        <v>1</v>
      </c>
      <c r="Q251" s="2"/>
      <c r="S251" s="2"/>
      <c r="T251" s="2"/>
      <c r="U251" s="62">
        <f>SUM(U249:U250)</f>
        <v>2</v>
      </c>
      <c r="V251" s="62">
        <f t="shared" ref="V251:W251" si="107">SUM(V249:V250)</f>
        <v>1</v>
      </c>
      <c r="W251" s="62">
        <f t="shared" si="107"/>
        <v>1</v>
      </c>
      <c r="X251" s="2"/>
      <c r="Y251" s="2"/>
    </row>
    <row r="252" spans="3:25" x14ac:dyDescent="0.35">
      <c r="C252" s="2" t="s">
        <v>369</v>
      </c>
      <c r="D252" s="2"/>
      <c r="E252" s="2"/>
      <c r="F252" s="2"/>
      <c r="G252" s="2"/>
      <c r="H252" s="2"/>
      <c r="I252" s="60">
        <f>$H$243 - (((E253/$E$243)* H253)+((E254/$E$243)*H254))</f>
        <v>0</v>
      </c>
      <c r="K252" s="2"/>
      <c r="L252" s="2"/>
      <c r="M252" s="62">
        <f>SUM(M250:M251)</f>
        <v>7</v>
      </c>
      <c r="N252" s="62">
        <f t="shared" ref="N252" si="108">SUM(N250:N251)</f>
        <v>3</v>
      </c>
      <c r="O252" s="62">
        <f t="shared" ref="O252" si="109">SUM(O250:O251)</f>
        <v>4</v>
      </c>
      <c r="P252" s="2"/>
      <c r="Q252" s="2"/>
      <c r="S252" s="2" t="s">
        <v>369</v>
      </c>
      <c r="T252" s="2"/>
      <c r="U252" s="2"/>
      <c r="V252" s="2"/>
      <c r="W252" s="2"/>
      <c r="X252" s="2"/>
      <c r="Y252" s="79">
        <f>$X$243 - (((U253/$U$243)* X253)+((U254/U$243)*X254))</f>
        <v>0</v>
      </c>
    </row>
    <row r="253" spans="3:25" x14ac:dyDescent="0.35">
      <c r="C253" s="2"/>
      <c r="D253" s="2" t="s">
        <v>319</v>
      </c>
      <c r="E253" s="2">
        <f>COUNTIFS($H$4:$H$96,$H$96,$J$4:$J$96,$J$92,$E$4:$E$96,$E$93,$M$4:$M$96,$M$96)</f>
        <v>13</v>
      </c>
      <c r="F253" s="2">
        <f>COUNTIFS($H$4:$H$96,$H$96,$J$4:$J$96,$J$92,$E$4:$E$96,$E$93,$M$4:$M$96,$M$96,$O$4:$O$96,$O$95)</f>
        <v>4</v>
      </c>
      <c r="G253" s="2">
        <f>COUNTIFS($H$4:$H$96,$H$96,$J$4:$J$96,$J$92,$E$4:$E$96,$E$93,$M$4:$M$96,$M$96,$O$4:$O$96,$O$96)</f>
        <v>9</v>
      </c>
      <c r="H253" s="78">
        <f>((-F253/E253)*IMLOG2(F253/E253))+((-G253/E253)*IMLOG2(G253/E253))</f>
        <v>0.89049164021949079</v>
      </c>
      <c r="I253" s="2"/>
      <c r="K253" s="2" t="s">
        <v>368</v>
      </c>
      <c r="L253" s="2"/>
      <c r="M253" s="2"/>
      <c r="N253" s="2"/>
      <c r="O253" s="2"/>
      <c r="P253" s="2"/>
      <c r="Q253" s="79">
        <f>$P$243 - (((M254/$M$243)* P254)+((M255/$M$243)*P255))</f>
        <v>0</v>
      </c>
      <c r="S253" s="2"/>
      <c r="T253" s="2" t="s">
        <v>319</v>
      </c>
      <c r="U253" s="2">
        <f>COUNTIFS($H$4:$H$96,$H$94,$J$4:$J$96,$J$95,$M$4:$M$96,$M$95,$L$4:$L$96,$L$96,$E$4:$E$96,$E$95)</f>
        <v>2</v>
      </c>
      <c r="V253" s="2">
        <f>COUNTIFS($H$4:$H$96,$H$94,$J$4:$J$96,$J$95,$M$4:$M$96,$M$95,$L$4:$L$96,$L$96,$E$4:$E$96,$E$95,$O$4:$O$96,$O$95)</f>
        <v>1</v>
      </c>
      <c r="W253" s="2">
        <f>COUNTIFS($H$4:$H$96,$H$94,$J$4:$J$96,$J$95,$M$4:$M$96,$M$95,$E$4:$E$96,$E$95,$O$4:$O$96,$O$96)</f>
        <v>1</v>
      </c>
      <c r="X253" s="60">
        <f t="shared" ref="X253" si="110">((-V253/U253)*IMLOG2(V253/U253))+((-W253/U253)*IMLOG2(W253/U253))</f>
        <v>1</v>
      </c>
      <c r="Y253" s="2"/>
    </row>
    <row r="254" spans="3:25" x14ac:dyDescent="0.35">
      <c r="C254" s="2"/>
      <c r="D254" s="2" t="s">
        <v>362</v>
      </c>
      <c r="E254" s="2">
        <f>COUNTIFS($H$4:$H$96,$H$38,$J$4:$J$96,$J$92,$E$4:$E$96,$E$93,$M$4:$M$96,$M$96)</f>
        <v>0</v>
      </c>
      <c r="F254" s="2">
        <f>COUNTIFS($H$4:$H$96,$H$38,$J$4:$J$96,$J$92,$E$4:$E$96,$E$93,$M$4:$M$96,$M$96,$O$4:$O$96,$O$95)</f>
        <v>0</v>
      </c>
      <c r="G254" s="2">
        <f>COUNTIFS($H$4:$H$96,$H$38,$J$4:$J$96,$J$92,$E$4:$E$96,$E$93,$M$4:$M$96,$M$96,$O$4:$O$96,$O$96)</f>
        <v>0</v>
      </c>
      <c r="H254" s="2">
        <v>0</v>
      </c>
      <c r="I254" s="2"/>
      <c r="K254" s="2"/>
      <c r="L254" s="2" t="s">
        <v>319</v>
      </c>
      <c r="M254" s="2">
        <f>COUNTIFS($G$4:$G$96,$G$91,$J$4:$J$96,$J$95,$M$4:$M$96,$M$95,$L$4:$L$96,$L$96)</f>
        <v>7</v>
      </c>
      <c r="N254" s="2">
        <f>COUNTIFS($G$4:$G$96,$G$91,$J$4:$J$96,$J$95,$M$4:$M$96,$M$95,$L$4:$L$96,$L$96,$O$4:$O$96,$O$94)</f>
        <v>3</v>
      </c>
      <c r="O254" s="2">
        <f>COUNTIFS($G$4:$G$96,$G$91,$J$4:$J$96,$J$95,$M$4:$M$96,$M$95,$L$4:$L$96,$L$96,$O$4:$O$96,$O$96)</f>
        <v>4</v>
      </c>
      <c r="P254" s="60">
        <f t="shared" ref="P254" si="111">((-N254/M254)*IMLOG2(N254/M254))+((-O254/M254)*IMLOG2(O254/M254))</f>
        <v>0.9852281360342523</v>
      </c>
      <c r="Q254" s="60"/>
      <c r="S254" s="2"/>
      <c r="T254" s="2" t="s">
        <v>362</v>
      </c>
      <c r="U254" s="2">
        <f>COUNTIFS($H$4:$H$96,$H$38,$J$4:$J$96,$J$95,$M$4:$M$96,$M$95,$L$4:$L$96,$L$96)</f>
        <v>0</v>
      </c>
      <c r="V254" s="2">
        <f>COUNTIFS($H$4:$H$96,$H$38,$J$4:$J$96,$J$95,$L$4:$L$96,$L$96,$O$4:$O$96,$O$95)</f>
        <v>0</v>
      </c>
      <c r="W254" s="2">
        <f>COUNTIFS($H$4:$H$96,$H$38,$J$4:$J$96,$J$95,$L$4:$L$96,$L$96,$O$4:$O$96,$O$96)</f>
        <v>0</v>
      </c>
      <c r="X254" s="2">
        <v>0</v>
      </c>
      <c r="Y254" s="2"/>
    </row>
    <row r="255" spans="3:25" x14ac:dyDescent="0.35">
      <c r="C255" s="2"/>
      <c r="D255" s="2"/>
      <c r="E255" s="2"/>
      <c r="F255" s="2"/>
      <c r="G255" s="2"/>
      <c r="H255" s="2"/>
      <c r="I255" s="2"/>
      <c r="K255" s="2"/>
      <c r="L255" s="2" t="s">
        <v>362</v>
      </c>
      <c r="M255" s="2">
        <f>COUNTIFS($G$4:$G$96,$G$78,$J$4:$J$96,$J$95,$M$4:$M$96,$M$95,$L$4:$L$96,$L$96)</f>
        <v>0</v>
      </c>
      <c r="N255" s="2">
        <f>COUNTIFS($G$4:$G$96,$G$78,$J$4:$J$96,$J$95,$M$4:$M$96,$M$95,$L$4:$L$96,$L$96,$O$4:$O$96,$O$94)</f>
        <v>0</v>
      </c>
      <c r="O255" s="2">
        <f>COUNTIFS($G$4:$G$96,$G$78,$J$4:$J$96,$J$95,$M$4:$M$96,$M$95,$L$4:$L$96,$L$96,$O$4:$O$96,$O$96)</f>
        <v>0</v>
      </c>
      <c r="P255" s="2">
        <v>0</v>
      </c>
      <c r="Q255" s="2"/>
      <c r="S255" s="2"/>
      <c r="T255" s="2"/>
      <c r="U255" s="62">
        <f>SUM(U253:U254)</f>
        <v>2</v>
      </c>
      <c r="V255" s="62">
        <f t="shared" ref="V255:W255" si="112">SUM(V253:V254)</f>
        <v>1</v>
      </c>
      <c r="W255" s="62">
        <f t="shared" si="112"/>
        <v>1</v>
      </c>
      <c r="X255" s="2"/>
      <c r="Y255" s="2"/>
    </row>
    <row r="256" spans="3:25" x14ac:dyDescent="0.35">
      <c r="C256" s="2" t="s">
        <v>372</v>
      </c>
      <c r="D256" s="2"/>
      <c r="E256" s="2"/>
      <c r="F256" s="2"/>
      <c r="G256" s="2"/>
      <c r="H256" s="2"/>
      <c r="I256" s="60">
        <f>$H$243 - (((E257/$E$243)* H257)+((E258/$E$243)*H258))</f>
        <v>0</v>
      </c>
      <c r="K256" s="2"/>
      <c r="L256" s="2"/>
      <c r="M256" s="62">
        <f>SUM(M254:M255)</f>
        <v>7</v>
      </c>
      <c r="N256" s="62">
        <f t="shared" ref="N256" si="113">SUM(N254:N255)</f>
        <v>3</v>
      </c>
      <c r="O256" s="62">
        <f t="shared" ref="O256" si="114">SUM(O254:O255)</f>
        <v>4</v>
      </c>
      <c r="P256" s="2"/>
      <c r="Q256" s="2"/>
      <c r="S256" s="2" t="s">
        <v>372</v>
      </c>
      <c r="T256" s="2"/>
      <c r="U256" s="2"/>
      <c r="V256" s="2"/>
      <c r="W256" s="2"/>
      <c r="X256" s="2"/>
      <c r="Y256" s="79">
        <f>$X$243 - (((U257/$U$243)* X257)+((U258/U$243)*X258))</f>
        <v>0</v>
      </c>
    </row>
    <row r="257" spans="3:25" x14ac:dyDescent="0.35">
      <c r="C257" s="2"/>
      <c r="D257" s="2" t="s">
        <v>319</v>
      </c>
      <c r="E257" s="2">
        <f>COUNTIFS($I$4:$I$96,$I$89,$J$4:$J$96,$J$92,$E$4:$E$96,$E$93,$M$4:$M$96,$M$96)</f>
        <v>13</v>
      </c>
      <c r="F257" s="2">
        <f>COUNTIFS($I$4:$I$96,$I$89,$J$4:$J$96,$J$92,$E$4:$E$96,$E$93,$M$4:$M$96,$M$96,$O$4:$O$96,$O$95)</f>
        <v>4</v>
      </c>
      <c r="G257" s="2">
        <f>COUNTIFS($I$4:$I$96,$I$89,$J$4:$J$96,$J$92,$E$4:$E$96,$E$93,$M$4:$M$96,$M$96,$O$4:$O$96,$O$96)</f>
        <v>9</v>
      </c>
      <c r="H257" s="78">
        <f>((-F257/E257)*IMLOG2(F257/E257))+((-G257/E257)*IMLOG2(G257/E257))</f>
        <v>0.89049164021949079</v>
      </c>
      <c r="I257" s="60"/>
      <c r="K257" s="2" t="s">
        <v>369</v>
      </c>
      <c r="L257" s="2"/>
      <c r="M257" s="2"/>
      <c r="N257" s="2"/>
      <c r="O257" s="2"/>
      <c r="P257" s="2"/>
      <c r="Q257" s="79">
        <f>$P$243 - (((M258/$M$243)* P258)+((M259/$M$243)*P259))</f>
        <v>0</v>
      </c>
      <c r="S257" s="2"/>
      <c r="T257" s="2" t="s">
        <v>319</v>
      </c>
      <c r="U257" s="2">
        <f>COUNTIFS($I$4:$I$96,$I$89,$J$4:$J$96,$J$95,$M$4:$M$96,$M$95,$L$4:$L$96,$L$95,$E$4:$E$96,$E$95)</f>
        <v>2</v>
      </c>
      <c r="V257" s="2">
        <f>COUNTIFS($I$4:$I$96,$I$89,$J$4:$J$96,$J$95,$M$4:$M$96,$M$95,$L$4:$L$96,$L$96,$E$4:$E$96,$E$95,$O$4:$O$96,$O$95)</f>
        <v>1</v>
      </c>
      <c r="W257" s="2">
        <f>COUNTIFS($I$4:$I$96,$I$89,$J$4:$J$96,$J$95,$M$4:$M$96,$M$95,$L$4:$L$96,$L$96,$E$4:$E$96,$E$95,$O$4:$O$96,$O$88)</f>
        <v>1</v>
      </c>
      <c r="X257" s="60">
        <f t="shared" ref="X257" si="115">((-V257/U257)*IMLOG2(V257/U257))+((-W257/U257)*IMLOG2(W257/U257))</f>
        <v>1</v>
      </c>
      <c r="Y257" s="2"/>
    </row>
    <row r="258" spans="3:25" x14ac:dyDescent="0.35">
      <c r="C258" s="2"/>
      <c r="D258" s="2" t="s">
        <v>362</v>
      </c>
      <c r="E258" s="2">
        <f>COUNTIFS($I$4:$I$96,$I$83,$J$4:$J$96,$J$92,$E$4:$E$96,$E$93,$M$4:$M$96,$M$96)</f>
        <v>0</v>
      </c>
      <c r="F258" s="2">
        <v>0</v>
      </c>
      <c r="G258" s="2">
        <v>0</v>
      </c>
      <c r="H258" s="2"/>
      <c r="I258" s="2"/>
      <c r="K258" s="2"/>
      <c r="L258" s="2" t="s">
        <v>319</v>
      </c>
      <c r="M258" s="2">
        <f>COUNTIFS($H$4:$H$96,$H$94,$J$4:$J$96,$J$95,$M$4:$M$96,$M$95,$L$4:$L$96,$L$96)</f>
        <v>7</v>
      </c>
      <c r="N258" s="2">
        <f>COUNTIFS($H$4:$H$96,$H$94,$J$4:$J$96,$J$95,$M$4:$M$96,$M$95,$L$4:$L$96,$L$96,$O$4:$O$96,$O$95)</f>
        <v>3</v>
      </c>
      <c r="O258" s="2">
        <f>COUNTIFS($H$4:$H$96,$H$94,$J$4:$J$96,$J$95,$M$4:$M$96,$M$95,$O$4:$O$96,$O$96)</f>
        <v>4</v>
      </c>
      <c r="P258" s="60">
        <f t="shared" ref="P258" si="116">((-N258/M258)*IMLOG2(N258/M258))+((-O258/M258)*IMLOG2(O258/M258))</f>
        <v>0.9852281360342523</v>
      </c>
      <c r="Q258" s="2"/>
      <c r="S258" s="2"/>
      <c r="T258" s="2" t="s">
        <v>362</v>
      </c>
      <c r="U258" s="2">
        <f>COUNTIFS($I$4:$I$96,$I$88,$J$4:$J$96,$J$95,$M$4:$M$96,$M$95,$L$4:$L$96,$L$96)</f>
        <v>0</v>
      </c>
      <c r="V258" s="2">
        <f>COUNTIFS($I$4:$I$96,$I$83,$J$4:$J$96,$J$95,$M$4:$M$96,$M$95,$O$4:$O$96,$O$95)</f>
        <v>0</v>
      </c>
      <c r="W258" s="2">
        <f>COUNTIFS($I$4:$I$96,$I$83,$J$4:$J$96,$J$95,$M$4:$M$96,$M$95,$O$4:$O$96,$O$96)</f>
        <v>0</v>
      </c>
      <c r="X258" s="2">
        <v>0</v>
      </c>
      <c r="Y258" s="2"/>
    </row>
    <row r="259" spans="3:25" x14ac:dyDescent="0.35">
      <c r="C259" s="2"/>
      <c r="D259" s="2"/>
      <c r="E259" s="2"/>
      <c r="F259" s="2"/>
      <c r="G259" s="2"/>
      <c r="H259" s="2"/>
      <c r="I259" s="2"/>
      <c r="K259" s="2"/>
      <c r="L259" s="2" t="s">
        <v>362</v>
      </c>
      <c r="M259" s="2">
        <f>COUNTIFS($H$4:$H$96,$H$38,$J$4:$J$96,$J$95,$M$4:$M$96,$M$95,$L$4:$L$96,$L$96)</f>
        <v>0</v>
      </c>
      <c r="N259" s="2">
        <f>COUNTIFS($H$4:$H$96,$H$38,$J$4:$J$96,$J$95,$L$4:$L$96,$L$96,$O$4:$O$96,$O$95)</f>
        <v>0</v>
      </c>
      <c r="O259" s="2">
        <f>COUNTIFS($H$4:$H$96,$H$38,$J$4:$J$96,$J$95,$L$4:$L$96,$L$96,$O$4:$O$96,$O$96)</f>
        <v>0</v>
      </c>
      <c r="P259" s="2">
        <v>0</v>
      </c>
      <c r="Q259" s="2"/>
      <c r="S259" s="2"/>
      <c r="T259" s="2"/>
      <c r="U259" s="62">
        <f>SUM(U257:U258)</f>
        <v>2</v>
      </c>
      <c r="V259" s="62">
        <f t="shared" ref="V259:W259" si="117">SUM(V257:V258)</f>
        <v>1</v>
      </c>
      <c r="W259" s="62">
        <f t="shared" si="117"/>
        <v>1</v>
      </c>
      <c r="X259" s="2"/>
      <c r="Y259" s="2"/>
    </row>
    <row r="260" spans="3:25" x14ac:dyDescent="0.35">
      <c r="C260" s="68" t="s">
        <v>373</v>
      </c>
      <c r="D260" s="68"/>
      <c r="E260" s="68"/>
      <c r="F260" s="68"/>
      <c r="G260" s="68"/>
      <c r="H260" s="68"/>
      <c r="I260" s="70">
        <f>$H$202 - (((E261/$E$202)* H261)+((E262/$E$202)*H262)+((E263/$E$202)*H263))</f>
        <v>0.54879494069539725</v>
      </c>
      <c r="K260" s="2"/>
      <c r="L260" s="2"/>
      <c r="M260" s="62">
        <f>SUM(M258:M259)</f>
        <v>7</v>
      </c>
      <c r="N260" s="62">
        <f t="shared" ref="N260" si="118">SUM(N258:N259)</f>
        <v>3</v>
      </c>
      <c r="O260" s="62">
        <f t="shared" ref="O260" si="119">SUM(O258:O259)</f>
        <v>4</v>
      </c>
      <c r="P260" s="2"/>
      <c r="Q260" s="2"/>
      <c r="S260" s="88" t="s">
        <v>373</v>
      </c>
      <c r="T260" s="88"/>
      <c r="U260" s="88"/>
      <c r="V260" s="88"/>
      <c r="W260" s="88"/>
      <c r="X260" s="88"/>
      <c r="Y260" s="79">
        <f>$X$243 - (((U261/$U$243)* X261)+((U262/U$243)*X262)+((U263/$U$243)*X263))</f>
        <v>1</v>
      </c>
    </row>
    <row r="261" spans="3:25" x14ac:dyDescent="0.35">
      <c r="C261" s="2"/>
      <c r="D261" s="2" t="s">
        <v>366</v>
      </c>
      <c r="E261" s="2">
        <f>COUNTIFS($K$4:$K$96,$K$95,$J$4:$J$96,$J$92,$E$4:$E$96,$E$93,$M$4:$M$96,$M$96)</f>
        <v>1</v>
      </c>
      <c r="F261" s="2">
        <f>COUNTIFS($K$4:$K$96,$K$95,$J$4:$J$96,$J$92,$E$4:$E$96,$E$93,$M$4:$M$96,$M$96,$O$4:$O$96,$O$95)</f>
        <v>1</v>
      </c>
      <c r="G261" s="2">
        <f>COUNTIFS($K$4:$K$96,$K$95,$J$4:$J$96,$J$92,$E$4:$E$96,$E$93,$M$4:$M$96,$M$96,$O$4:$O$96,$O$96)</f>
        <v>0</v>
      </c>
      <c r="H261" s="2">
        <v>0</v>
      </c>
      <c r="I261" s="2"/>
      <c r="K261" s="2" t="s">
        <v>372</v>
      </c>
      <c r="L261" s="2"/>
      <c r="M261" s="2"/>
      <c r="N261" s="2"/>
      <c r="O261" s="2"/>
      <c r="P261" s="2"/>
      <c r="Q261" s="79">
        <f>$P$243 - (((M262/$M$243)* P262)+((M263/$M$243)*P263))</f>
        <v>0</v>
      </c>
      <c r="S261" s="88"/>
      <c r="T261" s="88" t="s">
        <v>366</v>
      </c>
      <c r="U261" s="88">
        <f>COUNTIFS($K$4:$K$96,$K$95,$J$4:$J$96,$J$95,$M$4:$M$96,$M$95,$L$4:$L$96,$L$96,$E$4:$E$96,$E$95)</f>
        <v>2</v>
      </c>
      <c r="V261" s="88">
        <f>COUNTIFS($K$4:$K$96,$K$95,$J$4:$J$96,$J$95,$M$4:$M$96,$M$95,$L$4:$L$96,$L$96,$E$4:$E$96,$E$95,$O$4:$O$96,$O$95)</f>
        <v>1</v>
      </c>
      <c r="W261" s="88">
        <f>COUNTIFS($K$4:$K$96,$K$95,$J$4:$J$96,$J$95,$M$4:$M$96,$M$95,$L$4:$L$96,$L$96,$E$4:$E$96,$E$95,$O$4:$O$96,$O$96)</f>
        <v>1</v>
      </c>
      <c r="X261" s="89">
        <v>0</v>
      </c>
      <c r="Y261" s="88"/>
    </row>
    <row r="262" spans="3:25" x14ac:dyDescent="0.35">
      <c r="C262" s="2"/>
      <c r="D262" s="2" t="s">
        <v>364</v>
      </c>
      <c r="E262" s="2">
        <f>COUNTIFS($K$4:$K$96,$K$90,$J$4:$J$96,$J$92,$E$4:$E$96,$E$93,$M$4:$M$96,$M$96)</f>
        <v>0</v>
      </c>
      <c r="F262" s="2">
        <f>COUNTIFS($K$4:$K$96,$K$90,$J$4:$J$96,$J$92,$E$4:$E$96,$E$93,$M$4:$M$96,$M$96,$O$4:$O$96,$O$95)</f>
        <v>0</v>
      </c>
      <c r="G262" s="2">
        <f t="shared" ref="G262" si="120">COUNTIFS($K$4:$K$96,$K$90,$J$4:$J$96,$J$92,$E$4:$E$96,$E$93,$M$4:$M$96,$M$96)</f>
        <v>0</v>
      </c>
      <c r="H262" s="2">
        <v>0</v>
      </c>
      <c r="I262" s="2"/>
      <c r="K262" s="2"/>
      <c r="L262" s="2" t="s">
        <v>319</v>
      </c>
      <c r="M262" s="2">
        <f>COUNTIFS($I$4:$I$96,$I$89,$J$4:$J$96,$J$95,$M$4:$M$96,$M$95,$L$4:$L$96,$L$96)</f>
        <v>7</v>
      </c>
      <c r="N262" s="2">
        <f>COUNTIFS($I$4:$I$96,$I$89,$J$4:$J$96,$J$95,$M$4:$M$96,$M$95,$L$4:$L$96,$L$96,$O$4:$O$96,$O$95)</f>
        <v>3</v>
      </c>
      <c r="O262" s="2">
        <f>COUNTIFS($I$4:$I$96,$I$89,$J$4:$J$96,$J$95,$M$4:$M$96,$M$95,$L$4:$L$96,$L$96,$O$4:$O$96,$O$88)</f>
        <v>4</v>
      </c>
      <c r="P262" s="60">
        <f t="shared" ref="P262" si="121">((-N262/M262)*IMLOG2(N262/M262))+((-O262/M262)*IMLOG2(O262/M262))</f>
        <v>0.9852281360342523</v>
      </c>
      <c r="Q262" s="2"/>
      <c r="S262" s="88"/>
      <c r="T262" s="88" t="s">
        <v>364</v>
      </c>
      <c r="U262" s="88">
        <f>COUNTIFS($K$4:$K$96,$K$70,$J$4:$J$96,$J$95,$M$4:$M$96,$M$95,$E$4:$E$96,$E$95)</f>
        <v>0</v>
      </c>
      <c r="V262" s="88">
        <f>COUNTIFS($K$4:$K$96,$K$70,$J$4:$J$96,$J$95,$M$4:$M$96,$M$95,$E$4:$E$96,$E$95,$O$4:$O$96,$O$95)</f>
        <v>0</v>
      </c>
      <c r="W262" s="88">
        <f>COUNTIFS($K$4:$K$96,$K$70,$J$4:$J$96,$J$95,$M$4:$M$96,$M$95,$E$4:$E$96,$E$95,$O$4:$O$96,$O$96)</f>
        <v>0</v>
      </c>
      <c r="X262" s="89">
        <v>0</v>
      </c>
      <c r="Y262" s="88"/>
    </row>
    <row r="263" spans="3:25" x14ac:dyDescent="0.35">
      <c r="C263" s="2"/>
      <c r="D263" s="81" t="s">
        <v>374</v>
      </c>
      <c r="E263" s="81">
        <f>COUNTIFS($K$4:$K$96,$K$91,$J$4:$J$96,$J$92,$E$4:$E$96,$E$93,$M$4:$M$96,$M$96)</f>
        <v>12</v>
      </c>
      <c r="F263" s="81">
        <f>COUNTIFS($K$4:$K$96,$K$91,$J$4:$J$96,$J$92,$E$4:$E$96,$E$93,$M$4:$M$96,$M$96,$O$4:$O$96,$O$95)</f>
        <v>3</v>
      </c>
      <c r="G263" s="81">
        <f>COUNTIFS($K$4:$K$96,$K$91,$J$4:$J$96,$J$92,$E$4:$E$96,$E$93,$M$4:$M$96,$M$96,$O$4:$O$96,$O$96)</f>
        <v>9</v>
      </c>
      <c r="H263" s="82">
        <f>((-F263/E263)*IMLOG2(F263/E263))+((-G263/E263)*IMLOG2(G263/E263))</f>
        <v>0.81127812445913294</v>
      </c>
      <c r="I263" s="2"/>
      <c r="K263" s="2"/>
      <c r="L263" s="2" t="s">
        <v>362</v>
      </c>
      <c r="M263" s="2">
        <f>COUNTIFS($I$4:$I$96,$I$88,$J$4:$J$96,$J$95,$M$4:$M$96,$M$95,$L$4:$L$96,$L$96)</f>
        <v>0</v>
      </c>
      <c r="N263" s="2">
        <f>COUNTIFS($I$4:$I$96,$I$83,$J$4:$J$96,$J$95,$M$4:$M$96,$M$95,$O$4:$O$96,$O$95)</f>
        <v>0</v>
      </c>
      <c r="O263" s="2">
        <f>COUNTIFS($I$4:$I$96,$I$83,$J$4:$J$96,$J$95,$M$4:$M$96,$M$95,$O$4:$O$96,$O$96)</f>
        <v>0</v>
      </c>
      <c r="P263" s="2">
        <v>0</v>
      </c>
      <c r="Q263" s="2"/>
      <c r="S263" s="2"/>
      <c r="T263" s="2" t="s">
        <v>374</v>
      </c>
      <c r="U263" s="2">
        <f>COUNTIFS($K$4:$K$96,$K$94,$J$4:$J$96,$J$95,$M$4:$M$96,$M$95,$L$4:$L$96,$L$96,$E$4:$E$96,$E$95)</f>
        <v>0</v>
      </c>
      <c r="V263" s="2">
        <v>0</v>
      </c>
      <c r="W263" s="2">
        <v>0</v>
      </c>
      <c r="X263" s="60">
        <v>0</v>
      </c>
      <c r="Y263" s="2"/>
    </row>
    <row r="264" spans="3:25" x14ac:dyDescent="0.35">
      <c r="C264" s="2"/>
      <c r="D264" s="2"/>
      <c r="E264" s="2"/>
      <c r="F264" s="2"/>
      <c r="G264" s="2"/>
      <c r="H264" s="2"/>
      <c r="I264" s="2"/>
      <c r="K264" s="2"/>
      <c r="L264" s="2"/>
      <c r="M264" s="62">
        <f>SUM(M262:M263)</f>
        <v>7</v>
      </c>
      <c r="N264" s="62">
        <f t="shared" ref="N264" si="122">SUM(N262:N263)</f>
        <v>3</v>
      </c>
      <c r="O264" s="62">
        <f t="shared" ref="O264" si="123">SUM(O262:O263)</f>
        <v>4</v>
      </c>
      <c r="P264" s="2"/>
      <c r="Q264" s="2"/>
      <c r="S264" s="90" t="s">
        <v>11</v>
      </c>
      <c r="T264" s="90"/>
      <c r="U264" s="90"/>
      <c r="V264" s="90"/>
      <c r="W264" s="90"/>
      <c r="X264" s="90"/>
      <c r="Y264" s="79">
        <f>$X$243 - (((U265/$U$243)* X265)+((U266/U$243)*X266))</f>
        <v>0</v>
      </c>
    </row>
    <row r="265" spans="3:25" x14ac:dyDescent="0.35">
      <c r="C265" s="68" t="s">
        <v>9</v>
      </c>
      <c r="D265" s="68"/>
      <c r="E265" s="68"/>
      <c r="F265" s="68"/>
      <c r="G265" s="68"/>
      <c r="H265" s="68"/>
      <c r="I265" s="70">
        <f>$H$202 - (((E266/$E$202)* H266)+((E267/$E$202)*H267)+((E268/$E$202)*H268))</f>
        <v>0.54879494069539725</v>
      </c>
      <c r="K265" s="2" t="s">
        <v>373</v>
      </c>
      <c r="L265" s="2"/>
      <c r="M265" s="2"/>
      <c r="N265" s="2"/>
      <c r="O265" s="2"/>
      <c r="P265" s="2"/>
      <c r="Q265" s="79">
        <f>$P$243 - (((M266/$M$243)* P266)+((M267/$M$243)*P267)+((M268/$M$243) *P268))</f>
        <v>5.9777114237755669E-3</v>
      </c>
      <c r="S265" s="90"/>
      <c r="T265" s="90" t="s">
        <v>365</v>
      </c>
      <c r="U265" s="90">
        <f>COUNTIFS($N$4:$N$96,$N$96,$J$4:$J$96,$J$95,$M$4:$M$96,$M$95,$L$4:$L$96,$L$96,$E$4:$E$96,$E$95)</f>
        <v>2</v>
      </c>
      <c r="V265" s="90">
        <f>COUNTIFS($N$4:$N$96,$N$96,$J$4:$J$96,$J$95,$M$4:$M$96,$M$95,$L$4:$L$96,$L$96,$E$4:$E$96,$E$95,$O$4:$O$96,$O$95)</f>
        <v>1</v>
      </c>
      <c r="W265" s="90">
        <f>COUNTIFS($N$4:$N$96,$N$96,$J$4:$J$96,$J$95,$M$4:$M$96,$M$95,$L$4:$L$96,$L$96,$E$4:$E$96,$E$95,$O$4:$O$96,$O$96)</f>
        <v>1</v>
      </c>
      <c r="X265" s="79">
        <f t="shared" ref="X265" si="124">((-V265/U265)*IMLOG2(V265/U265))+((-W265/U265)*IMLOG2(W265/U265))</f>
        <v>1</v>
      </c>
      <c r="Y265" s="2"/>
    </row>
    <row r="266" spans="3:25" x14ac:dyDescent="0.35">
      <c r="C266" s="2"/>
      <c r="D266" s="81" t="s">
        <v>319</v>
      </c>
      <c r="E266" s="81">
        <f>COUNTIFS($L$4:$L$96,$L$94,$J$4:$J$96,$J$92,$E$4:$E$96,$E$93,$M$4:$M$96,$M$96)</f>
        <v>12</v>
      </c>
      <c r="F266" s="81">
        <f>COUNTIFS($L$4:$L$96,$L$94,$J$4:$J$96,$J$92,$E$4:$E$96,$E$93,$M$4:$M$96,$M$96,$O$4:$O$96,$O$95)</f>
        <v>3</v>
      </c>
      <c r="G266" s="81">
        <f>COUNTIFS($L$4:$L$96,$L$94,$J$4:$J$96,$J$92,$E$4:$E$96,$E$93,$M$4:$M$96,$M$96,$O$4:$O$96,$O$96)</f>
        <v>9</v>
      </c>
      <c r="H266" s="82">
        <f>((-F266/E266)*IMLOG2(F266/E266))+((-G266/E266)*IMLOG2(G266/E266))</f>
        <v>0.81127812445913294</v>
      </c>
      <c r="I266" s="2"/>
      <c r="K266" s="2"/>
      <c r="L266" s="2" t="s">
        <v>366</v>
      </c>
      <c r="M266" s="2">
        <f>COUNTIFS($K$4:$K$96,$K$95,$J$4:$J$96,$J$95,$M$4:$M$96,$M$95,$L$4:$L$96,$L$96)</f>
        <v>2</v>
      </c>
      <c r="N266" s="2">
        <f>COUNTIFS($K$4:$K$96,$K$95,$J$4:$J$96,$J$95,$M$4:$M$96,$M$95,$L$4:$L$96,$L$96,$O$4:$O$96,$O$95)</f>
        <v>1</v>
      </c>
      <c r="O266" s="2">
        <f>COUNTIFS($K$4:$K$96,$K$95,$J$4:$J$96,$J$95,$M$4:$M$96,$M$95,$L$4:$L$96,$L$96,$O$4:$O$96,$O$96)</f>
        <v>1</v>
      </c>
      <c r="P266" s="60">
        <f t="shared" ref="P266:P267" si="125">((-N266/M266)*IMLOG2(N266/M266))+((-O266/M266)*IMLOG2(O266/M266))</f>
        <v>1</v>
      </c>
      <c r="Q266" s="2"/>
      <c r="S266" s="2"/>
      <c r="T266" s="2" t="s">
        <v>366</v>
      </c>
      <c r="U266" s="2">
        <f>COUNTIFS($N$4:$N$96,$N$14,$J$4:$J$96,$J$95,$M$4:$M$96,$M$95,$O$4:$O$96,$O$95)</f>
        <v>0</v>
      </c>
      <c r="V266" s="2">
        <f t="shared" ref="V266:W266" si="126">COUNTIFS($N$4:$N$96,$N$14,$J$4:$J$96,$J$95,$M$4:$M$96,$M$95,$O$4:$O$96,$O$95)</f>
        <v>0</v>
      </c>
      <c r="W266" s="2">
        <f t="shared" si="126"/>
        <v>0</v>
      </c>
      <c r="X266" s="2">
        <v>0</v>
      </c>
      <c r="Y266" s="2"/>
    </row>
    <row r="267" spans="3:25" x14ac:dyDescent="0.35">
      <c r="C267" s="2"/>
      <c r="D267" s="2" t="s">
        <v>366</v>
      </c>
      <c r="E267" s="2">
        <f>COUNTIFS($L$4:$L$96,$L$38,$J$4:$J$96,$J$92,$E$4:$E$96,$E$93,$M$4:$M$96,$M$96)</f>
        <v>1</v>
      </c>
      <c r="F267" s="2">
        <f>COUNTIFS($L$4:$L$96,$L$38,$J$4:$J$96,$J$92,$E$4:$E$96,$E$93,$M$4:$M$96,$M$96,$O$4:$O$96,$O$95)</f>
        <v>1</v>
      </c>
      <c r="G267" s="2">
        <f>COUNTIFS($L$4:$L$96,$L$38,$J$4:$J$96,$J$92,$E$4:$E$96,$E$93,$M$4:$M$96,$M$96,$O$4:$O$96,$O$96)</f>
        <v>0</v>
      </c>
      <c r="H267" s="2">
        <v>0</v>
      </c>
      <c r="I267" s="2"/>
      <c r="K267" s="2"/>
      <c r="L267" s="2" t="s">
        <v>364</v>
      </c>
      <c r="M267" s="2">
        <f>COUNTIFS($K$4:$K$96,$K$70,$J$4:$J$96,$J$95,$M$4:$M$96,$M$95)</f>
        <v>5</v>
      </c>
      <c r="N267" s="2">
        <f>COUNTIFS($K$4:$K$96,$K$70,$J$4:$J$96,$J$95,$M$4:$M$96,$M$95,$O$4:$O$96,$O$95)</f>
        <v>2</v>
      </c>
      <c r="O267" s="2">
        <f>COUNTIFS($K$4:$K$96,$K$70,$J$4:$J$96,$J$95,$M$4:$M$96,$M$95,$O$4:$O$96,$O$96)</f>
        <v>3</v>
      </c>
      <c r="P267" s="60">
        <f t="shared" si="125"/>
        <v>0.97095059445466747</v>
      </c>
      <c r="Q267" s="2"/>
      <c r="S267" s="2"/>
      <c r="T267" s="2"/>
      <c r="U267" s="2"/>
      <c r="V267" s="2"/>
      <c r="W267" s="2"/>
      <c r="X267" s="2"/>
      <c r="Y267" s="2"/>
    </row>
    <row r="268" spans="3:25" x14ac:dyDescent="0.35">
      <c r="C268" s="2"/>
      <c r="D268" s="2" t="s">
        <v>362</v>
      </c>
      <c r="E268" s="2">
        <f>COUNTIFS($L$4:$L$96,$L$91,$J$4:$J$96,$J$92,$E$4:$E$96,$E$93,$M$4:$M$96,$M$96)</f>
        <v>0</v>
      </c>
      <c r="F268" s="2">
        <v>0</v>
      </c>
      <c r="G268" s="2">
        <v>0</v>
      </c>
      <c r="H268" s="2">
        <v>0</v>
      </c>
      <c r="I268" s="2"/>
      <c r="K268" s="2"/>
      <c r="L268" s="2" t="s">
        <v>374</v>
      </c>
      <c r="M268" s="2">
        <f>COUNTIFS($K$4:$K$96,$K$94,$J$4:$J$96,$J$95,$M$4:$M$96,$M$95,$L$4:$L$96,$L$96)</f>
        <v>0</v>
      </c>
      <c r="N268" s="2">
        <f>COUNTIFS($K$4:$K$96,$K$94,$J$4:$J$96,$J$95,$M$4:$M$96,$M$95,$L$4:$L$96,$L$96,$O$4:$O$96,$O$95)</f>
        <v>0</v>
      </c>
      <c r="O268" s="2">
        <f>COUNTIFS($K$4:$K$96,$K$94,$J$4:$J$96,$J$95,$M$4:$M$96,$M$95,$L$4:$L$96,$L$96,$O$4:$O$96,$O$96)</f>
        <v>0</v>
      </c>
      <c r="P268" s="60">
        <v>0</v>
      </c>
      <c r="Q268" s="2"/>
      <c r="S268" s="2"/>
      <c r="T268" s="2"/>
      <c r="U268" s="2"/>
      <c r="V268" s="2"/>
      <c r="W268" s="2"/>
      <c r="X268" s="2"/>
      <c r="Y268" s="64">
        <f>MAX(Y239:Y264)</f>
        <v>1</v>
      </c>
    </row>
    <row r="269" spans="3:25" x14ac:dyDescent="0.35">
      <c r="C269" s="2"/>
      <c r="D269" s="2"/>
      <c r="E269" s="2"/>
      <c r="F269" s="2"/>
      <c r="G269" s="2"/>
      <c r="H269" s="2"/>
      <c r="I269" s="2"/>
      <c r="K269" s="90" t="s">
        <v>11</v>
      </c>
      <c r="L269" s="90"/>
      <c r="M269" s="90"/>
      <c r="N269" s="90"/>
      <c r="O269" s="90"/>
      <c r="P269" s="90"/>
      <c r="Q269" s="79">
        <f>$P$243 - (((M270/$M$243)* P270)+((M271/$M$243)*P271))</f>
        <v>0</v>
      </c>
      <c r="S269" s="2"/>
      <c r="T269" s="2"/>
      <c r="U269" s="2"/>
      <c r="V269" s="2"/>
      <c r="W269" s="2"/>
      <c r="X269" s="2"/>
      <c r="Y269" s="2"/>
    </row>
    <row r="270" spans="3:25" x14ac:dyDescent="0.35">
      <c r="C270" s="2" t="s">
        <v>11</v>
      </c>
      <c r="D270" s="2"/>
      <c r="E270" s="2"/>
      <c r="F270" s="2"/>
      <c r="G270" s="2"/>
      <c r="H270" s="2"/>
      <c r="I270" s="79">
        <f>$H$202 - (((E271/$E$202)* H271)+((E272/$E$202)*H272)+((E273/$E$202)*H273))</f>
        <v>0.4720843644727396</v>
      </c>
      <c r="K270" s="90"/>
      <c r="L270" s="90" t="s">
        <v>365</v>
      </c>
      <c r="M270" s="90">
        <f>COUNTIFS($N$4:$N$96,$N$96,$J$4:$J$96,$J$95,$M$4:$M$96,$M$95,$L$4:$L$96,$L$96)</f>
        <v>7</v>
      </c>
      <c r="N270" s="90">
        <f>COUNTIFS($N$4:$N$96,$N$96,$J$4:$J$96,$J$95,$M$4:$M$96,$M$95,$L$4:$L$96,$L$96,$O$4:$O$96,$O$95)</f>
        <v>3</v>
      </c>
      <c r="O270" s="90">
        <f>COUNTIFS($N$4:$N$96,$N$96,$J$4:$J$96,$J$95,$M$4:$M$96,$M$95,$L$4:$L$96,$L$96,$O$4:$O$96,$O$96)</f>
        <v>4</v>
      </c>
      <c r="P270" s="79">
        <f t="shared" ref="P270" si="127">((-N270/M270)*IMLOG2(N270/M270))+((-O270/M270)*IMLOG2(O270/M270))</f>
        <v>0.9852281360342523</v>
      </c>
      <c r="Q270" s="2"/>
    </row>
    <row r="271" spans="3:25" x14ac:dyDescent="0.35">
      <c r="C271" s="2"/>
      <c r="D271" s="2" t="s">
        <v>365</v>
      </c>
      <c r="E271" s="2">
        <f>COUNTIFS($N$4:$N$96,$N$96,$J$4:$J$96,$J$92,$E$4:$E$96,$E$93,$M$4:$M$96,$M$96)</f>
        <v>13</v>
      </c>
      <c r="F271" s="2">
        <f>COUNTIFS($N$4:$N$96,$N$96,$J$4:$J$96,$J$92,$E$4:$E$96,$E$93,$M$4:$M$96,$M$96,$O$4:$O$96,$O$95)</f>
        <v>4</v>
      </c>
      <c r="G271" s="2">
        <f>COUNTIFS($N$4:$N$96,$N$96,$J$4:$J$96,$J$92,$E$4:$E$96,$E$93,$M$4:$M$96,$M$96,$O$4:$O$96,$O$96)</f>
        <v>9</v>
      </c>
      <c r="H271" s="78">
        <f>((-F271/E271)*IMLOG2(F271/E271))+((-G271/E271)*IMLOG2(G271/E271))</f>
        <v>0.89049164021949079</v>
      </c>
      <c r="I271" s="2"/>
      <c r="K271" s="2"/>
      <c r="L271" s="2" t="s">
        <v>366</v>
      </c>
      <c r="M271" s="2">
        <f>COUNTIFS($N$4:$N$96,$N$14,$J$4:$J$96,$J$95,$M$4:$M$96,$M$95,$O$4:$O$96,$O$95)</f>
        <v>0</v>
      </c>
      <c r="N271" s="2">
        <f t="shared" ref="N271:O271" si="128">COUNTIFS($N$4:$N$96,$N$14,$J$4:$J$96,$J$95,$M$4:$M$96,$M$95,$O$4:$O$96,$O$95)</f>
        <v>0</v>
      </c>
      <c r="O271" s="2">
        <f t="shared" si="128"/>
        <v>0</v>
      </c>
      <c r="P271" s="2">
        <v>0</v>
      </c>
      <c r="Q271" s="2"/>
    </row>
    <row r="272" spans="3:25" x14ac:dyDescent="0.35">
      <c r="C272" s="2"/>
      <c r="D272" s="2" t="s">
        <v>366</v>
      </c>
      <c r="E272" s="2">
        <f>COUNTIFS($N$4:$N$96,sedang,$J$4:$J$96,$J$92,$E$4:$E$96,$E$93,$M$4:$M$96,$M$96)</f>
        <v>0</v>
      </c>
      <c r="F272" s="2">
        <v>0</v>
      </c>
      <c r="G272" s="2">
        <v>0</v>
      </c>
      <c r="H272" s="2">
        <v>0</v>
      </c>
      <c r="I272" s="2"/>
      <c r="K272" s="2"/>
      <c r="L272" s="2"/>
      <c r="M272" s="2"/>
      <c r="N272" s="2"/>
      <c r="O272" s="2"/>
      <c r="P272" s="2"/>
      <c r="Q272" s="2"/>
    </row>
    <row r="273" spans="3:41" x14ac:dyDescent="0.35">
      <c r="C273" s="2"/>
      <c r="D273" s="2"/>
      <c r="E273" s="2"/>
      <c r="F273" s="2"/>
      <c r="G273" s="2"/>
      <c r="H273" s="2"/>
      <c r="I273" s="2"/>
      <c r="K273" s="2"/>
      <c r="L273" s="2"/>
      <c r="M273" s="2"/>
      <c r="N273" s="2"/>
      <c r="O273" s="2"/>
      <c r="P273" s="2"/>
      <c r="Q273" s="64">
        <f>MAX(Q244:Q269)</f>
        <v>5.9777114237755669E-3</v>
      </c>
    </row>
    <row r="274" spans="3:41" x14ac:dyDescent="0.35">
      <c r="C274" s="2"/>
      <c r="D274" s="2"/>
      <c r="E274" s="2"/>
      <c r="F274" s="2"/>
      <c r="G274" s="2"/>
      <c r="H274" s="2"/>
      <c r="I274" s="60">
        <f>MAX(I244:I272)</f>
        <v>0.54879494069539725</v>
      </c>
      <c r="K274" s="2"/>
      <c r="L274" s="2"/>
      <c r="M274" s="2"/>
      <c r="N274" s="2"/>
      <c r="O274" s="2"/>
      <c r="P274" s="2"/>
      <c r="Q274" s="2"/>
    </row>
    <row r="276" spans="3:41" ht="29" x14ac:dyDescent="0.35">
      <c r="C276" s="56" t="s">
        <v>383</v>
      </c>
      <c r="D276" s="57"/>
      <c r="E276" s="58" t="s">
        <v>356</v>
      </c>
      <c r="F276" s="58" t="s">
        <v>357</v>
      </c>
      <c r="G276" s="59" t="s">
        <v>358</v>
      </c>
      <c r="H276" s="58" t="s">
        <v>359</v>
      </c>
      <c r="I276" s="58" t="s">
        <v>360</v>
      </c>
      <c r="K276" s="56" t="s">
        <v>389</v>
      </c>
      <c r="L276" s="57"/>
      <c r="M276" s="58" t="s">
        <v>356</v>
      </c>
      <c r="N276" s="58" t="s">
        <v>357</v>
      </c>
      <c r="O276" s="59" t="s">
        <v>358</v>
      </c>
      <c r="P276" s="58" t="s">
        <v>359</v>
      </c>
      <c r="Q276" s="58" t="s">
        <v>360</v>
      </c>
      <c r="S276" s="56" t="s">
        <v>389</v>
      </c>
      <c r="T276" s="57"/>
      <c r="U276" s="58" t="s">
        <v>356</v>
      </c>
      <c r="V276" s="58" t="s">
        <v>357</v>
      </c>
      <c r="W276" s="59" t="s">
        <v>358</v>
      </c>
      <c r="X276" s="58" t="s">
        <v>359</v>
      </c>
      <c r="Y276" s="58" t="s">
        <v>360</v>
      </c>
      <c r="AA276" s="56" t="s">
        <v>389</v>
      </c>
      <c r="AB276" s="57"/>
      <c r="AC276" s="58" t="s">
        <v>356</v>
      </c>
      <c r="AD276" s="58" t="s">
        <v>357</v>
      </c>
      <c r="AE276" s="59" t="s">
        <v>358</v>
      </c>
      <c r="AF276" s="58" t="s">
        <v>359</v>
      </c>
      <c r="AG276" s="58" t="s">
        <v>360</v>
      </c>
      <c r="AI276" s="56" t="s">
        <v>389</v>
      </c>
      <c r="AJ276" s="57"/>
      <c r="AK276" s="58" t="s">
        <v>356</v>
      </c>
      <c r="AL276" s="58" t="s">
        <v>357</v>
      </c>
      <c r="AM276" s="59" t="s">
        <v>358</v>
      </c>
      <c r="AN276" s="58" t="s">
        <v>359</v>
      </c>
      <c r="AO276" s="58" t="s">
        <v>360</v>
      </c>
    </row>
    <row r="277" spans="3:41" ht="51" customHeight="1" x14ac:dyDescent="0.35">
      <c r="C277" s="226" t="s">
        <v>384</v>
      </c>
      <c r="D277" s="227"/>
      <c r="E277" s="77">
        <f>E263</f>
        <v>12</v>
      </c>
      <c r="F277" s="77">
        <f>F263</f>
        <v>3</v>
      </c>
      <c r="G277" s="77">
        <f>G263</f>
        <v>9</v>
      </c>
      <c r="H277" s="78">
        <f>((-F277/E277)*IMLOG2(F277/E277))+((-G277/E277)*IMLOG2(G277/E277))</f>
        <v>0.81127812445913294</v>
      </c>
      <c r="I277" s="76"/>
      <c r="K277" s="222" t="s">
        <v>393</v>
      </c>
      <c r="L277" s="223"/>
      <c r="M277" s="30">
        <f>M246</f>
        <v>5</v>
      </c>
      <c r="N277" s="30">
        <f>N246</f>
        <v>2</v>
      </c>
      <c r="O277" s="96">
        <f>O246</f>
        <v>3</v>
      </c>
      <c r="P277" s="97">
        <f>((-N277/M277)*IMLOG2(N277/M277))+((-O277/M277)*IMLOG2(O277/M277))</f>
        <v>0.97095059445466747</v>
      </c>
      <c r="Q277" s="30"/>
      <c r="S277" s="222" t="s">
        <v>394</v>
      </c>
      <c r="T277" s="223"/>
      <c r="U277" s="30">
        <f>M296</f>
        <v>5</v>
      </c>
      <c r="V277" s="30">
        <f>N296</f>
        <v>2</v>
      </c>
      <c r="W277" s="96">
        <f>3</f>
        <v>3</v>
      </c>
      <c r="X277" s="97">
        <f>((-V277/U277)*IMLOG2(V277/U277))+((-W277/U277)*IMLOG2(W277/U277))</f>
        <v>0.97095059445466747</v>
      </c>
      <c r="Y277" s="30"/>
      <c r="AA277" s="222" t="s">
        <v>395</v>
      </c>
      <c r="AB277" s="223"/>
      <c r="AC277" s="30">
        <f>U279</f>
        <v>3</v>
      </c>
      <c r="AD277" s="30">
        <f>V279</f>
        <v>1</v>
      </c>
      <c r="AE277" s="96">
        <f>W279</f>
        <v>2</v>
      </c>
      <c r="AF277" s="97">
        <f>((-AD277/AC277)*IMLOG2(AD277/AC277))+((-AE277/AC277)*IMLOG2(AE277/AC277))</f>
        <v>0.91829583405449056</v>
      </c>
      <c r="AG277" s="30"/>
      <c r="AI277" s="222" t="s">
        <v>396</v>
      </c>
      <c r="AJ277" s="223"/>
      <c r="AK277" s="30">
        <f>U280</f>
        <v>2</v>
      </c>
      <c r="AL277" s="30">
        <f>V280</f>
        <v>1</v>
      </c>
      <c r="AM277" s="96">
        <f>O280</f>
        <v>1</v>
      </c>
      <c r="AN277" s="97">
        <f>((-AL277/AK277)*IMLOG2(AL277/AK277))+((-AM277/AK277)*IMLOG2(AM277/AK277))</f>
        <v>1</v>
      </c>
      <c r="AO277" s="30"/>
    </row>
    <row r="278" spans="3:41" x14ac:dyDescent="0.35">
      <c r="C278" s="68" t="s">
        <v>5</v>
      </c>
      <c r="D278" s="68"/>
      <c r="E278" s="68"/>
      <c r="F278" s="68"/>
      <c r="G278" s="68"/>
      <c r="H278" s="68"/>
      <c r="I278" s="70">
        <f>$H$277 - (((E279/$E$277)* H279)+((E280/$E$277)*H280))</f>
        <v>0.18424289179001085</v>
      </c>
      <c r="K278" s="2" t="s">
        <v>5</v>
      </c>
      <c r="L278" s="2"/>
      <c r="M278" s="2"/>
      <c r="N278" s="2"/>
      <c r="O278" s="2"/>
      <c r="P278" s="2"/>
      <c r="Q278" s="79">
        <f>$P$277 - (((M279/$M$277)* P279)+((M280/M$243)*P280))</f>
        <v>0.13425880830768744</v>
      </c>
      <c r="S278" s="69" t="s">
        <v>5</v>
      </c>
      <c r="T278" s="69"/>
      <c r="U278" s="69"/>
      <c r="V278" s="69"/>
      <c r="W278" s="69"/>
      <c r="X278" s="69"/>
      <c r="Y278" s="105">
        <f>$X$277 - (((U279/$U$277)* X279)+((U280/$U$277)*X280))</f>
        <v>1.9973094021973115E-2</v>
      </c>
      <c r="AA278" s="2" t="s">
        <v>368</v>
      </c>
      <c r="AB278" s="2"/>
      <c r="AC278" s="2"/>
      <c r="AD278" s="2"/>
      <c r="AE278" s="2"/>
      <c r="AF278" s="2"/>
      <c r="AG278" s="79">
        <f>$AF$277 - (((AC279/$AC$277)* AF279)+((AC280/$AC$277)*AF280))</f>
        <v>0</v>
      </c>
      <c r="AI278" s="2" t="s">
        <v>368</v>
      </c>
      <c r="AJ278" s="2"/>
      <c r="AK278" s="2"/>
      <c r="AL278" s="2"/>
      <c r="AM278" s="2"/>
      <c r="AN278" s="2"/>
      <c r="AO278" s="79">
        <f>$AN$277 - (((AK279/$AK$277)* AN279)+((AK280/$AK$277)*AN280))</f>
        <v>0</v>
      </c>
    </row>
    <row r="279" spans="3:41" x14ac:dyDescent="0.35">
      <c r="C279" s="2"/>
      <c r="D279" s="81" t="s">
        <v>362</v>
      </c>
      <c r="E279" s="81">
        <f>COUNTIFS($F$4:$F$96,$F$96,$J$4:$J$96,$J$92,$E$4:$E$96,$E$93,$M$4:$M$96,$M$96,$M$4:$M$96,$M$96,$L$4:$L$96,$L$96)</f>
        <v>11</v>
      </c>
      <c r="F279" s="81">
        <f>COUNTIFS($F$4:$F$96,$F$96,$J$4:$J$96,$J$92,$E$4:$E$96,$E$93,$M$4:$M$96,$M$96,$M$4:$M$96,$M$96,$L$4:$L$96,$L$96,$O$4:$O$96,$O$95)</f>
        <v>2</v>
      </c>
      <c r="G279" s="81">
        <f>COUNTIFS($F$4:$F$96,$F$96,$J$4:$J$96,$J$92,$E$4:$E$96,$E$93,$M$4:$M$96,$M$96,$M$4:$M$96,$M$96,$L$4:$L$96,$L$96,$O$4:$O$96,$O$96)</f>
        <v>9</v>
      </c>
      <c r="H279" s="82">
        <f>((-F279/E279)*IMLOG2(F279/E279))+((-G279/E279)*IMLOG2(G279/E279))</f>
        <v>0.68403843563904232</v>
      </c>
      <c r="I279" s="2"/>
      <c r="K279" s="2"/>
      <c r="L279" s="2" t="s">
        <v>362</v>
      </c>
      <c r="M279" s="2">
        <f>COUNTIFS($F$4:$F$96,$F$96,$J$4:$J$96,$J$95,$M$4:$M$96,$M$95,$L$4:$L$96,$L$96,$E$4:$E$96,$E$92)</f>
        <v>3</v>
      </c>
      <c r="N279" s="2">
        <f>COUNTIFS($F$4:$F$96,$F$96,$J$4:$J$96,$J$95,$M$4:$M$96,$M$95,$L$4:$L$96,$L$96,$E$4:$E$96,$E$92,$O$4:$O$96,$O$91)</f>
        <v>1</v>
      </c>
      <c r="O279" s="2">
        <f>COUNTIFS($F$4:$F$96,$F$96,$J$4:$J$96,$J$95,$M$4:$M$96,$M$95,$L$4:$L$96,$L$96,$E$4:$E$96,$E$92,$O$4:$O$96,$O$90)</f>
        <v>2</v>
      </c>
      <c r="P279" s="60">
        <f t="shared" ref="P279:P280" si="129">((-N279/M279)*IMLOG2(N279/M279))+((-O279/M279)*IMLOG2(O279/M279))</f>
        <v>0.91829583405449056</v>
      </c>
      <c r="Q279" s="2"/>
      <c r="S279" s="69"/>
      <c r="T279" s="69" t="s">
        <v>362</v>
      </c>
      <c r="U279" s="69">
        <f>COUNTIFS($F$4:$F$96,$F$96,$J$4:$J$96,$J$95,$M$4:$M$96,$M$95,$L$4:$L$96,$L$96,$E$4:$E$96,$E$92,$K$4:$K$96,$K$90)</f>
        <v>3</v>
      </c>
      <c r="V279" s="69">
        <f>COUNTIFS($F$4:$F$96,$F$96,$J$4:$J$96,$J$95,$M$4:$M$96,$M$95,$L$4:$L$96,$L$96,$E$4:$E$96,$E$92,$K$4:$K$96,$K$90,$O$4:$O$96,$O$91)</f>
        <v>1</v>
      </c>
      <c r="W279" s="69">
        <f>COUNTIFS($F$4:$F$96,$F$96,$J$4:$J$96,$J$95,$M$4:$M$96,$M$95,$L$4:$L$96,$L$96,$E$4:$E$96,$E$92,$K$4:$K$96,$K$90,$O$4:$O$96,$O$90)</f>
        <v>2</v>
      </c>
      <c r="X279" s="87">
        <f t="shared" ref="X279:X280" si="130">((-V279/U279)*IMLOG2(V279/U279))+((-W279/U279)*IMLOG2(W279/U279))</f>
        <v>0.91829583405449056</v>
      </c>
      <c r="Y279" s="69"/>
      <c r="AA279" s="2"/>
      <c r="AB279" s="2" t="s">
        <v>319</v>
      </c>
      <c r="AC279" s="2">
        <f>COUNTIFS($G$4:$G$96,$G$91,$J$4:$J$96,$J$95,$M$4:$M$96,$M$95,$L$4:$L$96,$L$96,$E$4:$E$96,$E$92,$K$4:$K$96,$K$90,$F$4:$F$96,$F$96)</f>
        <v>3</v>
      </c>
      <c r="AD279" s="2">
        <f>COUNTIFS($G$4:$G$96,$G$91,$J$4:$J$96,$J$95,$M$4:$M$96,$M$95,$L$4:$L$96,$L$96,$E$4:$E$96,$E$92,$K$4:$K$96,$K$90,$F$4:$F$96,$F$96,$O$4:$O$96,$O$94)</f>
        <v>1</v>
      </c>
      <c r="AE279" s="2">
        <f>COUNTIFS($G$4:$G$96,$G$91,$J$4:$J$96,$J$95,$M$4:$M$96,$M$95,$L$4:$L$96,$L$96,$E$4:$E$96,$E$92,$K$4:$K$96,$K$90,$F$4:$F$96,$F$96,$O$4:$O$96,$O$96)</f>
        <v>2</v>
      </c>
      <c r="AF279" s="60">
        <f t="shared" ref="AF279" si="131">((-AD279/AC279)*IMLOG2(AD279/AC279))+((-AE279/AC279)*IMLOG2(AE279/AC279))</f>
        <v>0.91829583405449056</v>
      </c>
      <c r="AG279" s="60"/>
      <c r="AI279" s="2"/>
      <c r="AJ279" s="2" t="s">
        <v>319</v>
      </c>
      <c r="AK279" s="2">
        <f>COUNTIFS($G$4:$G$96,$G$91,$J$4:$J$96,$J$95,$M$4:$M$96,$M$95,$L$4:$L$96,$L$96,$E$4:$E$96,$E$92,$K$4:$K$96,$K$90,$F$4:$F$96,$F$93)</f>
        <v>2</v>
      </c>
      <c r="AL279" s="2">
        <f>COUNTIFS($G$4:$G$96,$G$91,$J$4:$J$96,$J$95,$M$4:$M$96,$M$95,$L$4:$L$96,$L$96,$E$4:$E$96,$E$92,$K$4:$K$96,$K$90,$F$4:$F$96,$F$93,$O$4:$O$96,$O$94)</f>
        <v>1</v>
      </c>
      <c r="AM279" s="2">
        <f>COUNTIFS($G$4:$G$96,$G$91,$J$4:$J$96,$J$95,$M$4:$M$96,$M$95,$L$4:$L$96,$L$96,$E$4:$E$96,$E$92,$K$4:$K$96,$K$90,$F$4:$F$96,$F$93,$O$4:$O$96,$O$96)</f>
        <v>1</v>
      </c>
      <c r="AN279" s="60">
        <f t="shared" ref="AN279" si="132">((-AL279/AK279)*IMLOG2(AL279/AK279))+((-AM279/AK279)*IMLOG2(AM279/AK279))</f>
        <v>1</v>
      </c>
      <c r="AO279" s="60"/>
    </row>
    <row r="280" spans="3:41" x14ac:dyDescent="0.35">
      <c r="C280" s="2"/>
      <c r="D280" s="2" t="s">
        <v>367</v>
      </c>
      <c r="E280" s="2">
        <f>COUNTIFS($F$4:$F$96,$F$90,$J$4:$J$96,$J$92,$E$4:$E$96,$E$93,$M$4:$M$96,$M$96,$M$4:$M$96,$M$96,$L$4:$L$96,$L$96)</f>
        <v>1</v>
      </c>
      <c r="F280" s="2">
        <f>COUNTIFS($F$4:$F$96,$F$90,$J$4:$J$96,$J$92,$E$4:$E$96,$E$93,$M$4:$M$96,$M$96,$M$4:$M$96,$M$96,$L$4:$L$96,$L$96,$O$4:$O$96,$O$95)</f>
        <v>1</v>
      </c>
      <c r="G280" s="2">
        <f>COUNTIFS($F$4:$F$96,$F$90,$J$4:$J$96,$J$92,$E$4:$E$96,$E$93,$M$4:$M$96,$M$96,$M$4:$M$96,$M$96,$L$4:$L$96,$L$96,$O$4:$O$96,$O$96)</f>
        <v>0</v>
      </c>
      <c r="H280" s="78">
        <v>0</v>
      </c>
      <c r="I280" s="2"/>
      <c r="K280" s="2"/>
      <c r="L280" s="2" t="s">
        <v>367</v>
      </c>
      <c r="M280" s="2">
        <f>COUNTIFS($F$4:$F$96,$F$93,$J$4:$J$96,$J$95,$M$4:$M$96,$M$95,$L$4:$L$96,$L$96,$E$4:$E$96,$E$92)</f>
        <v>2</v>
      </c>
      <c r="N280" s="2">
        <f>COUNTIFS($F$4:$F$96,$F$93,$J$4:$J$96,$J$95,$M$4:$M$96,$M$95,$L$4:$L$96,$L$96,$E$4:$E$96,$E$92,$O$4:$O$96,$O$91)</f>
        <v>1</v>
      </c>
      <c r="O280" s="2">
        <f>COUNTIFS($F$4:$F$96,$F$93,$J$4:$J$96,$J$95,$M$4:$M$96,$M$95,$L$4:$L$96,$L$96,$E$4:$E$96,$E$92,$O$4:$O$96,$O$90)</f>
        <v>1</v>
      </c>
      <c r="P280" s="61">
        <f t="shared" si="129"/>
        <v>1</v>
      </c>
      <c r="Q280" s="2"/>
      <c r="S280" s="2"/>
      <c r="T280" s="2" t="s">
        <v>367</v>
      </c>
      <c r="U280" s="2">
        <f>COUNTIFS($F$4:$F$96,$F$93,$J$4:$J$96,$J$95,$M$4:$M$96,$M$95,$L$4:$L$96,$L$96,$E$4:$E$96,$E$92,$K$4:$K$96,$K$90)</f>
        <v>2</v>
      </c>
      <c r="V280" s="2">
        <f>COUNTIFS($F$4:$F$96,$F$93,$J$4:$J$96,$J$95,$M$4:$M$96,$M$95,$L$4:$L$96,$L$96,$E$4:$E$96,$E$92,$K$4:$K$96,$K$90,$O$4:$O$96,$O$91)</f>
        <v>1</v>
      </c>
      <c r="W280" s="2">
        <f>COUNTIFS($F$4:$F$96,$F$93,$J$4:$J$96,$J$95,$M$4:$M$96,$M$95,$L$4:$L$96,$L$96,$E$4:$E$96,$E$92,$K$4:$K$96,$K$90,$O$4:$O$96,$O$90)</f>
        <v>1</v>
      </c>
      <c r="X280" s="61">
        <f t="shared" si="130"/>
        <v>1</v>
      </c>
      <c r="Y280" s="2"/>
      <c r="AA280" s="2"/>
      <c r="AB280" s="2" t="s">
        <v>362</v>
      </c>
      <c r="AC280" s="2">
        <f>COUNTIFS($G$4:$G$96,$G$78,$J$4:$J$96,$J$95,$M$4:$M$96,$M$95,$L$4:$L$96,$L$96,$K$4:$K$96,$K$90)</f>
        <v>0</v>
      </c>
      <c r="AD280" s="2">
        <f>COUNTIFS($G$4:$G$96,$G$78,$J$4:$J$96,$J$95,$M$4:$M$96,$M$95,$L$4:$L$96,$L$96,$O$4:$O$96,$O$94)</f>
        <v>0</v>
      </c>
      <c r="AE280" s="2">
        <f>COUNTIFS($G$4:$G$96,$G$78,$J$4:$J$96,$J$95,$M$4:$M$96,$M$95,$L$4:$L$96,$L$96,$O$4:$O$96,$O$96)</f>
        <v>0</v>
      </c>
      <c r="AF280" s="2">
        <v>0</v>
      </c>
      <c r="AG280" s="2"/>
      <c r="AI280" s="2"/>
      <c r="AJ280" s="2" t="s">
        <v>362</v>
      </c>
      <c r="AK280" s="2">
        <f>COUNTIFS($G$4:$G$96,$G$78,$J$4:$J$96,$J$95,$M$4:$M$96,$M$95,$L$4:$L$96,$L$96,$K$4:$K$96,$K$90)</f>
        <v>0</v>
      </c>
      <c r="AL280" s="2">
        <f>COUNTIFS($G$4:$G$96,$G$78,$J$4:$J$96,$J$95,$M$4:$M$96,$M$95,$L$4:$L$96,$L$96,$O$4:$O$96,$O$94)</f>
        <v>0</v>
      </c>
      <c r="AM280" s="2">
        <f>COUNTIFS($G$4:$G$96,$G$78,$J$4:$J$96,$J$95,$M$4:$M$96,$M$95,$L$4:$L$96,$L$96,$O$4:$O$96,$O$96)</f>
        <v>0</v>
      </c>
      <c r="AN280" s="2">
        <v>0</v>
      </c>
      <c r="AO280" s="2"/>
    </row>
    <row r="281" spans="3:41" x14ac:dyDescent="0.35">
      <c r="C281" s="2"/>
      <c r="D281" s="2"/>
      <c r="E281" s="2"/>
      <c r="F281" s="2"/>
      <c r="G281" s="2"/>
      <c r="H281" s="2"/>
      <c r="I281" s="2"/>
      <c r="K281" s="2"/>
      <c r="L281" s="2"/>
      <c r="M281" s="62">
        <f>SUM(M279:M280)</f>
        <v>5</v>
      </c>
      <c r="N281" s="62">
        <f t="shared" ref="N281:O281" si="133">SUM(N279:N280)</f>
        <v>2</v>
      </c>
      <c r="O281" s="62">
        <f t="shared" si="133"/>
        <v>3</v>
      </c>
      <c r="P281" s="2"/>
      <c r="Q281" s="2"/>
      <c r="S281" s="2"/>
      <c r="T281" s="2"/>
      <c r="U281" s="62">
        <f>SUM(U279:U280)</f>
        <v>5</v>
      </c>
      <c r="V281" s="62">
        <f t="shared" ref="V281:W281" si="134">SUM(V279:V280)</f>
        <v>2</v>
      </c>
      <c r="W281" s="62">
        <f t="shared" si="134"/>
        <v>3</v>
      </c>
      <c r="X281" s="2"/>
      <c r="Y281" s="2"/>
      <c r="AA281" s="2"/>
      <c r="AB281" s="2"/>
      <c r="AC281" s="62">
        <f>SUM(AC279:AC280)</f>
        <v>3</v>
      </c>
      <c r="AD281" s="62">
        <f t="shared" ref="AD281:AE281" si="135">SUM(AD279:AD280)</f>
        <v>1</v>
      </c>
      <c r="AE281" s="62">
        <f t="shared" si="135"/>
        <v>2</v>
      </c>
      <c r="AF281" s="2"/>
      <c r="AG281" s="2"/>
      <c r="AI281" s="2"/>
      <c r="AJ281" s="2"/>
      <c r="AK281" s="62">
        <f>SUM(AK279:AK280)</f>
        <v>2</v>
      </c>
      <c r="AL281" s="62">
        <f t="shared" ref="AL281:AM281" si="136">SUM(AL279:AL280)</f>
        <v>1</v>
      </c>
      <c r="AM281" s="62">
        <f t="shared" si="136"/>
        <v>1</v>
      </c>
      <c r="AN281" s="2"/>
      <c r="AO281" s="2"/>
    </row>
    <row r="282" spans="3:41" x14ac:dyDescent="0.35">
      <c r="C282" s="2" t="s">
        <v>368</v>
      </c>
      <c r="D282" s="2"/>
      <c r="E282" s="2"/>
      <c r="F282" s="2"/>
      <c r="G282" s="2"/>
      <c r="H282" s="2"/>
      <c r="I282" s="60">
        <f>$H$277 - (((E283/$E$277)* H283)+((E284/$E$277)*H284))</f>
        <v>7.6869041766888246E-2</v>
      </c>
      <c r="K282" s="2" t="s">
        <v>368</v>
      </c>
      <c r="L282" s="2"/>
      <c r="M282" s="2"/>
      <c r="N282" s="2"/>
      <c r="O282" s="2"/>
      <c r="P282" s="2"/>
      <c r="Q282" s="79">
        <f>$P$277 - (((M283/$M$277)* P283)+((M284/M$243)*P284))</f>
        <v>0</v>
      </c>
      <c r="S282" s="2" t="s">
        <v>368</v>
      </c>
      <c r="T282" s="2"/>
      <c r="U282" s="2"/>
      <c r="V282" s="2"/>
      <c r="W282" s="2"/>
      <c r="X282" s="2"/>
      <c r="Y282" s="79">
        <f>$X$277 - (((U283/$U$277)* X283)+((U284/$U$277)*X284))</f>
        <v>0</v>
      </c>
      <c r="AA282" s="2" t="s">
        <v>369</v>
      </c>
      <c r="AB282" s="2"/>
      <c r="AC282" s="2"/>
      <c r="AD282" s="2"/>
      <c r="AE282" s="2"/>
      <c r="AF282" s="2"/>
      <c r="AG282" s="79">
        <f>$AF$277 - (((AC283/$AC$277)* AF283)+((AC284/$AC$277)*AF284))</f>
        <v>0</v>
      </c>
      <c r="AI282" s="2" t="s">
        <v>369</v>
      </c>
      <c r="AJ282" s="2"/>
      <c r="AK282" s="2"/>
      <c r="AL282" s="2"/>
      <c r="AM282" s="2"/>
      <c r="AN282" s="2"/>
      <c r="AO282" s="79">
        <f>$AN$277 - (((AK283/$AK$277)* AN283)+((AK284/$AK$277)*AN284))</f>
        <v>0</v>
      </c>
    </row>
    <row r="283" spans="3:41" x14ac:dyDescent="0.35">
      <c r="C283" s="2"/>
      <c r="D283" s="2" t="s">
        <v>319</v>
      </c>
      <c r="E283" s="2">
        <f>COUNTIFS($G$4:$G$96,$G$91,$J$4:$J$96,$J$92,$E$4:$E$96,$E$93,$M$4:$M$96,$M$96,$M$4:$M$96,$M$96,$L$4:$L$96,$L$96)</f>
        <v>10</v>
      </c>
      <c r="F283" s="2">
        <f>COUNTIFS($G$4:$G$96,$G$91,$J$4:$J$96,$J$92,$E$4:$E$96,$E$93,$M$4:$M$96,$M$96,$M$4:$M$96,$M$96,$L$4:$L$96,$L$96,$O$4:$O$96,$O$95)</f>
        <v>3</v>
      </c>
      <c r="G283" s="2">
        <f>COUNTIFS($G$4:$G$96,$G$91,$J$4:$J$96,$J$92,$E$4:$E$96,$E$93,$M$4:$M$96,$M$96,$M$4:$M$96,$M$96,$L$4:$L$96,$L$96,$O$4:$O$96,$O$96)</f>
        <v>7</v>
      </c>
      <c r="H283" s="78">
        <f>((-F283/E283)*IMLOG2(F283/E283))+((-G283/E283)*IMLOG2(G283/E283))</f>
        <v>0.88129089923069359</v>
      </c>
      <c r="I283" s="2"/>
      <c r="K283" s="2"/>
      <c r="L283" s="2" t="s">
        <v>319</v>
      </c>
      <c r="M283" s="2">
        <f>COUNTIFS($G$4:$G$96,$G$91,$J$4:$J$96,$J$95,$M$4:$M$96,$M$95,$L$4:$L$96,$L$96,$E$4:$E$96,$E$92)</f>
        <v>5</v>
      </c>
      <c r="N283" s="2">
        <f>COUNTIFS($G$4:$G$96,$G$91,$J$4:$J$96,$J$95,$M$4:$M$96,$M$95,$L$4:$L$96,$L$96,$E$4:$E$96,$E$92,$O$4:$O$96,$O$94)</f>
        <v>2</v>
      </c>
      <c r="O283" s="2">
        <f>COUNTIFS($G$4:$G$96,$G$91,$J$4:$J$96,$J$95,$M$4:$M$96,$M$95,$L$4:$L$96,$L$96,$E$4:$E$96,$E$92,$O$4:$O$96,$O$96)</f>
        <v>3</v>
      </c>
      <c r="P283" s="60">
        <f t="shared" ref="P283" si="137">((-N283/M283)*IMLOG2(N283/M283))+((-O283/M283)*IMLOG2(O283/M283))</f>
        <v>0.97095059445466747</v>
      </c>
      <c r="Q283" s="60"/>
      <c r="S283" s="2"/>
      <c r="T283" s="2" t="s">
        <v>319</v>
      </c>
      <c r="U283" s="2">
        <f>COUNTIFS($G$4:$G$96,$G$91,$J$4:$J$96,$J$95,$M$4:$M$96,$M$95,$L$4:$L$96,$L$96,$E$4:$E$96,$E$92,$K$4:$K$96,$K$90)</f>
        <v>5</v>
      </c>
      <c r="V283" s="2">
        <f>COUNTIFS($G$4:$G$96,$G$91,$J$4:$J$96,$J$95,$M$4:$M$96,$M$95,$L$4:$L$96,$L$96,$E$4:$E$96,$E$92,$K$4:$K$96,$K$90,$O$4:$O$96,$O$94)</f>
        <v>2</v>
      </c>
      <c r="W283" s="2">
        <f>COUNTIFS($G$4:$G$96,$G$91,$J$4:$J$96,$J$95,$M$4:$M$96,$M$95,$L$4:$L$96,$L$96,$E$4:$E$96,$E$92,$K$4:$K$96,$K$90,$O$4:$O$96,$O$96)</f>
        <v>3</v>
      </c>
      <c r="X283" s="60">
        <f t="shared" ref="X283" si="138">((-V283/U283)*IMLOG2(V283/U283))+((-W283/U283)*IMLOG2(W283/U283))</f>
        <v>0.97095059445466747</v>
      </c>
      <c r="Y283" s="60"/>
      <c r="AA283" s="2"/>
      <c r="AB283" s="2" t="s">
        <v>319</v>
      </c>
      <c r="AC283" s="2">
        <f>COUNTIFS($H$4:$H$96,$H$94,$J$4:$J$96,$J$95,$M$4:$M$96,$M$95,$L$4:$L$96,$L$96,$E$4:$E$96,$E$92,$K$4:$K$96,$K$90,$F$4:$F$96,$F$96)</f>
        <v>3</v>
      </c>
      <c r="AD283" s="2">
        <f>COUNTIFS($H$4:$H$96,$H$94,$J$4:$J$96,$J$95,$M$4:$M$96,$M$95,$L$4:$L$96,$L$96,$E$4:$E$96,$E$92,$K$4:$K$96,$K$90,$F$4:$F$96,$F$96,$O$4:$O$96,$O$95)</f>
        <v>1</v>
      </c>
      <c r="AE283" s="2">
        <f>COUNTIFS($H$4:$H$96,$H$94,$J$4:$J$96,$J$95,$M$4:$M$96,$M$95,$E$4:$E$96,$E$92,$K$4:$K$96,$K$90,$F$4:$F$96,$F$96,$O$4:$O$96,$O$96)</f>
        <v>2</v>
      </c>
      <c r="AF283" s="60">
        <f t="shared" ref="AF283" si="139">((-AD283/AC283)*IMLOG2(AD283/AC283))+((-AE283/AC283)*IMLOG2(AE283/AC283))</f>
        <v>0.91829583405449056</v>
      </c>
      <c r="AG283" s="2"/>
      <c r="AI283" s="2"/>
      <c r="AJ283" s="2" t="s">
        <v>319</v>
      </c>
      <c r="AK283" s="2">
        <f>COUNTIFS($H$4:$H$96,$H$94,$J$4:$J$96,$J$95,$M$4:$M$96,$M$95,$L$4:$L$96,$L$96,$E$4:$E$96,$E$92,$K$4:$K$96,$K$90,$F$4:$F$96,$F$93)</f>
        <v>2</v>
      </c>
      <c r="AL283" s="2">
        <f>COUNTIFS($H$4:$H$96,$H$94,$J$4:$J$96,$J$95,$M$4:$M$96,$M$95,$L$4:$L$96,$L$96,$E$4:$E$96,$E$92,$K$4:$K$96,$K$90,$F$4:$F$96,$F$93,$O$4:$O$96,$O$95)</f>
        <v>1</v>
      </c>
      <c r="AM283" s="2">
        <f>COUNTIFS($H$4:$H$96,$H$94,$J$4:$J$96,$J$95,$M$4:$M$96,$M$95,$E$4:$E$96,$E$92,$K$4:$K$96,$K$90,$F$4:$F$96,$F$93,$O$4:$O$96,$O$96)</f>
        <v>1</v>
      </c>
      <c r="AN283" s="60">
        <f t="shared" ref="AN283" si="140">((-AL283/AK283)*IMLOG2(AL283/AK283))+((-AM283/AK283)*IMLOG2(AM283/AK283))</f>
        <v>1</v>
      </c>
      <c r="AO283" s="2"/>
    </row>
    <row r="284" spans="3:41" x14ac:dyDescent="0.35">
      <c r="C284" s="2"/>
      <c r="D284" s="2" t="s">
        <v>362</v>
      </c>
      <c r="E284" s="2">
        <f>COUNTIFS($G$4:$G$96,$G$78,$J$4:$J$96,$J$92,$E$4:$E$96,$E$93,$M$4:$M$96,$M$96,$M$4:$M$96,$M$96,$L$4:$L$96,$L$96)</f>
        <v>2</v>
      </c>
      <c r="F284" s="2">
        <f>COUNTIFS($G$4:$G$96,$G$78,$J$4:$J$96,$J$92,$E$4:$E$96,$E$93,$M$4:$M$96,$M$96,$M$4:$M$96,$M$96,$L$4:$L$96,$L$96,$O$4:$O$96,$O$95)</f>
        <v>0</v>
      </c>
      <c r="G284" s="2">
        <f t="shared" ref="G284" si="141">COUNTIFS($G$4:$G$96,$G$78,$J$4:$J$96,$J$92,$E$4:$E$96,$E$93,$M$4:$M$96,$M$96,$M$4:$M$96,$M$96,$L$4:$L$96,$L$96)</f>
        <v>2</v>
      </c>
      <c r="H284" s="2">
        <v>0</v>
      </c>
      <c r="I284" s="2"/>
      <c r="K284" s="2"/>
      <c r="L284" s="2" t="s">
        <v>362</v>
      </c>
      <c r="M284" s="2">
        <f>COUNTIFS($G$4:$G$96,$G$78,$J$4:$J$96,$J$95,$M$4:$M$96,$M$95,$L$4:$L$96,$L$96)</f>
        <v>0</v>
      </c>
      <c r="N284" s="2">
        <f>COUNTIFS($G$4:$G$96,$G$78,$J$4:$J$96,$J$95,$M$4:$M$96,$M$95,$L$4:$L$96,$L$96,$O$4:$O$96,$O$94)</f>
        <v>0</v>
      </c>
      <c r="O284" s="2">
        <f>COUNTIFS($G$4:$G$96,$G$78,$J$4:$J$96,$J$95,$M$4:$M$96,$M$95,$L$4:$L$96,$L$96,$O$4:$O$96,$O$96)</f>
        <v>0</v>
      </c>
      <c r="P284" s="2">
        <v>0</v>
      </c>
      <c r="Q284" s="2"/>
      <c r="S284" s="2"/>
      <c r="T284" s="2" t="s">
        <v>362</v>
      </c>
      <c r="U284" s="2">
        <f>COUNTIFS($G$4:$G$96,$G$78,$J$4:$J$96,$J$95,$M$4:$M$96,$M$95,$L$4:$L$96,$L$96,$K$4:$K$96,$K$90)</f>
        <v>0</v>
      </c>
      <c r="V284" s="2">
        <f>COUNTIFS($G$4:$G$96,$G$78,$J$4:$J$96,$J$95,$M$4:$M$96,$M$95,$L$4:$L$96,$L$96,$O$4:$O$96,$O$94)</f>
        <v>0</v>
      </c>
      <c r="W284" s="2">
        <f>COUNTIFS($G$4:$G$96,$G$78,$J$4:$J$96,$J$95,$M$4:$M$96,$M$95,$L$4:$L$96,$L$96,$O$4:$O$96,$O$96)</f>
        <v>0</v>
      </c>
      <c r="X284" s="2">
        <v>0</v>
      </c>
      <c r="Y284" s="2"/>
      <c r="AA284" s="2"/>
      <c r="AB284" s="2" t="s">
        <v>362</v>
      </c>
      <c r="AC284" s="2">
        <f>COUNTIFS($H$4:$H$96,$H$38,$J$4:$J$96,$J$95,$M$4:$M$96,$M$95,$L$4:$L$96,$L$96,$K$4:$K$96,$K$90)</f>
        <v>0</v>
      </c>
      <c r="AD284" s="2">
        <f>COUNTIFS($H$4:$H$96,$H$38,$J$4:$J$96,$J$95,$L$4:$L$96,$L$96,$O$4:$O$96,$O$95)</f>
        <v>0</v>
      </c>
      <c r="AE284" s="2">
        <f>COUNTIFS($H$4:$H$96,$H$38,$J$4:$J$96,$J$95,$L$4:$L$96,$L$96,$O$4:$O$96,$O$96)</f>
        <v>0</v>
      </c>
      <c r="AF284" s="2">
        <v>0</v>
      </c>
      <c r="AG284" s="2"/>
      <c r="AI284" s="2"/>
      <c r="AJ284" s="2" t="s">
        <v>362</v>
      </c>
      <c r="AK284" s="2">
        <f>COUNTIFS($H$4:$H$96,$H$38,$J$4:$J$96,$J$95,$M$4:$M$96,$M$95,$L$4:$L$96,$L$96,$K$4:$K$96,$K$90)</f>
        <v>0</v>
      </c>
      <c r="AL284" s="2">
        <f>COUNTIFS($H$4:$H$96,$H$38,$J$4:$J$96,$J$95,$L$4:$L$96,$L$96,$O$4:$O$96,$O$95)</f>
        <v>0</v>
      </c>
      <c r="AM284" s="2">
        <f>COUNTIFS($H$4:$H$96,$H$38,$J$4:$J$96,$J$95,$L$4:$L$96,$L$96,$O$4:$O$96,$O$96)</f>
        <v>0</v>
      </c>
      <c r="AN284" s="2">
        <v>0</v>
      </c>
      <c r="AO284" s="2"/>
    </row>
    <row r="285" spans="3:41" x14ac:dyDescent="0.35">
      <c r="C285" s="2"/>
      <c r="D285" s="2"/>
      <c r="E285" s="2"/>
      <c r="F285" s="2"/>
      <c r="G285" s="2"/>
      <c r="H285" s="2"/>
      <c r="I285" s="2"/>
      <c r="K285" s="2"/>
      <c r="L285" s="2"/>
      <c r="M285" s="62">
        <f>SUM(M283:M284)</f>
        <v>5</v>
      </c>
      <c r="N285" s="62">
        <f t="shared" ref="N285:O285" si="142">SUM(N283:N284)</f>
        <v>2</v>
      </c>
      <c r="O285" s="62">
        <f t="shared" si="142"/>
        <v>3</v>
      </c>
      <c r="P285" s="2"/>
      <c r="Q285" s="2"/>
      <c r="S285" s="2"/>
      <c r="T285" s="2"/>
      <c r="U285" s="62">
        <f>SUM(U283:U284)</f>
        <v>5</v>
      </c>
      <c r="V285" s="62">
        <f t="shared" ref="V285:W285" si="143">SUM(V283:V284)</f>
        <v>2</v>
      </c>
      <c r="W285" s="62">
        <f t="shared" si="143"/>
        <v>3</v>
      </c>
      <c r="X285" s="2"/>
      <c r="Y285" s="2"/>
      <c r="AA285" s="2"/>
      <c r="AB285" s="2"/>
      <c r="AC285" s="62">
        <f>SUM(AC283:AC284)</f>
        <v>3</v>
      </c>
      <c r="AD285" s="62">
        <f t="shared" ref="AD285:AE285" si="144">SUM(AD283:AD284)</f>
        <v>1</v>
      </c>
      <c r="AE285" s="62">
        <f t="shared" si="144"/>
        <v>2</v>
      </c>
      <c r="AF285" s="2"/>
      <c r="AG285" s="2"/>
      <c r="AI285" s="2"/>
      <c r="AJ285" s="2"/>
      <c r="AK285" s="62">
        <f>SUM(AK283:AK284)</f>
        <v>2</v>
      </c>
      <c r="AL285" s="62">
        <f t="shared" ref="AL285:AM285" si="145">SUM(AL283:AL284)</f>
        <v>1</v>
      </c>
      <c r="AM285" s="62">
        <f t="shared" si="145"/>
        <v>1</v>
      </c>
      <c r="AN285" s="2"/>
      <c r="AO285" s="2"/>
    </row>
    <row r="286" spans="3:41" x14ac:dyDescent="0.35">
      <c r="C286" s="2" t="s">
        <v>369</v>
      </c>
      <c r="D286" s="2"/>
      <c r="E286" s="2"/>
      <c r="F286" s="2"/>
      <c r="G286" s="2"/>
      <c r="H286" s="2"/>
      <c r="I286" s="60">
        <f>$H$277 - (((E287/$E$277)* H287)+((E288/$E$277)*H288))</f>
        <v>0</v>
      </c>
      <c r="K286" s="2" t="s">
        <v>369</v>
      </c>
      <c r="L286" s="2"/>
      <c r="M286" s="2"/>
      <c r="N286" s="2"/>
      <c r="O286" s="2"/>
      <c r="P286" s="2"/>
      <c r="Q286" s="79">
        <f>$P$277 - (((M287/$M$277)* P287)+((M288/M$243)*P288))</f>
        <v>0</v>
      </c>
      <c r="S286" s="2" t="s">
        <v>369</v>
      </c>
      <c r="T286" s="2"/>
      <c r="U286" s="2"/>
      <c r="V286" s="2"/>
      <c r="W286" s="2"/>
      <c r="X286" s="2"/>
      <c r="Y286" s="79">
        <f>$X$277 - (((U287/$U$277)* X287)+((U288/$U$277)*X288))</f>
        <v>0</v>
      </c>
      <c r="AA286" s="2" t="s">
        <v>372</v>
      </c>
      <c r="AB286" s="2"/>
      <c r="AC286" s="2"/>
      <c r="AD286" s="2"/>
      <c r="AE286" s="2"/>
      <c r="AF286" s="2"/>
      <c r="AG286" s="79">
        <f>$AF$277 - (((AC287/$AC$277)* AF287)+((AC288/$AC$277)*AF288))</f>
        <v>0</v>
      </c>
      <c r="AI286" s="2" t="s">
        <v>372</v>
      </c>
      <c r="AJ286" s="2"/>
      <c r="AK286" s="2"/>
      <c r="AL286" s="2"/>
      <c r="AM286" s="2"/>
      <c r="AN286" s="2"/>
      <c r="AO286" s="79">
        <f>$AN$277 - (((AK287/$AK$277)* AN287)+((AK288/$AK$277)*AN288))</f>
        <v>0</v>
      </c>
    </row>
    <row r="287" spans="3:41" x14ac:dyDescent="0.35">
      <c r="C287" s="2"/>
      <c r="D287" s="2" t="s">
        <v>319</v>
      </c>
      <c r="E287" s="2">
        <f>COUNTIFS($H$4:$H$96,$H$96,$J$4:$J$96,$J$92,$E$4:$E$96,$E$93,$M$4:$M$96,$M$96,$M$4:$M$96,$M$96,$L$4:$L$96,$L$96)</f>
        <v>12</v>
      </c>
      <c r="F287" s="2">
        <f>COUNTIFS($H$4:$H$96,$H$96,$J$4:$J$96,$J$92,$E$4:$E$96,$E$93,$M$4:$M$96,$M$96,$M$4:$M$96,$M$96,$L$4:$L$96,$L$96,$O$4:$O$96,$O$95)</f>
        <v>3</v>
      </c>
      <c r="G287" s="2">
        <f>COUNTIFS($H$4:$H$96,$H$96,$J$4:$J$96,$J$92,$E$4:$E$96,$E$93,$M$4:$M$96,$M$96,$M$4:$M$96,$M$96,$L$4:$L$96,$L$96,$O$4:$O$96,$O$96)</f>
        <v>9</v>
      </c>
      <c r="H287" s="78">
        <f>((-F287/E287)*IMLOG2(F287/E287))+((-G287/E287)*IMLOG2(G287/E287))</f>
        <v>0.81127812445913294</v>
      </c>
      <c r="I287" s="2"/>
      <c r="K287" s="2"/>
      <c r="L287" s="2" t="s">
        <v>319</v>
      </c>
      <c r="M287" s="2">
        <f>COUNTIFS($H$4:$H$96,$H$94,$J$4:$J$96,$J$95,$M$4:$M$96,$M$95,$L$4:$L$96,$L$96,$E$4:$E$96,$E$92)</f>
        <v>5</v>
      </c>
      <c r="N287" s="2">
        <f>COUNTIFS($H$4:$H$96,$H$94,$J$4:$J$96,$J$95,$M$4:$M$96,$M$95,$L$4:$L$96,$L$96,$E$4:$E$96,$E$92,$O$4:$O$96,$O$95)</f>
        <v>2</v>
      </c>
      <c r="O287" s="2">
        <f>COUNTIFS($H$4:$H$96,$H$94,$J$4:$J$96,$J$95,$M$4:$M$96,$M$95,$E$4:$E$96,$E$92,$O$4:$O$96,$O$96)</f>
        <v>3</v>
      </c>
      <c r="P287" s="60">
        <f t="shared" ref="P287" si="146">((-N287/M287)*IMLOG2(N287/M287))+((-O287/M287)*IMLOG2(O287/M287))</f>
        <v>0.97095059445466747</v>
      </c>
      <c r="Q287" s="2"/>
      <c r="S287" s="2"/>
      <c r="T287" s="2" t="s">
        <v>319</v>
      </c>
      <c r="U287" s="2">
        <f>COUNTIFS($H$4:$H$96,$H$94,$J$4:$J$96,$J$95,$M$4:$M$96,$M$95,$L$4:$L$96,$L$96,$E$4:$E$96,$E$92,$K$4:$K$96,$K$90)</f>
        <v>5</v>
      </c>
      <c r="V287" s="2">
        <f>COUNTIFS($H$4:$H$96,$H$94,$J$4:$J$96,$J$95,$M$4:$M$96,$M$95,$L$4:$L$96,$L$96,$E$4:$E$96,$E$92,$K$4:$K$96,$K$90,$O$4:$O$96,$O$95)</f>
        <v>2</v>
      </c>
      <c r="W287" s="2">
        <f>COUNTIFS($H$4:$H$96,$H$94,$J$4:$J$96,$J$95,$M$4:$M$96,$M$95,$E$4:$E$96,$E$92,$K$4:$K$96,$K$90,$O$4:$O$96,$O$96)</f>
        <v>3</v>
      </c>
      <c r="X287" s="60">
        <f t="shared" ref="X287" si="147">((-V287/U287)*IMLOG2(V287/U287))+((-W287/U287)*IMLOG2(W287/U287))</f>
        <v>0.97095059445466747</v>
      </c>
      <c r="Y287" s="2"/>
      <c r="AA287" s="2"/>
      <c r="AB287" s="2" t="s">
        <v>319</v>
      </c>
      <c r="AC287" s="2">
        <f>COUNTIFS($I$4:$I$96,$I$89,$J$4:$J$96,$J$95,$M$4:$M$96,$M$95,$L$4:$L$96,$L$96,$E$4:$E$96,$E$92,$K$4:$K$96,$K$90,$F$4:$F$96,$F$96)</f>
        <v>3</v>
      </c>
      <c r="AD287" s="2">
        <f>COUNTIFS($I$4:$I$96,$I$89,$J$4:$J$96,$J$95,$M$4:$M$96,$M$95,$L$4:$L$96,$L$96,$E$4:$E$96,$E$92,$K$4:$K$96,$K$90,$F$4:$F$96,$F$96,$O$4:$O$96,$O$95)</f>
        <v>1</v>
      </c>
      <c r="AE287" s="2">
        <f>COUNTIFS($I$4:$I$96,$I$89,$J$4:$J$96,$J$95,$M$4:$M$96,$M$95,$L$4:$L$96,$L$96,$E$4:$E$96,$E$92,$K$4:$K$96,$K$90,$F$4:$F$96,$F$96,$O$4:$O$96,$O$88)</f>
        <v>2</v>
      </c>
      <c r="AF287" s="60">
        <f t="shared" ref="AF287" si="148">((-AD287/AC287)*IMLOG2(AD287/AC287))+((-AE287/AC287)*IMLOG2(AE287/AC287))</f>
        <v>0.91829583405449056</v>
      </c>
      <c r="AG287" s="2"/>
      <c r="AI287" s="2"/>
      <c r="AJ287" s="2" t="s">
        <v>319</v>
      </c>
      <c r="AK287" s="2">
        <f>COUNTIFS($I$4:$I$96,$I$89,$J$4:$J$96,$J$95,$M$4:$M$96,$M$95,$L$4:$L$96,$L$96,$E$4:$E$96,$E$92,$K$4:$K$96,$K$90,$F$4:$F$96,$F$93)</f>
        <v>2</v>
      </c>
      <c r="AL287" s="2">
        <f>COUNTIFS($I$4:$I$96,$I$89,$J$4:$J$96,$J$95,$M$4:$M$96,$M$95,$L$4:$L$96,$L$96,$E$4:$E$96,$E$92,$K$4:$K$96,$K$90,$F$4:$F$96,$F$93,$O$4:$O$96,$O$95)</f>
        <v>1</v>
      </c>
      <c r="AM287" s="2">
        <f>COUNTIFS($I$4:$I$96,$I$89,$J$4:$J$96,$J$95,$M$4:$M$96,$M$95,$L$4:$L$96,$L$96,$E$4:$E$96,$E$92,$K$4:$K$96,$K$90,$F$4:$F$96,$F$93,$O$4:$O$96,$O$88)</f>
        <v>1</v>
      </c>
      <c r="AN287" s="60">
        <f t="shared" ref="AN287" si="149">((-AL287/AK287)*IMLOG2(AL287/AK287))+((-AM287/AK287)*IMLOG2(AM287/AK287))</f>
        <v>1</v>
      </c>
      <c r="AO287" s="2"/>
    </row>
    <row r="288" spans="3:41" x14ac:dyDescent="0.35">
      <c r="C288" s="2"/>
      <c r="D288" s="2" t="s">
        <v>362</v>
      </c>
      <c r="E288" s="2">
        <f>COUNTIFS($H$4:$H$96,$H$38,$J$4:$J$96,$J$92,$E$4:$E$96,$E$93,$M$4:$M$96,$M$96,$M$4:$M$96,$M$96,$L$4:$L$96,$L$96)</f>
        <v>0</v>
      </c>
      <c r="F288" s="2">
        <v>0</v>
      </c>
      <c r="G288" s="2">
        <v>0</v>
      </c>
      <c r="H288" s="2">
        <v>0</v>
      </c>
      <c r="I288" s="2"/>
      <c r="K288" s="2"/>
      <c r="L288" s="2" t="s">
        <v>362</v>
      </c>
      <c r="M288" s="2">
        <f>COUNTIFS($H$4:$H$96,$H$38,$J$4:$J$96,$J$95,$M$4:$M$96,$M$95,$L$4:$L$96,$L$96)</f>
        <v>0</v>
      </c>
      <c r="N288" s="2">
        <f>COUNTIFS($H$4:$H$96,$H$38,$J$4:$J$96,$J$95,$L$4:$L$96,$L$96,$O$4:$O$96,$O$95)</f>
        <v>0</v>
      </c>
      <c r="O288" s="2">
        <f>COUNTIFS($H$4:$H$96,$H$38,$J$4:$J$96,$J$95,$L$4:$L$96,$L$96,$O$4:$O$96,$O$96)</f>
        <v>0</v>
      </c>
      <c r="P288" s="2">
        <v>0</v>
      </c>
      <c r="Q288" s="2"/>
      <c r="S288" s="2"/>
      <c r="T288" s="2" t="s">
        <v>362</v>
      </c>
      <c r="U288" s="2">
        <f>COUNTIFS($H$4:$H$96,$H$38,$J$4:$J$96,$J$95,$M$4:$M$96,$M$95,$L$4:$L$96,$L$96,$K$4:$K$96,$K$90)</f>
        <v>0</v>
      </c>
      <c r="V288" s="2">
        <f>COUNTIFS($H$4:$H$96,$H$38,$J$4:$J$96,$J$95,$L$4:$L$96,$L$96,$O$4:$O$96,$O$95)</f>
        <v>0</v>
      </c>
      <c r="W288" s="2">
        <f>COUNTIFS($H$4:$H$96,$H$38,$J$4:$J$96,$J$95,$L$4:$L$96,$L$96,$O$4:$O$96,$O$96)</f>
        <v>0</v>
      </c>
      <c r="X288" s="2">
        <v>0</v>
      </c>
      <c r="Y288" s="2"/>
      <c r="AA288" s="2"/>
      <c r="AB288" s="2" t="s">
        <v>362</v>
      </c>
      <c r="AC288" s="2">
        <f>COUNTIFS($I$4:$I$96,$I$88,$J$4:$J$96,$J$95,$M$4:$M$96,$M$95,$L$4:$L$96,$L$96)</f>
        <v>0</v>
      </c>
      <c r="AD288" s="2">
        <f>COUNTIFS($I$4:$I$96,$I$83,$J$4:$J$96,$J$95,$M$4:$M$96,$M$95,$O$4:$O$96,$O$95)</f>
        <v>0</v>
      </c>
      <c r="AE288" s="2">
        <f>COUNTIFS($I$4:$I$96,$I$83,$J$4:$J$96,$J$95,$M$4:$M$96,$M$95,$O$4:$O$96,$O$96)</f>
        <v>0</v>
      </c>
      <c r="AF288" s="2">
        <v>0</v>
      </c>
      <c r="AG288" s="2"/>
      <c r="AI288" s="2"/>
      <c r="AJ288" s="2" t="s">
        <v>362</v>
      </c>
      <c r="AK288" s="2">
        <f>COUNTIFS($I$4:$I$96,$I$88,$J$4:$J$96,$J$95,$M$4:$M$96,$M$95,$L$4:$L$96,$L$96)</f>
        <v>0</v>
      </c>
      <c r="AL288" s="2">
        <f>COUNTIFS($I$4:$I$96,$I$83,$J$4:$J$96,$J$95,$M$4:$M$96,$M$95,$O$4:$O$96,$O$95)</f>
        <v>0</v>
      </c>
      <c r="AM288" s="2">
        <f>COUNTIFS($I$4:$I$96,$I$83,$J$4:$J$96,$J$95,$M$4:$M$96,$M$95,$O$4:$O$96,$O$96)</f>
        <v>0</v>
      </c>
      <c r="AN288" s="2">
        <v>0</v>
      </c>
      <c r="AO288" s="2"/>
    </row>
    <row r="289" spans="3:41" x14ac:dyDescent="0.35">
      <c r="C289" s="2"/>
      <c r="D289" s="2"/>
      <c r="E289" s="2"/>
      <c r="F289" s="2"/>
      <c r="G289" s="2"/>
      <c r="H289" s="2"/>
      <c r="I289" s="2"/>
      <c r="K289" s="2"/>
      <c r="L289" s="2"/>
      <c r="M289" s="62">
        <f>SUM(M287:M288)</f>
        <v>5</v>
      </c>
      <c r="N289" s="62">
        <f t="shared" ref="N289:O289" si="150">SUM(N287:N288)</f>
        <v>2</v>
      </c>
      <c r="O289" s="62">
        <f t="shared" si="150"/>
        <v>3</v>
      </c>
      <c r="P289" s="2"/>
      <c r="Q289" s="2"/>
      <c r="S289" s="2"/>
      <c r="T289" s="2"/>
      <c r="U289" s="62">
        <f>SUM(U287:U288)</f>
        <v>5</v>
      </c>
      <c r="V289" s="62">
        <f t="shared" ref="V289:W289" si="151">SUM(V287:V288)</f>
        <v>2</v>
      </c>
      <c r="W289" s="62">
        <f t="shared" si="151"/>
        <v>3</v>
      </c>
      <c r="X289" s="2"/>
      <c r="Y289" s="2"/>
      <c r="AA289" s="90" t="s">
        <v>11</v>
      </c>
      <c r="AB289" s="90"/>
      <c r="AC289" s="90"/>
      <c r="AD289" s="90"/>
      <c r="AE289" s="90"/>
      <c r="AF289" s="90"/>
      <c r="AG289" s="79">
        <f>$AF$277 - (((AC290/$AC$277)* AF290)+((AC291/$AC$277)*AF291))</f>
        <v>0</v>
      </c>
      <c r="AI289" s="90" t="s">
        <v>11</v>
      </c>
      <c r="AJ289" s="90"/>
      <c r="AK289" s="90"/>
      <c r="AL289" s="90"/>
      <c r="AM289" s="90"/>
      <c r="AN289" s="90"/>
      <c r="AO289" s="79">
        <f>$AN$277 - (((AK290/$AK$277)* AN290)+((AK291/$AK$277)*AN291))</f>
        <v>0</v>
      </c>
    </row>
    <row r="290" spans="3:41" x14ac:dyDescent="0.35">
      <c r="C290" s="2" t="s">
        <v>372</v>
      </c>
      <c r="D290" s="2"/>
      <c r="E290" s="2"/>
      <c r="F290" s="2"/>
      <c r="G290" s="2"/>
      <c r="H290" s="2"/>
      <c r="I290" s="60">
        <f>$H$277 - (((E291/$E$277)* H291)+((E292/$E$277)*H292))</f>
        <v>0</v>
      </c>
      <c r="K290" s="2" t="s">
        <v>372</v>
      </c>
      <c r="L290" s="2"/>
      <c r="M290" s="2"/>
      <c r="N290" s="2"/>
      <c r="O290" s="2"/>
      <c r="P290" s="2"/>
      <c r="Q290" s="79">
        <f>$P$277 - (((M291/$M$277)* P291)+((M292/M$243)*P292))</f>
        <v>0</v>
      </c>
      <c r="S290" s="2" t="s">
        <v>372</v>
      </c>
      <c r="T290" s="2"/>
      <c r="U290" s="2"/>
      <c r="V290" s="2"/>
      <c r="W290" s="2"/>
      <c r="X290" s="2"/>
      <c r="Y290" s="79">
        <f>$X$277 - (((U291/$U$277)* X291)+((U292/$U$277)*X292))</f>
        <v>0</v>
      </c>
      <c r="AA290" s="90"/>
      <c r="AB290" s="90" t="s">
        <v>365</v>
      </c>
      <c r="AC290" s="90">
        <f>COUNTIFS($N$4:$N$96,$N$96,$J$4:$J$96,$J$95,$M$4:$M$96,$M$95,$L$4:$L$96,$L$96,$E$4:$E$96,$E$92,$K$4:$K$96,$K$90,$F$4:$F$96,$F$96)</f>
        <v>3</v>
      </c>
      <c r="AD290" s="90">
        <f>COUNTIFS($N$4:$N$96,$N$96,$J$4:$J$96,$J$95,$M$4:$M$96,$M$95,$L$4:$L$96,$L$96,$E$4:$E$96,$E$92,$K$4:$K$96,$K$90,$F$4:$F$96,$F$96,$O$4:$O$96,$O$95)</f>
        <v>1</v>
      </c>
      <c r="AE290" s="90">
        <f>COUNTIFS($N$4:$N$96,$N$96,$J$4:$J$96,$J$95,$M$4:$M$96,$M$95,$L$4:$L$96,$L$96,$E$4:$E$96,$E$92,$K$4:$K$96,$K$90,$F$4:$F$96,$F$96,$O$4:$O$96,$O$96)</f>
        <v>2</v>
      </c>
      <c r="AF290" s="79">
        <f t="shared" ref="AF290" si="152">((-AD290/AC290)*IMLOG2(AD290/AC290))+((-AE290/AC290)*IMLOG2(AE290/AC290))</f>
        <v>0.91829583405449056</v>
      </c>
      <c r="AG290" s="2"/>
      <c r="AI290" s="90"/>
      <c r="AJ290" s="90" t="s">
        <v>365</v>
      </c>
      <c r="AK290" s="90">
        <f>COUNTIFS($N$4:$N$96,$N$96,$J$4:$J$96,$J$95,$M$4:$M$96,$M$95,$L$4:$L$96,$L$96,$E$4:$E$96,$E$92,$K$4:$K$96,$K$90,$F$4:$F$96,$F$93)</f>
        <v>2</v>
      </c>
      <c r="AL290" s="90">
        <f>COUNTIFS($N$4:$N$96,$N$96,$J$4:$J$96,$J$95,$M$4:$M$96,$M$95,$L$4:$L$96,$L$96,$E$4:$E$96,$E$92,$K$4:$K$96,$K$90,$F$4:$F$96,$F$96,$O$4:$O$96,$O$95)</f>
        <v>1</v>
      </c>
      <c r="AM290" s="90">
        <v>1</v>
      </c>
      <c r="AN290" s="79">
        <f t="shared" ref="AN290" si="153">((-AL290/AK290)*IMLOG2(AL290/AK290))+((-AM290/AK290)*IMLOG2(AM290/AK290))</f>
        <v>1</v>
      </c>
      <c r="AO290" s="2"/>
    </row>
    <row r="291" spans="3:41" x14ac:dyDescent="0.35">
      <c r="C291" s="2"/>
      <c r="D291" s="2" t="s">
        <v>319</v>
      </c>
      <c r="E291" s="2">
        <f>COUNTIFS($I$4:$I$96,$I$96,$J$4:$J$96,$J$92,$E$4:$E$96,$E$93,$M$4:$M$96,$M$96,$M$4:$M$96,$M$96,$L$4:$L$96,$L$96)</f>
        <v>12</v>
      </c>
      <c r="F291" s="2">
        <f>COUNTIFS($I$4:$I$96,$I$96,$J$4:$J$96,$J$92,$E$4:$E$96,$E$93,$M$4:$M$96,$M$96,$M$4:$M$96,$M$96,$L$4:$L$96,$L$96,$O$4:$O$96,$O$95)</f>
        <v>3</v>
      </c>
      <c r="G291" s="2">
        <f>COUNTIFS($I$4:$I$96,$I$96,$J$4:$J$96,$J$92,$E$4:$E$96,$E$93,$M$4:$M$96,$M$96,$M$4:$M$96,$M$96,$L$4:$L$96,$L$96,$O$4:$O$96,$O$96)</f>
        <v>9</v>
      </c>
      <c r="H291" s="78">
        <f>((-F291/E291)*IMLOG2(F291/E291))+((-G291/E291)*IMLOG2(G291/E291))</f>
        <v>0.81127812445913294</v>
      </c>
      <c r="I291" s="2"/>
      <c r="K291" s="2"/>
      <c r="L291" s="2" t="s">
        <v>319</v>
      </c>
      <c r="M291" s="2">
        <f>COUNTIFS($I$4:$I$96,$I$89,$J$4:$J$96,$J$95,$M$4:$M$96,$M$95,$L$4:$L$96,$L$96,$E$4:$E$96,$E$92)</f>
        <v>5</v>
      </c>
      <c r="N291" s="2">
        <f>COUNTIFS($I$4:$I$96,$I$89,$J$4:$J$96,$J$95,$M$4:$M$96,$M$95,$L$4:$L$96,$L$96,$E$4:$E$96,$E$92,$O$4:$O$96,$O$95)</f>
        <v>2</v>
      </c>
      <c r="O291" s="2">
        <f>COUNTIFS($I$4:$I$96,$I$89,$J$4:$J$96,$J$95,$M$4:$M$96,$M$95,$L$4:$L$96,$L$96,$E$4:$E$96,$E$92,$O$4:$O$96,$O$88)</f>
        <v>3</v>
      </c>
      <c r="P291" s="60">
        <f t="shared" ref="P291" si="154">((-N291/M291)*IMLOG2(N291/M291))+((-O291/M291)*IMLOG2(O291/M291))</f>
        <v>0.97095059445466747</v>
      </c>
      <c r="Q291" s="2"/>
      <c r="S291" s="2"/>
      <c r="T291" s="2" t="s">
        <v>319</v>
      </c>
      <c r="U291" s="2">
        <f>COUNTIFS($I$4:$I$96,$I$89,$J$4:$J$96,$J$95,$M$4:$M$96,$M$95,$L$4:$L$96,$L$96,$E$4:$E$96,$E$92,$K$4:$K$96,$K$90)</f>
        <v>5</v>
      </c>
      <c r="V291" s="2">
        <f>COUNTIFS($I$4:$I$96,$I$89,$J$4:$J$96,$J$95,$M$4:$M$96,$M$95,$L$4:$L$96,$L$96,$E$4:$E$96,$E$92,$K$4:$K$96,$K$90,$O$4:$O$96,$O$95)</f>
        <v>2</v>
      </c>
      <c r="W291" s="2">
        <f>COUNTIFS($I$4:$I$96,$I$89,$J$4:$J$96,$J$95,$M$4:$M$96,$M$95,$L$4:$L$96,$L$96,$E$4:$E$96,$E$92,$K$4:$K$96,$K$90,$O$4:$O$96,$O$88)</f>
        <v>3</v>
      </c>
      <c r="X291" s="60">
        <f t="shared" ref="X291" si="155">((-V291/U291)*IMLOG2(V291/U291))+((-W291/U291)*IMLOG2(W291/U291))</f>
        <v>0.97095059445466747</v>
      </c>
      <c r="Y291" s="2"/>
      <c r="AA291" s="2"/>
      <c r="AB291" s="2" t="s">
        <v>366</v>
      </c>
      <c r="AC291" s="2">
        <f>COUNTIFS($N$4:$N$96,$N$14,$J$4:$J$96,$J$95,$M$4:$M$96,$M$95,$O$4:$O$96,$O$95)</f>
        <v>0</v>
      </c>
      <c r="AD291" s="2">
        <f t="shared" ref="AD291:AE291" si="156">COUNTIFS($N$4:$N$96,$N$14,$J$4:$J$96,$J$95,$M$4:$M$96,$M$95,$O$4:$O$96,$O$95)</f>
        <v>0</v>
      </c>
      <c r="AE291" s="2">
        <f t="shared" si="156"/>
        <v>0</v>
      </c>
      <c r="AF291" s="2">
        <v>0</v>
      </c>
      <c r="AG291" s="2"/>
      <c r="AI291" s="2"/>
      <c r="AJ291" s="2" t="s">
        <v>366</v>
      </c>
      <c r="AK291" s="2">
        <f>COUNTIFS($N$4:$N$96,$N$14,$J$4:$J$96,$J$95,$M$4:$M$96,$M$95,$O$4:$O$96,$O$95)</f>
        <v>0</v>
      </c>
      <c r="AL291" s="2">
        <f t="shared" ref="AL291:AM291" si="157">COUNTIFS($N$4:$N$96,$N$14,$J$4:$J$96,$J$95,$M$4:$M$96,$M$95,$O$4:$O$96,$O$95)</f>
        <v>0</v>
      </c>
      <c r="AM291" s="2">
        <f t="shared" si="157"/>
        <v>0</v>
      </c>
      <c r="AN291" s="2">
        <v>0</v>
      </c>
      <c r="AO291" s="2"/>
    </row>
    <row r="292" spans="3:41" x14ac:dyDescent="0.35">
      <c r="C292" s="2"/>
      <c r="D292" s="2" t="s">
        <v>362</v>
      </c>
      <c r="E292" s="2">
        <f>COUNTIFS($I$4:$I$96,$I$83,$J$4:$J$96,$J$92,$E$4:$E$96,$E$93,$M$4:$M$96,$M$96,$M$4:$M$96,$M$96,$L$4:$L$96,$L$96)</f>
        <v>0</v>
      </c>
      <c r="F292" s="2">
        <f>COUNTIFS($I$4:$I$96,$I$83,$J$4:$J$96,$J$92,$E$4:$E$96,$E$93,$M$4:$M$96,$M$96,$M$4:$M$96,$M$96,$L$4:$L$96,$L$96,$O$4:$O$96,$O$95)</f>
        <v>0</v>
      </c>
      <c r="G292" s="2">
        <f>COUNTIFS($I$4:$I$96,$I$83,$J$4:$J$96,$J$92,$E$4:$E$96,$E$93,$M$4:$M$96,$M$96,$M$4:$M$96,$M$96,$L$4:$L$96,$L$96,$O$4:$O$96,$O$96)</f>
        <v>0</v>
      </c>
      <c r="H292" s="2">
        <v>0</v>
      </c>
      <c r="I292" s="2"/>
      <c r="K292" s="2"/>
      <c r="L292" s="2" t="s">
        <v>362</v>
      </c>
      <c r="M292" s="2">
        <f>COUNTIFS($I$4:$I$96,$I$88,$J$4:$J$96,$J$95,$M$4:$M$96,$M$95,$L$4:$L$96,$L$96)</f>
        <v>0</v>
      </c>
      <c r="N292" s="2">
        <f>COUNTIFS($I$4:$I$96,$I$83,$J$4:$J$96,$J$95,$M$4:$M$96,$M$95,$O$4:$O$96,$O$95)</f>
        <v>0</v>
      </c>
      <c r="O292" s="2">
        <f>COUNTIFS($I$4:$I$96,$I$83,$J$4:$J$96,$J$95,$M$4:$M$96,$M$95,$O$4:$O$96,$O$96)</f>
        <v>0</v>
      </c>
      <c r="P292" s="2">
        <v>0</v>
      </c>
      <c r="Q292" s="2"/>
      <c r="S292" s="2"/>
      <c r="T292" s="2" t="s">
        <v>362</v>
      </c>
      <c r="U292" s="2">
        <f>COUNTIFS($I$4:$I$96,$I$88,$J$4:$J$96,$J$95,$M$4:$M$96,$M$95,$L$4:$L$96,$L$96)</f>
        <v>0</v>
      </c>
      <c r="V292" s="2">
        <f>COUNTIFS($I$4:$I$96,$I$83,$J$4:$J$96,$J$95,$M$4:$M$96,$M$95,$O$4:$O$96,$O$95)</f>
        <v>0</v>
      </c>
      <c r="W292" s="2">
        <f>COUNTIFS($I$4:$I$96,$I$83,$J$4:$J$96,$J$95,$M$4:$M$96,$M$95,$O$4:$O$96,$O$96)</f>
        <v>0</v>
      </c>
      <c r="X292" s="2">
        <v>0</v>
      </c>
      <c r="Y292" s="2"/>
    </row>
    <row r="293" spans="3:41" x14ac:dyDescent="0.35">
      <c r="C293" s="2"/>
      <c r="D293" s="2"/>
      <c r="E293" s="2"/>
      <c r="F293" s="2"/>
      <c r="G293" s="2"/>
      <c r="H293" s="2"/>
      <c r="I293" s="2"/>
      <c r="K293" s="2"/>
      <c r="L293" s="2"/>
      <c r="M293" s="62">
        <f>SUM(M291:M292)</f>
        <v>5</v>
      </c>
      <c r="N293" s="62">
        <f t="shared" ref="N293:O293" si="158">SUM(N291:N292)</f>
        <v>2</v>
      </c>
      <c r="O293" s="62">
        <f t="shared" si="158"/>
        <v>3</v>
      </c>
      <c r="P293" s="2"/>
      <c r="Q293" s="2"/>
      <c r="S293" s="90" t="s">
        <v>11</v>
      </c>
      <c r="T293" s="90"/>
      <c r="U293" s="90"/>
      <c r="V293" s="90"/>
      <c r="W293" s="90"/>
      <c r="X293" s="90"/>
      <c r="Y293" s="79">
        <f>$X$277 - (((U294/$U$277)* X294)+((U295/$U$277)*X295))</f>
        <v>0</v>
      </c>
    </row>
    <row r="294" spans="3:41" x14ac:dyDescent="0.35">
      <c r="C294" s="2" t="s">
        <v>11</v>
      </c>
      <c r="D294" s="2"/>
      <c r="E294" s="2"/>
      <c r="F294" s="2"/>
      <c r="G294" s="2"/>
      <c r="H294" s="2"/>
      <c r="I294" s="60">
        <f>$H$277 - (((E295/$E$277)* H295)+((E296/$E$277)*H296))</f>
        <v>0</v>
      </c>
      <c r="K294" s="69" t="s">
        <v>373</v>
      </c>
      <c r="L294" s="69"/>
      <c r="M294" s="69"/>
      <c r="N294" s="69"/>
      <c r="O294" s="69"/>
      <c r="P294" s="69"/>
      <c r="Q294" s="105">
        <f>$P$277 - (((M295/$M$277)* P295)+((M296/M$243)*P296)+((M297/$M$277)*P297))</f>
        <v>0.27741445555847644</v>
      </c>
      <c r="S294" s="90"/>
      <c r="T294" s="90" t="s">
        <v>365</v>
      </c>
      <c r="U294" s="90">
        <f>COUNTIFS($N$4:$N$96,$N$96,$J$4:$J$96,$J$95,$M$4:$M$96,$M$95,$L$4:$L$96,$L$96,$E$4:$E$96,$E$92,$K$4:$K$96,$K$90)</f>
        <v>5</v>
      </c>
      <c r="V294" s="90">
        <f>COUNTIFS($N$4:$N$96,$N$96,$J$4:$J$96,$J$95,$M$4:$M$96,$M$95,$L$4:$L$96,$L$96,$E$4:$E$96,$E$92,$K$4:$K$96,$K$90,$O$4:$O$96,$O$95)</f>
        <v>2</v>
      </c>
      <c r="W294" s="90">
        <f>COUNTIFS($N$4:$N$96,$N$96,$J$4:$J$96,$J$95,$M$4:$M$96,$M$95,$L$4:$L$96,$L$96,$E$4:$E$96,$E$92,$K$4:$K$96,$K$90,$O$4:$O$96,$O$96)</f>
        <v>3</v>
      </c>
      <c r="X294" s="79">
        <f t="shared" ref="X294" si="159">((-V294/U294)*IMLOG2(V294/U294))+((-W294/U294)*IMLOG2(W294/U294))</f>
        <v>0.97095059445466747</v>
      </c>
      <c r="Y294" s="2"/>
    </row>
    <row r="295" spans="3:41" ht="14.5" customHeight="1" x14ac:dyDescent="0.35">
      <c r="C295" s="2"/>
      <c r="D295" s="2" t="s">
        <v>365</v>
      </c>
      <c r="E295" s="2">
        <f>COUNTIFS($N$4:$N$96,$N$96,$J$4:$J$96,$J$92,$E$4:$E$96,$E$93,$M$4:$M$96,$M$96,$M$4:$M$96,$M$96,$L$4:$L$96,$L$96)</f>
        <v>12</v>
      </c>
      <c r="F295" s="2">
        <f>COUNTIFS($N$4:$N$96,$N$96,$J$4:$J$96,$J$92,$E$4:$E$96,$E$93,$M$4:$M$96,$M$96,$M$4:$M$96,$M$96,$L$4:$L$96,$L$96,$O$4:$O$96,$O$95)</f>
        <v>3</v>
      </c>
      <c r="G295" s="2">
        <f>COUNTIFS($N$4:$N$96,$N$96,$J$4:$J$96,$J$92,$E$4:$E$96,$E$93,$M$4:$M$96,$M$96,$M$4:$M$96,$M$96,$L$4:$L$96,$L$96,$O$4:$O$96,$O$96)</f>
        <v>9</v>
      </c>
      <c r="H295" s="78">
        <f>((-F295/E295)*IMLOG2(F295/E295))+((-G295/E295)*IMLOG2(G295/E295))</f>
        <v>0.81127812445913294</v>
      </c>
      <c r="I295" s="2"/>
      <c r="K295" s="2"/>
      <c r="L295" s="2" t="s">
        <v>366</v>
      </c>
      <c r="M295" s="2">
        <f>COUNTIFS($K$4:$K$96,$K$95,$J$4:$J$96,$J$95,$M$4:$M$96,$M$95,$L$4:$L$96,$L$96,$E$4:$E$96,$E$92)</f>
        <v>0</v>
      </c>
      <c r="N295" s="2">
        <f>COUNTIFS($K$4:$K$96,$K$95,$J$4:$J$96,$J$95,$M$4:$M$96,$M$95,$L$4:$L$96,$L$96,$E$4:$E$96,$E$92,$O$4:$O$96,$O$95)</f>
        <v>0</v>
      </c>
      <c r="O295" s="2">
        <f>COUNTIFS($K$4:$K$96,$K$95,$J$4:$J$96,$J$95,$M$4:$M$96,$M$95,$L$4:$L$96,$L$96,$E$4:$E$96,$E$92,$O$4:$O$96,$O$96)</f>
        <v>0</v>
      </c>
      <c r="P295" s="60">
        <v>0</v>
      </c>
      <c r="Q295" s="2"/>
      <c r="S295" s="2"/>
      <c r="T295" s="2" t="s">
        <v>366</v>
      </c>
      <c r="U295" s="2">
        <f>COUNTIFS($N$4:$N$96,$N$14,$J$4:$J$96,$J$95,$M$4:$M$96,$M$95,$O$4:$O$96,$O$95)</f>
        <v>0</v>
      </c>
      <c r="V295" s="2">
        <f t="shared" ref="V295:W295" si="160">COUNTIFS($N$4:$N$96,$N$14,$J$4:$J$96,$J$95,$M$4:$M$96,$M$95,$O$4:$O$96,$O$95)</f>
        <v>0</v>
      </c>
      <c r="W295" s="2">
        <f t="shared" si="160"/>
        <v>0</v>
      </c>
      <c r="X295" s="2">
        <v>0</v>
      </c>
      <c r="Y295" s="2"/>
    </row>
    <row r="296" spans="3:41" x14ac:dyDescent="0.35">
      <c r="C296" s="2"/>
      <c r="D296" s="2" t="s">
        <v>366</v>
      </c>
      <c r="E296" s="2">
        <f>COUNTIFS($N$4:$N$96,sedang,$J$4:$J$96,$J$92,$E$4:$E$96,$E$93,$M$4:$M$96,$M$96,$M$4:$M$96,$M$96,$L$4:$L$96,$L$96)</f>
        <v>0</v>
      </c>
      <c r="F296" s="2">
        <f>COUNTIFS($N$4:$N$96,sedang,$J$4:$J$96,$J$92,$E$4:$E$96,$E$93,$M$4:$M$96,$M$96,$M$4:$M$96,$M$96,$L$4:$L$96,$L$96,$O$4:$O$96,$O$95)</f>
        <v>0</v>
      </c>
      <c r="G296" s="2">
        <f>COUNTIFS($N$4:$N$96,sedang,$J$4:$J$96,$J$92,$E$4:$E$96,$E$93,$M$4:$M$96,$M$96,$M$4:$M$96,$M$96,$L$4:$L$96,$L$96,$O$4:$O$96,$O$96)</f>
        <v>0</v>
      </c>
      <c r="H296" s="2">
        <v>0</v>
      </c>
      <c r="I296" s="2"/>
      <c r="K296" s="2"/>
      <c r="L296" s="69" t="s">
        <v>364</v>
      </c>
      <c r="M296" s="69">
        <f>COUNTIFS($K$4:$K$96,$K$70,$J$4:$J$96,$J$95,$M$4:$M$96,$M$95,$E$4:$E$96,$E$92)</f>
        <v>5</v>
      </c>
      <c r="N296" s="69">
        <f>COUNTIFS($K$4:$K$96,$K$70,$J$4:$J$96,$J$95,$M$4:$M$96,$M$95,$E$4:$E$96,$E$92,$O$4:$O$96,$O$95)</f>
        <v>2</v>
      </c>
      <c r="O296" s="69">
        <f>COUNTIFS($K$4:$K$96,$K$70,$J$4:$J$96,$J$95,$M$4:$M$96,$M$95,$E$4:$E$96,$E$92,$O$4:$O$96,$O$96)</f>
        <v>3</v>
      </c>
      <c r="P296" s="87">
        <f t="shared" ref="P296" si="161">((-N296/M296)*IMLOG2(N296/M296))+((-O296/M296)*IMLOG2(O296/M296))</f>
        <v>0.97095059445466747</v>
      </c>
      <c r="Q296" s="2"/>
    </row>
    <row r="297" spans="3:41" x14ac:dyDescent="0.35">
      <c r="C297" s="2"/>
      <c r="D297" s="2"/>
      <c r="E297" s="2"/>
      <c r="F297" s="2"/>
      <c r="G297" s="2"/>
      <c r="H297" s="2"/>
      <c r="I297" s="64">
        <f>MAX(I278:I296)</f>
        <v>0.18424289179001085</v>
      </c>
      <c r="K297" s="2"/>
      <c r="L297" s="2" t="s">
        <v>374</v>
      </c>
      <c r="M297" s="2">
        <f>COUNTIFS($K$4:$K$96,$K$94,$J$4:$J$96,$J$95,$M$4:$M$96,$M$95,$L$4:$L$96,$L$96,$E$4:$E$96,$E$92)</f>
        <v>0</v>
      </c>
      <c r="N297" s="2">
        <f>COUNTIFS($K$4:$K$96,$K$94,$J$4:$J$96,$J$95,$M$4:$M$96,$M$95,$L$4:$L$96,$L$96,$O$4:$O$96,$O$95)</f>
        <v>0</v>
      </c>
      <c r="O297" s="2">
        <f>COUNTIFS($K$4:$K$96,$K$94,$J$4:$J$96,$J$95,$M$4:$M$96,$M$95,$L$4:$L$96,$L$96,$O$4:$O$96,$O$96)</f>
        <v>0</v>
      </c>
      <c r="P297" s="60">
        <v>0</v>
      </c>
      <c r="Q297" s="2"/>
    </row>
    <row r="298" spans="3:41" x14ac:dyDescent="0.35">
      <c r="K298" s="90" t="s">
        <v>11</v>
      </c>
      <c r="L298" s="90"/>
      <c r="M298" s="90"/>
      <c r="N298" s="90"/>
      <c r="O298" s="90"/>
      <c r="P298" s="90"/>
      <c r="Q298" s="79">
        <f>$P$277 - (((M299/$M$277)* P299)+((M300/M$243)*P300))</f>
        <v>0</v>
      </c>
    </row>
    <row r="299" spans="3:41" x14ac:dyDescent="0.35">
      <c r="K299" s="90"/>
      <c r="L299" s="90" t="s">
        <v>365</v>
      </c>
      <c r="M299" s="90">
        <f>COUNTIFS($N$4:$N$96,$N$96,$J$4:$J$96,$J$95,$M$4:$M$96,$M$95,$L$4:$L$96,$L$96,$E$4:$E$96,$E$92)</f>
        <v>5</v>
      </c>
      <c r="N299" s="90">
        <f>COUNTIFS($N$4:$N$96,$N$96,$J$4:$J$96,$J$95,$M$4:$M$96,$M$95,$L$4:$L$96,$L$96,$E$4:$E$96,$E$92,$O$4:$O$96,$O$95)</f>
        <v>2</v>
      </c>
      <c r="O299" s="90">
        <f>COUNTIFS($N$4:$N$96,$N$96,$J$4:$J$96,$J$95,$M$4:$M$96,$M$95,$L$4:$L$96,$L$96,$E$4:$E$96,$E$92,$O$4:$O$96,$O$96)</f>
        <v>3</v>
      </c>
      <c r="P299" s="79">
        <f t="shared" ref="P299" si="162">((-N299/M299)*IMLOG2(N299/M299))+((-O299/M299)*IMLOG2(O299/M299))</f>
        <v>0.97095059445466747</v>
      </c>
      <c r="Q299" s="2"/>
    </row>
    <row r="300" spans="3:41" x14ac:dyDescent="0.35">
      <c r="C300" s="56" t="s">
        <v>383</v>
      </c>
      <c r="D300" s="57"/>
      <c r="E300" s="58" t="s">
        <v>356</v>
      </c>
      <c r="F300" s="58" t="s">
        <v>357</v>
      </c>
      <c r="G300" s="59" t="s">
        <v>358</v>
      </c>
      <c r="H300" s="58" t="s">
        <v>359</v>
      </c>
      <c r="I300" s="58" t="s">
        <v>360</v>
      </c>
      <c r="K300" s="2"/>
      <c r="L300" s="2" t="s">
        <v>366</v>
      </c>
      <c r="M300" s="2">
        <f>COUNTIFS($N$4:$N$96,$N$14,$J$4:$J$96,$J$95,$M$4:$M$96,$M$95,$O$4:$O$96,$O$95)</f>
        <v>0</v>
      </c>
      <c r="N300" s="2">
        <f t="shared" ref="N300:O300" si="163">COUNTIFS($N$4:$N$96,$N$14,$J$4:$J$96,$J$95,$M$4:$M$96,$M$95,$O$4:$O$96,$O$95)</f>
        <v>0</v>
      </c>
      <c r="O300" s="2">
        <f t="shared" si="163"/>
        <v>0</v>
      </c>
      <c r="P300" s="2">
        <v>0</v>
      </c>
      <c r="Q300" s="2"/>
    </row>
    <row r="301" spans="3:41" ht="54" customHeight="1" x14ac:dyDescent="0.35">
      <c r="C301" s="226" t="s">
        <v>391</v>
      </c>
      <c r="D301" s="227"/>
      <c r="E301" s="77">
        <f>E279</f>
        <v>11</v>
      </c>
      <c r="F301" s="77">
        <f>F279</f>
        <v>2</v>
      </c>
      <c r="G301" s="77">
        <f>G277</f>
        <v>9</v>
      </c>
      <c r="H301" s="78">
        <f>((-F301/E301)*IMLOG2(F301/E301))+((-G301/E301)*IMLOG2(G301/E301))</f>
        <v>0.68403843563904232</v>
      </c>
      <c r="I301" s="76"/>
      <c r="K301" s="2"/>
      <c r="L301" s="2"/>
      <c r="M301" s="2"/>
      <c r="N301" s="2"/>
      <c r="O301" s="2"/>
      <c r="P301" s="2"/>
      <c r="Q301" s="2"/>
    </row>
    <row r="302" spans="3:41" x14ac:dyDescent="0.35">
      <c r="C302" s="69" t="s">
        <v>368</v>
      </c>
      <c r="D302" s="69"/>
      <c r="E302" s="69"/>
      <c r="F302" s="69"/>
      <c r="G302" s="69"/>
      <c r="H302" s="69"/>
      <c r="I302" s="87">
        <f>$H$301 - (((E303/$E$301)* H303)+((E304/$E$301)*H304))</f>
        <v>5.8780203041080892E-2</v>
      </c>
      <c r="K302" s="2"/>
      <c r="L302" s="2"/>
      <c r="M302" s="2"/>
      <c r="N302" s="2"/>
      <c r="O302" s="2"/>
      <c r="P302" s="2"/>
      <c r="Q302" s="64">
        <f>MAX(Q273:Q298)</f>
        <v>0.27741445555847644</v>
      </c>
    </row>
    <row r="303" spans="3:41" x14ac:dyDescent="0.35">
      <c r="C303" s="69"/>
      <c r="D303" s="69" t="s">
        <v>319</v>
      </c>
      <c r="E303" s="69">
        <f>COUNTIFS($G$4:$G$96,$G$91,$J$4:$J$96,$J$92,$E$4:$E$96,$E$93,$M$4:$M$96,$M$96,$M$4:$M$96,$M$96,$L$4:$L$96,$L$96,$F$4:$F$96,$F$4)</f>
        <v>9</v>
      </c>
      <c r="F303" s="69">
        <f>COUNTIFS($G$4:$G$96,$G$91,$J$4:$J$96,$J$92,$E$4:$E$96,$E$93,$M$4:$M$96,$M$96,$M$4:$M$96,$M$96,$L$4:$L$96,$L$96,$F$4:$F$96,$F$4,$O$4:$O$96,$O$95)</f>
        <v>2</v>
      </c>
      <c r="G303" s="69">
        <f>COUNTIFS($G$4:$G$96,$G$91,$J$4:$J$96,$J$92,$E$4:$E$96,$E$93,$M$4:$M$96,$M$96,$M$4:$M$96,$M$96,$L$4:$L$96,$L$96,$F$4:$F$96,$F$4,$O$4:$O$96,$O$96)</f>
        <v>7</v>
      </c>
      <c r="H303" s="98">
        <f>((-F303/E303)*IMLOG2(F303/E303))+((-G303/E303)*IMLOG2(G303/E303))</f>
        <v>0.76420450650861949</v>
      </c>
      <c r="I303" s="69"/>
      <c r="K303" s="2"/>
      <c r="L303" s="2"/>
      <c r="M303" s="2"/>
      <c r="N303" s="2"/>
      <c r="O303" s="2"/>
      <c r="P303" s="2"/>
      <c r="Q303" s="2"/>
    </row>
    <row r="304" spans="3:41" x14ac:dyDescent="0.35">
      <c r="C304" s="2"/>
      <c r="D304" s="2" t="s">
        <v>362</v>
      </c>
      <c r="E304" s="2">
        <f>COUNTIFS($G$4:$G$96,$G$78,$J$4:$J$96,$J$92,$E$4:$E$96,$E$93,$M$4:$M$96,$M$96,$M$4:$M$96,$M$96,$L$4:$L$96,$L$96,$F$4:$F$96,$F$4)</f>
        <v>2</v>
      </c>
      <c r="F304" s="2">
        <f>COUNTIFS($G$4:$G$96,$G$78,$J$4:$J$96,$J$92,$E$4:$E$96,$E$93,$M$4:$M$96,$M$96,$M$4:$M$96,$M$96,$L$4:$L$96,$L$96,$F$4:$F$96,$F$4,O4:O96,O95)</f>
        <v>0</v>
      </c>
      <c r="G304" s="2">
        <f>COUNTIFS($G$4:$G$96,$G$78,$J$4:$J$96,$J$92,$E$4:$E$96,$E$93,$M$4:$M$96,$M$96,$M$4:$M$96,$M$96,$L$4:$L$96,$L$96,$F$4:$F$96,$F$4,$O$4:$O$96,$O$96)</f>
        <v>2</v>
      </c>
      <c r="H304" s="2">
        <v>0</v>
      </c>
      <c r="I304" s="2"/>
    </row>
    <row r="305" spans="3:17" x14ac:dyDescent="0.35">
      <c r="C305" s="2"/>
      <c r="D305" s="2"/>
      <c r="E305" s="2">
        <f>SUM(E303:E304)</f>
        <v>11</v>
      </c>
      <c r="F305" s="2">
        <f t="shared" ref="F305:G305" si="164">SUM(F303:F304)</f>
        <v>2</v>
      </c>
      <c r="G305" s="2">
        <f t="shared" si="164"/>
        <v>9</v>
      </c>
      <c r="H305" s="2"/>
      <c r="I305" s="2"/>
      <c r="K305" s="41"/>
      <c r="L305" s="41"/>
      <c r="M305" s="99"/>
      <c r="N305" s="99"/>
      <c r="O305" s="104"/>
      <c r="P305" s="99"/>
      <c r="Q305" s="99"/>
    </row>
    <row r="306" spans="3:17" x14ac:dyDescent="0.35">
      <c r="C306" s="88" t="s">
        <v>369</v>
      </c>
      <c r="D306" s="88"/>
      <c r="E306" s="88"/>
      <c r="F306" s="88"/>
      <c r="G306" s="88"/>
      <c r="H306" s="88"/>
      <c r="I306" s="89">
        <f>$H$301 - (((E307/$E$301)* H307)+((E308/$E$301)*H308))</f>
        <v>0</v>
      </c>
      <c r="K306" s="106"/>
      <c r="L306" s="106"/>
      <c r="M306" s="100"/>
      <c r="N306" s="100"/>
      <c r="O306" s="101"/>
      <c r="P306" s="102"/>
      <c r="Q306" s="100"/>
    </row>
    <row r="307" spans="3:17" x14ac:dyDescent="0.35">
      <c r="C307" s="88"/>
      <c r="D307" s="88" t="s">
        <v>319</v>
      </c>
      <c r="E307" s="88">
        <f>COUNTIFS($H$4:$H$96,$H$96,$J$4:$J$96,$J$92,$E$4:$E$96,$E$93,$M$4:$M$96,$M$96,$M$4:$M$96,$M$96,$L$4:$L$96,$L$96,$F$4:$F$96,$F$4)</f>
        <v>11</v>
      </c>
      <c r="F307" s="88">
        <f>COUNTIFS($H$4:$H$96,$H$96,$J$4:$J$96,$J$92,$E$4:$E$96,$E$93,$M$4:$M$96,$M$96,$M$4:$M$96,$M$96,$L$4:$L$96,$L$96,$F$4:$F$96,$F$4,$O$4:$O$96,$O$95)</f>
        <v>2</v>
      </c>
      <c r="G307" s="88">
        <f>COUNTIFS($H$4:$H$96,$H$96,$J$4:$J$96,$J$92,$E$4:$E$96,$E$93,$M$4:$M$96,$M$96,$M$4:$M$96,$M$96,$L$4:$L$96,$L$96,$F$4:$F$96,$F$4,$O$4:$O$96,$O$96)</f>
        <v>9</v>
      </c>
      <c r="H307" s="103">
        <f>((-F307/E307)*IMLOG2(F307/E307))+((-G307/E307)*IMLOG2(G307/E307))</f>
        <v>0.68403843563904232</v>
      </c>
      <c r="I307" s="88"/>
    </row>
    <row r="308" spans="3:17" x14ac:dyDescent="0.35">
      <c r="C308" s="2"/>
      <c r="D308" s="2" t="s">
        <v>362</v>
      </c>
      <c r="E308" s="2">
        <f>COUNTIFS($H$4:$H$96,$H$38,$J$4:$J$96,$J$92,$E$4:$E$96,$E$93,$M$4:$M$96,$M$96,$M$4:$M$96,$M$96,$L$4:$L$96,$L$96,$F$4:$F$96,$F$4)</f>
        <v>0</v>
      </c>
      <c r="F308" s="2">
        <v>0</v>
      </c>
      <c r="G308" s="2">
        <v>0</v>
      </c>
      <c r="H308" s="2">
        <v>0</v>
      </c>
      <c r="I308" s="2"/>
    </row>
    <row r="309" spans="3:17" x14ac:dyDescent="0.35">
      <c r="C309" s="2"/>
      <c r="D309" s="2"/>
      <c r="E309" s="2"/>
      <c r="F309" s="2"/>
      <c r="G309" s="2"/>
      <c r="H309" s="2"/>
      <c r="I309" s="2"/>
    </row>
    <row r="310" spans="3:17" x14ac:dyDescent="0.35">
      <c r="C310" s="88" t="s">
        <v>372</v>
      </c>
      <c r="D310" s="88"/>
      <c r="E310" s="88"/>
      <c r="F310" s="88"/>
      <c r="G310" s="88"/>
      <c r="H310" s="88"/>
      <c r="I310" s="89">
        <f>$H$301 - (((E311/$E$301)* H311)+((E312/$E$301)*H312))</f>
        <v>0</v>
      </c>
    </row>
    <row r="311" spans="3:17" x14ac:dyDescent="0.35">
      <c r="C311" s="88"/>
      <c r="D311" s="88" t="s">
        <v>319</v>
      </c>
      <c r="E311" s="88">
        <f>COUNTIFS($I$4:$I$96,$I$96,$J$4:$J$96,$J$92,$E$4:$E$96,$E$93,$M$4:$M$96,$M$96,$M$4:$M$96,$M$96,$L$4:$L$96,$L$96,$F$4:$F$96,$F$4)</f>
        <v>11</v>
      </c>
      <c r="F311" s="88">
        <f>COUNTIFS($I$4:$I$96,$I$96,$J$4:$J$96,$J$92,$E$4:$E$96,$E$93,$M$4:$M$96,$M$96,$M$4:$M$96,$M$96,$L$4:$L$96,$L$96,$F$4:$F$96,$F$4,$O$4:$O$96,$O$95)</f>
        <v>2</v>
      </c>
      <c r="G311" s="88">
        <f>COUNTIFS($I$4:$I$96,$I$96,$J$4:$J$96,$J$92,$E$4:$E$96,$E$93,$M$4:$M$96,$M$96,$M$4:$M$96,$M$96,$L$4:$L$96,$L$96,$F$4:$F$96,$F$4,$O$4:$O$96,$O$96)</f>
        <v>9</v>
      </c>
      <c r="H311" s="103">
        <f>((-F311/E311)*IMLOG2(F311/E311))+((-G311/E311)*IMLOG2(G311/E311))</f>
        <v>0.68403843563904232</v>
      </c>
      <c r="I311" s="88"/>
    </row>
    <row r="312" spans="3:17" x14ac:dyDescent="0.35">
      <c r="C312" s="88"/>
      <c r="D312" s="88" t="s">
        <v>362</v>
      </c>
      <c r="E312" s="88">
        <f>COUNTIFS($I$4:$I$96,$I$83,$J$4:$J$96,$J$92,$E$4:$E$96,$E$93,$M$4:$M$96,$M$96,$M$4:$M$96,$M$96,$L$4:$L$96,$L$96)</f>
        <v>0</v>
      </c>
      <c r="F312" s="88">
        <f>COUNTIFS($I$4:$I$96,$I$83,$J$4:$J$96,$J$92,$E$4:$E$96,$E$93,$M$4:$M$96,$M$96,$M$4:$M$96,$M$96,$L$4:$L$96,$L$96,$O$4:$O$96,$O$95)</f>
        <v>0</v>
      </c>
      <c r="G312" s="88">
        <f>COUNTIFS($I$4:$I$96,$I$83,$J$4:$J$96,$J$92,$E$4:$E$96,$E$93,$M$4:$M$96,$M$96,$M$4:$M$96,$M$96,$L$4:$L$96,$L$96,$O$4:$O$96,$O$96)</f>
        <v>0</v>
      </c>
      <c r="H312" s="88">
        <v>0</v>
      </c>
      <c r="I312" s="88"/>
    </row>
    <row r="313" spans="3:17" x14ac:dyDescent="0.35">
      <c r="C313" s="88"/>
      <c r="D313" s="88"/>
      <c r="E313" s="88"/>
      <c r="F313" s="88"/>
      <c r="G313" s="88"/>
      <c r="H313" s="88"/>
      <c r="I313" s="88"/>
    </row>
    <row r="314" spans="3:17" x14ac:dyDescent="0.35">
      <c r="C314" s="88" t="s">
        <v>11</v>
      </c>
      <c r="D314" s="88"/>
      <c r="E314" s="88"/>
      <c r="F314" s="88"/>
      <c r="G314" s="88"/>
      <c r="H314" s="88"/>
      <c r="I314" s="89">
        <f>$H$301 - (((E315/$E$301)* H315)+((E316/$E$301)*H316))</f>
        <v>0</v>
      </c>
    </row>
    <row r="315" spans="3:17" x14ac:dyDescent="0.35">
      <c r="C315" s="88"/>
      <c r="D315" s="88" t="s">
        <v>365</v>
      </c>
      <c r="E315" s="88">
        <f>COUNTIFS($N$4:$N$96,$N$96,$J$4:$J$96,$J$92,$E$4:$E$96,$E$93,$M$4:$M$96,$M$96,$M$4:$M$96,$M$96,$L$4:$L$96,$L$96,$F$4:$F$96,$F$4)</f>
        <v>11</v>
      </c>
      <c r="F315" s="88">
        <f>COUNTIFS($N$4:$N$96,$N$96,$J$4:$J$96,$J$92,$E$4:$E$96,$E$93,$M$4:$M$96,$M$96,$M$4:$M$96,$M$96,$L$4:$L$96,$L$96,$F$4:$F$96,$F$4,$O$4:$O$96,$O$95)</f>
        <v>2</v>
      </c>
      <c r="G315" s="88">
        <f>COUNTIFS($N$4:$N$96,$N$96,$J$4:$J$96,$J$92,$E$4:$E$96,$E$93,$M$4:$M$96,$M$96,$M$4:$M$96,$M$96,$L$4:$L$96,$L$96,$O$4:$O$96,$O$96)</f>
        <v>9</v>
      </c>
      <c r="H315" s="103">
        <f>((-F315/E315)*IMLOG2(F315/E315))+((-G315/E315)*IMLOG2(G315/E315))</f>
        <v>0.68403843563904232</v>
      </c>
      <c r="I315" s="88"/>
    </row>
    <row r="316" spans="3:17" x14ac:dyDescent="0.35">
      <c r="C316" s="2"/>
      <c r="D316" s="2" t="s">
        <v>366</v>
      </c>
      <c r="E316" s="2">
        <f>COUNTIFS($N$4:$N$96,sedang,$J$4:$J$96,$J$92,$E$4:$E$96,$E$93,$M$4:$M$96,$M$96,$M$4:$M$96,$M$96,$L$4:$L$96,$L$96,$F$4:$F$96,$F$4)</f>
        <v>0</v>
      </c>
      <c r="F316" s="2">
        <f>COUNTIFS($N$4:$N$96,sedang,$J$4:$J$96,$J$92,$E$4:$E$96,$E$93,$M$4:$M$96,$M$96,$M$4:$M$96,$M$96,$L$4:$L$96,$L$96,$O$4:$O$96,$O$95)</f>
        <v>0</v>
      </c>
      <c r="G316" s="2">
        <f>COUNTIFS($N$4:$N$96,sedang,$J$4:$J$96,$J$92,$E$4:$E$96,$E$93,$M$4:$M$96,$M$96,$M$4:$M$96,$M$96,$L$4:$L$96,$L$96,$O$4:$O$96,$O$96)</f>
        <v>0</v>
      </c>
      <c r="H316" s="2">
        <v>0</v>
      </c>
      <c r="I316" s="2"/>
    </row>
    <row r="317" spans="3:17" x14ac:dyDescent="0.35">
      <c r="C317" s="2"/>
      <c r="D317" s="2"/>
      <c r="E317" s="2"/>
      <c r="F317" s="2"/>
      <c r="G317" s="2"/>
      <c r="H317" s="2"/>
      <c r="I317" s="64">
        <f>MAX(I302:I316)</f>
        <v>5.8780203041080892E-2</v>
      </c>
    </row>
    <row r="319" spans="3:17" x14ac:dyDescent="0.35">
      <c r="C319" s="56" t="s">
        <v>383</v>
      </c>
      <c r="D319" s="57"/>
      <c r="E319" s="58" t="s">
        <v>356</v>
      </c>
      <c r="F319" s="58" t="s">
        <v>357</v>
      </c>
      <c r="G319" s="59" t="s">
        <v>358</v>
      </c>
      <c r="H319" s="58" t="s">
        <v>359</v>
      </c>
      <c r="I319" s="58" t="s">
        <v>360</v>
      </c>
    </row>
    <row r="320" spans="3:17" ht="72.5" customHeight="1" x14ac:dyDescent="0.35">
      <c r="C320" s="226" t="s">
        <v>392</v>
      </c>
      <c r="D320" s="227"/>
      <c r="E320" s="77">
        <f>E303</f>
        <v>9</v>
      </c>
      <c r="F320" s="77">
        <f>F303</f>
        <v>2</v>
      </c>
      <c r="G320" s="77">
        <f>G283</f>
        <v>7</v>
      </c>
      <c r="H320" s="78">
        <f>((-F320/E320)*IMLOG2(F320/E320))+((-G320/E320)*IMLOG2(G320/E320))</f>
        <v>0.76420450650861949</v>
      </c>
      <c r="I320" s="76"/>
    </row>
    <row r="321" spans="3:9" x14ac:dyDescent="0.35">
      <c r="C321" s="88" t="s">
        <v>369</v>
      </c>
      <c r="D321" s="88"/>
      <c r="E321" s="88"/>
      <c r="F321" s="88"/>
      <c r="G321" s="88"/>
      <c r="H321" s="88"/>
      <c r="I321" s="89">
        <f>$H$320 - (((E322/$E$320)* H322)+((E323/$E$320)*H323))</f>
        <v>0</v>
      </c>
    </row>
    <row r="322" spans="3:9" x14ac:dyDescent="0.35">
      <c r="C322" s="88"/>
      <c r="D322" s="88" t="s">
        <v>319</v>
      </c>
      <c r="E322" s="88">
        <f>COUNTIFS($H$4:$H$96,$H$96,$J$4:$J$96,$J$92,$E$4:$E$96,$E$93,$M$4:$M$96,$M$96,$M$4:$M$96,$M$96,$L$4:$L$96,$L$96,$F$4:$F$96,$F$4,$G$4:$G$96,$G$96)</f>
        <v>9</v>
      </c>
      <c r="F322" s="88">
        <f>COUNTIFS($H$4:$H$96,$H$96,$J$4:$J$96,$J$92,$E$4:$E$96,$E$93,$M$4:$M$96,$M$96,$M$4:$M$96,$M$96,$L$4:$L$96,$L$96,$F$4:$F$96,$F$4,$G$4:$G$96,$G$96,$O$4:$O$96,$O$95)</f>
        <v>2</v>
      </c>
      <c r="G322" s="88">
        <f>COUNTIFS($H$4:$H$96,$H$96,$J$4:$J$96,$J$92,$E$4:$E$96,$E$93,$M$4:$M$96,$M$96,$M$4:$M$96,$M$96,$L$4:$L$96,$L$96,$F$4:$F$96,$F$4,$G$4:$G$96,$G$96,$O$4:$O$96,$O$96)</f>
        <v>7</v>
      </c>
      <c r="H322" s="103">
        <f>((-F322/E322)*IMLOG2(F322/E322))+((-G322/E322)*IMLOG2(G322/E322))</f>
        <v>0.76420450650861949</v>
      </c>
      <c r="I322" s="88"/>
    </row>
    <row r="323" spans="3:9" x14ac:dyDescent="0.35">
      <c r="C323" s="2"/>
      <c r="D323" s="2" t="s">
        <v>362</v>
      </c>
      <c r="E323" s="2">
        <f>COUNTIFS($H$4:$H$96,$H$38,$J$4:$J$96,$J$92,$E$4:$E$96,$E$93,$M$4:$M$96,$M$96,$M$4:$M$96,$M$96,$L$4:$L$96,$L$96,$F$4:$F$96,$F$4,$G$4:$G$96,$G$96)</f>
        <v>0</v>
      </c>
      <c r="F323" s="2">
        <v>0</v>
      </c>
      <c r="G323" s="2">
        <v>0</v>
      </c>
      <c r="H323" s="2">
        <v>0</v>
      </c>
      <c r="I323" s="2"/>
    </row>
    <row r="324" spans="3:9" x14ac:dyDescent="0.35">
      <c r="C324" s="2"/>
      <c r="D324" s="2"/>
      <c r="E324" s="2"/>
      <c r="F324" s="2"/>
      <c r="G324" s="2"/>
      <c r="H324" s="2"/>
      <c r="I324" s="2"/>
    </row>
    <row r="325" spans="3:9" x14ac:dyDescent="0.35">
      <c r="C325" s="88" t="s">
        <v>372</v>
      </c>
      <c r="D325" s="88"/>
      <c r="E325" s="88"/>
      <c r="F325" s="88"/>
      <c r="G325" s="88"/>
      <c r="H325" s="88"/>
      <c r="I325" s="89">
        <f>$H$320 - (((E326/$E$320)* H326)+((E327/$E$320)*H327))</f>
        <v>0</v>
      </c>
    </row>
    <row r="326" spans="3:9" x14ac:dyDescent="0.35">
      <c r="C326" s="88"/>
      <c r="D326" s="88" t="s">
        <v>319</v>
      </c>
      <c r="E326" s="88">
        <f>COUNTIFS($I$4:$I$96,$I$96,$J$4:$J$96,$J$92,$E$4:$E$96,$E$93,$M$4:$M$96,$M$96,$M$4:$M$96,$M$96,$L$4:$L$96,$L$96,$F$4:$F$96,$F$4,$G$4:$G$96,$G$96)</f>
        <v>9</v>
      </c>
      <c r="F326" s="88">
        <f>COUNTIFS($I$4:$I$96,$I$96,$J$4:$J$96,$J$92,$E$4:$E$96,$E$93,$M$4:$M$96,$M$96,$M$4:$M$96,$M$96,$L$4:$L$96,$L$96,$F$4:$F$96,$F$4,$G$4:$G$96,$G$96,$O$4:$O$96,$O$95)</f>
        <v>2</v>
      </c>
      <c r="G326" s="88">
        <f>COUNTIFS($I$4:$I$96,$I$96,$J$4:$J$96,$J$92,$E$4:$E$96,$E$93,$M$4:$M$96,$M$96,$M$4:$M$96,$M$96,$L$4:$L$96,$L$96,$F$4:$F$96,$F$4,$G$4:$G$96,$G$96,$O$4:$O$96,$O$96)</f>
        <v>7</v>
      </c>
      <c r="H326" s="103">
        <f>((-F326/E326)*IMLOG2(F326/E326))+((-G326/E326)*IMLOG2(G326/E326))</f>
        <v>0.76420450650861949</v>
      </c>
      <c r="I326" s="88"/>
    </row>
    <row r="327" spans="3:9" x14ac:dyDescent="0.35">
      <c r="C327" s="88"/>
      <c r="D327" s="88" t="s">
        <v>362</v>
      </c>
      <c r="E327" s="88">
        <f>COUNTIFS($I$4:$I$96,$I$83,$J$4:$J$96,$J$92,$E$4:$E$96,$E$93,$M$4:$M$96,$M$96,$M$4:$M$96,$M$96,$L$4:$L$96,$L$96)</f>
        <v>0</v>
      </c>
      <c r="F327" s="88">
        <f>COUNTIFS($I$4:$I$96,$I$83,$J$4:$J$96,$J$92,$E$4:$E$96,$E$93,$M$4:$M$96,$M$96,$M$4:$M$96,$M$96,$L$4:$L$96,$L$96,$O$4:$O$96,$O$95)</f>
        <v>0</v>
      </c>
      <c r="G327" s="88">
        <f>COUNTIFS($I$4:$I$96,$I$83,$J$4:$J$96,$J$92,$E$4:$E$96,$E$93,$M$4:$M$96,$M$96,$M$4:$M$96,$M$96,$L$4:$L$96,$L$96,$O$4:$O$96,$O$96)</f>
        <v>0</v>
      </c>
      <c r="H327" s="88">
        <v>0</v>
      </c>
      <c r="I327" s="88"/>
    </row>
    <row r="328" spans="3:9" x14ac:dyDescent="0.35">
      <c r="C328" s="88"/>
      <c r="D328" s="88"/>
      <c r="E328" s="88"/>
      <c r="F328" s="88"/>
      <c r="G328" s="88"/>
      <c r="H328" s="88"/>
      <c r="I328" s="88"/>
    </row>
    <row r="329" spans="3:9" x14ac:dyDescent="0.35">
      <c r="C329" s="88" t="s">
        <v>11</v>
      </c>
      <c r="D329" s="88"/>
      <c r="E329" s="88"/>
      <c r="F329" s="88"/>
      <c r="G329" s="88"/>
      <c r="H329" s="88"/>
      <c r="I329" s="89">
        <f>$H$320 - (((E330/$E$320)* H330)+((E331/$E$320)*H331))</f>
        <v>0</v>
      </c>
    </row>
    <row r="330" spans="3:9" x14ac:dyDescent="0.35">
      <c r="C330" s="88"/>
      <c r="D330" s="88" t="s">
        <v>365</v>
      </c>
      <c r="E330" s="88">
        <f>COUNTIFS($N$4:$N$96,$N$96,$J$4:$J$96,$J$92,$E$4:$E$96,$E$93,$M$4:$M$96,$M$96,$M$4:$M$96,$M$96,$L$4:$L$96,$L$96,$F$4:$F$96,$F$4,$G$4:$G$96,$G$96)</f>
        <v>9</v>
      </c>
      <c r="F330" s="88">
        <f>COUNTIFS($N$4:$N$96,$N$96,$J$4:$J$96,$J$92,$E$4:$E$96,$E$93,$M$4:$M$96,$M$96,$M$4:$M$96,$M$96,$L$4:$L$96,$L$96,$F$4:$F$96,$F$4,$G$4:$G$96,$G$96,$O$4:$O$96,$O$95)</f>
        <v>2</v>
      </c>
      <c r="G330" s="88">
        <f>COUNTIFS($N$4:$N$96,$N$96,$J$4:$J$96,$J$92,$E$4:$E$96,$E$93,$M$4:$M$96,$M$96,$M$4:$M$96,$M$96,$L$4:$L$96,$L$96,$F$4:$F$96,$F$4,$G$4:$G$96,$G$96,$O$4:$O$96,$O$96)</f>
        <v>7</v>
      </c>
      <c r="H330" s="103">
        <f>((-F330/E330)*IMLOG2(F330/E330))+((-G330/E330)*IMLOG2(G330/E330))</f>
        <v>0.76420450650861949</v>
      </c>
      <c r="I330" s="88"/>
    </row>
    <row r="331" spans="3:9" x14ac:dyDescent="0.35">
      <c r="C331" s="2"/>
      <c r="D331" s="2" t="s">
        <v>366</v>
      </c>
      <c r="E331" s="2">
        <f>COUNTIFS($N$4:$N$96,sedang,$J$4:$J$96,$J$92,$E$4:$E$96,$E$93,$M$4:$M$96,$M$96,$M$4:$M$96,$M$96,$L$4:$L$96,$L$96,$F$4:$F$96,$F$4,$G$4:$G$96,$G$96)</f>
        <v>0</v>
      </c>
      <c r="F331" s="2">
        <f>COUNTIFS($N$4:$N$96,sedang,$J$4:$J$96,$J$92,$E$4:$E$96,$E$93,$M$4:$M$96,$M$96,$M$4:$M$96,$M$96,$L$4:$L$96,$L$96,$O$4:$O$96,$O$95)</f>
        <v>0</v>
      </c>
      <c r="G331" s="2">
        <f>COUNTIFS($N$4:$N$96,sedang,$J$4:$J$96,$J$92,$E$4:$E$96,$E$93,$M$4:$M$96,$M$96,$M$4:$M$96,$M$96,$L$4:$L$96,$L$96,$O$4:$O$96,$O$96)</f>
        <v>0</v>
      </c>
      <c r="H331" s="2">
        <v>0</v>
      </c>
      <c r="I331" s="2"/>
    </row>
    <row r="332" spans="3:9" x14ac:dyDescent="0.35">
      <c r="C332" s="2"/>
      <c r="D332" s="2"/>
      <c r="E332" s="2"/>
      <c r="F332" s="2"/>
      <c r="G332" s="2"/>
      <c r="H332" s="2"/>
      <c r="I332" s="64">
        <f>MAX(I321:I331)</f>
        <v>0</v>
      </c>
    </row>
  </sheetData>
  <autoFilter ref="A3:O96" xr:uid="{4E6224B1-B429-425E-AF9F-8C92307C1B2E}"/>
  <mergeCells count="13">
    <mergeCell ref="AI277:AJ277"/>
    <mergeCell ref="S277:T277"/>
    <mergeCell ref="AA277:AB277"/>
    <mergeCell ref="C301:D301"/>
    <mergeCell ref="C320:D320"/>
    <mergeCell ref="K277:L277"/>
    <mergeCell ref="S243:T243"/>
    <mergeCell ref="A1:O1"/>
    <mergeCell ref="C243:D243"/>
    <mergeCell ref="C277:D277"/>
    <mergeCell ref="K202:L202"/>
    <mergeCell ref="K243:L243"/>
    <mergeCell ref="K106:L10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5CCC-2FDE-4817-8F1C-B7B6F807EB65}">
  <dimension ref="A2:AD339"/>
  <sheetViews>
    <sheetView tabSelected="1" topLeftCell="J1" zoomScale="70" zoomScaleNormal="70" workbookViewId="0">
      <selection activeCell="AC35" sqref="AC35"/>
    </sheetView>
  </sheetViews>
  <sheetFormatPr defaultRowHeight="14.5" x14ac:dyDescent="0.35"/>
  <cols>
    <col min="1" max="1" width="6.26953125" customWidth="1"/>
    <col min="2" max="2" width="17" hidden="1" customWidth="1"/>
    <col min="3" max="3" width="18.7265625" customWidth="1"/>
    <col min="4" max="4" width="9.54296875" customWidth="1"/>
    <col min="5" max="5" width="13.54296875" customWidth="1"/>
    <col min="6" max="6" width="12.81640625" customWidth="1"/>
    <col min="7" max="7" width="17.7265625" customWidth="1"/>
    <col min="8" max="8" width="12.26953125" customWidth="1"/>
    <col min="9" max="9" width="15" customWidth="1"/>
    <col min="10" max="10" width="7.81640625" customWidth="1"/>
    <col min="11" max="11" width="18.453125" customWidth="1"/>
    <col min="12" max="12" width="13.81640625" customWidth="1"/>
    <col min="13" max="13" width="12.54296875" customWidth="1"/>
    <col min="14" max="14" width="11.08984375" customWidth="1"/>
    <col min="15" max="15" width="11.90625" customWidth="1"/>
    <col min="16" max="16" width="11.453125" customWidth="1"/>
    <col min="18" max="18" width="13.1796875" bestFit="1" customWidth="1"/>
    <col min="23" max="23" width="10.26953125" bestFit="1" customWidth="1"/>
  </cols>
  <sheetData>
    <row r="2" spans="1:23" ht="29.5" customHeight="1" thickBot="1" x14ac:dyDescent="0.4">
      <c r="A2" s="192" t="s">
        <v>0</v>
      </c>
      <c r="B2" s="193" t="s">
        <v>1</v>
      </c>
      <c r="C2" s="194" t="s">
        <v>2</v>
      </c>
      <c r="D2" s="193" t="s">
        <v>3</v>
      </c>
      <c r="E2" s="193" t="s">
        <v>4</v>
      </c>
      <c r="F2" s="194" t="s">
        <v>5</v>
      </c>
      <c r="G2" s="194" t="s">
        <v>6</v>
      </c>
      <c r="H2" s="194" t="s">
        <v>21</v>
      </c>
      <c r="I2" s="194" t="s">
        <v>7</v>
      </c>
      <c r="J2" s="194" t="s">
        <v>8</v>
      </c>
      <c r="K2" s="194" t="s">
        <v>25</v>
      </c>
      <c r="L2" s="194" t="s">
        <v>9</v>
      </c>
      <c r="M2" s="194" t="s">
        <v>10</v>
      </c>
      <c r="N2" s="195" t="s">
        <v>11</v>
      </c>
      <c r="O2" s="196" t="s">
        <v>346</v>
      </c>
      <c r="P2" s="217" t="s">
        <v>443</v>
      </c>
      <c r="Q2" t="s">
        <v>371</v>
      </c>
      <c r="S2" s="197" t="s">
        <v>356</v>
      </c>
      <c r="T2" s="197" t="s">
        <v>357</v>
      </c>
      <c r="U2" s="198" t="s">
        <v>358</v>
      </c>
      <c r="V2" s="197" t="s">
        <v>359</v>
      </c>
      <c r="W2" s="197" t="s">
        <v>360</v>
      </c>
    </row>
    <row r="3" spans="1:23" ht="15" thickTop="1" x14ac:dyDescent="0.35">
      <c r="A3" s="147">
        <v>1</v>
      </c>
      <c r="B3" s="33" t="s">
        <v>284</v>
      </c>
      <c r="C3" s="6" t="s">
        <v>12</v>
      </c>
      <c r="D3" s="7" t="s">
        <v>13</v>
      </c>
      <c r="E3" s="32" t="str">
        <f>'B.kriteria &amp; R.kecocokan'!$B$24</f>
        <v>Cukup</v>
      </c>
      <c r="F3" s="191" t="str">
        <f>'B.kriteria &amp; R.kecocokan'!$B$34</f>
        <v>Tinggi</v>
      </c>
      <c r="G3" s="191" t="str">
        <f>'B.kriteria &amp; R.kecocokan'!$B$41</f>
        <v>Rendah</v>
      </c>
      <c r="H3" s="191" t="str">
        <f>'B.kriteria &amp; R.kecocokan'!$B$72</f>
        <v>Rendah</v>
      </c>
      <c r="I3" s="191" t="str">
        <f>'B.kriteria &amp; R.kecocokan'!$B$95</f>
        <v>Rendah</v>
      </c>
      <c r="J3" s="191" t="str">
        <f>'B.kriteria &amp; R.kecocokan'!$B$80</f>
        <v>Rendah</v>
      </c>
      <c r="K3" s="191" t="str">
        <f>'B.kriteria &amp; R.kecocokan'!$B$89</f>
        <v>Sedikit</v>
      </c>
      <c r="L3" s="191" t="str">
        <f>'B.kriteria &amp; R.kecocokan'!$B$49</f>
        <v>Rendah</v>
      </c>
      <c r="M3" s="191" t="str">
        <f>'B.kriteria &amp; R.kecocokan'!$B$57</f>
        <v>Rendah</v>
      </c>
      <c r="N3" s="51" t="str">
        <f>'B.kriteria &amp; R.kecocokan'!$B$65</f>
        <v>Rendah</v>
      </c>
      <c r="O3" s="199" t="s">
        <v>347</v>
      </c>
      <c r="P3" s="2" t="str">
        <f t="shared" ref="P3:P34" si="0">_xlfn.IFS(M3="Rendah","Tidak",M3="Tinggi","Layak",M3="sedang",IF(OR(K3="Sedang",K3="Sangat Sedikit"),"Layak",IF(F3="Sangat Tinggi","Layak"," Tidak")))</f>
        <v>Tidak</v>
      </c>
      <c r="Q3" s="189" t="s">
        <v>361</v>
      </c>
      <c r="R3" s="189"/>
      <c r="S3">
        <v>93</v>
      </c>
      <c r="T3">
        <f>COUNTIF($O$3:$O$95,$O$88)</f>
        <v>22</v>
      </c>
      <c r="U3" s="200">
        <f>COUNTIF($O$3:$O$95,$O$4)</f>
        <v>71</v>
      </c>
      <c r="V3" s="201">
        <f>((-T3/S3)*IMLOG2(T3/S3))+((-U3/S3)*IMLOG2(U3/S3))</f>
        <v>0.78927127245369721</v>
      </c>
    </row>
    <row r="4" spans="1:23" x14ac:dyDescent="0.35">
      <c r="A4" s="57">
        <v>2</v>
      </c>
      <c r="B4" s="16" t="s">
        <v>279</v>
      </c>
      <c r="C4" s="2" t="s">
        <v>24</v>
      </c>
      <c r="D4" s="11" t="s">
        <v>13</v>
      </c>
      <c r="E4" s="32" t="str">
        <f>'B.kriteria &amp; R.kecocokan'!$B$24</f>
        <v>Cukup</v>
      </c>
      <c r="F4" s="9" t="str">
        <f>'B.kriteria &amp; R.kecocokan'!$B$34</f>
        <v>Tinggi</v>
      </c>
      <c r="G4" s="191" t="str">
        <f>'B.kriteria &amp; R.kecocokan'!$B$41</f>
        <v>Rendah</v>
      </c>
      <c r="H4" s="191" t="str">
        <f>'B.kriteria &amp; R.kecocokan'!$B$72</f>
        <v>Rendah</v>
      </c>
      <c r="I4" s="191" t="str">
        <f>'B.kriteria &amp; R.kecocokan'!$B$95</f>
        <v>Rendah</v>
      </c>
      <c r="J4" s="9" t="str">
        <f>'B.kriteria &amp; R.kecocokan'!$B$81</f>
        <v>Tinggi</v>
      </c>
      <c r="K4" s="9" t="str">
        <f>'B.kriteria &amp; R.kecocokan'!$B$90</f>
        <v>Sangat Sedikit</v>
      </c>
      <c r="L4" s="191" t="str">
        <f>'B.kriteria &amp; R.kecocokan'!$B$49</f>
        <v>Rendah</v>
      </c>
      <c r="M4" s="191" t="str">
        <f>'B.kriteria &amp; R.kecocokan'!$B$57</f>
        <v>Rendah</v>
      </c>
      <c r="N4" s="51" t="str">
        <f>'B.kriteria &amp; R.kecocokan'!$B$65</f>
        <v>Rendah</v>
      </c>
      <c r="O4" s="52" t="s">
        <v>347</v>
      </c>
      <c r="P4" s="2" t="str">
        <f t="shared" si="0"/>
        <v>Tidak</v>
      </c>
      <c r="Q4" t="s">
        <v>124</v>
      </c>
      <c r="W4">
        <f>$V$3 - ((S5/$S$3*V5) +(S6/$S$3*V6) +(S7/$S$3*V7))</f>
        <v>0.19047627765544006</v>
      </c>
    </row>
    <row r="5" spans="1:23" x14ac:dyDescent="0.35">
      <c r="A5" s="147">
        <v>3</v>
      </c>
      <c r="B5" s="16" t="s">
        <v>285</v>
      </c>
      <c r="C5" s="2" t="s">
        <v>26</v>
      </c>
      <c r="D5" s="11" t="s">
        <v>13</v>
      </c>
      <c r="E5" s="9" t="str">
        <f>'B.kriteria &amp; R.kecocokan'!$B$23</f>
        <v>Banyak</v>
      </c>
      <c r="F5" s="9" t="str">
        <f>'B.kriteria &amp; R.kecocokan'!$B$34</f>
        <v>Tinggi</v>
      </c>
      <c r="G5" s="191" t="str">
        <f>'B.kriteria &amp; R.kecocokan'!$B$41</f>
        <v>Rendah</v>
      </c>
      <c r="H5" s="191" t="str">
        <f>'B.kriteria &amp; R.kecocokan'!$B$72</f>
        <v>Rendah</v>
      </c>
      <c r="I5" s="191" t="str">
        <f>'B.kriteria &amp; R.kecocokan'!$B$95</f>
        <v>Rendah</v>
      </c>
      <c r="J5" s="191" t="str">
        <f>'B.kriteria &amp; R.kecocokan'!$B$80</f>
        <v>Rendah</v>
      </c>
      <c r="K5" s="9" t="str">
        <f>'B.kriteria &amp; R.kecocokan'!$B$90</f>
        <v>Sangat Sedikit</v>
      </c>
      <c r="L5" s="191" t="str">
        <f>'B.kriteria &amp; R.kecocokan'!$B$49</f>
        <v>Rendah</v>
      </c>
      <c r="M5" s="191" t="str">
        <f>'B.kriteria &amp; R.kecocokan'!$B$57</f>
        <v>Rendah</v>
      </c>
      <c r="N5" s="51" t="str">
        <f>'B.kriteria &amp; R.kecocokan'!$B$65</f>
        <v>Rendah</v>
      </c>
      <c r="O5" s="52" t="s">
        <v>347</v>
      </c>
      <c r="P5" s="2" t="str">
        <f t="shared" si="0"/>
        <v>Tidak</v>
      </c>
      <c r="R5" t="s">
        <v>311</v>
      </c>
      <c r="S5">
        <f>COUNTIFS($E$3:$E$95,$E$73)</f>
        <v>23</v>
      </c>
      <c r="T5">
        <f>COUNTIFS($E$3:$E$95,$E$87,$O$3:$O$95,$O$88)</f>
        <v>0</v>
      </c>
      <c r="U5">
        <f>COUNTIFS($E$3:$E$95,$E$87,$O$3:$O$95,$O$11)</f>
        <v>23</v>
      </c>
      <c r="V5" s="201">
        <v>0</v>
      </c>
    </row>
    <row r="6" spans="1:23" x14ac:dyDescent="0.35">
      <c r="A6" s="147">
        <v>4</v>
      </c>
      <c r="B6" s="16" t="s">
        <v>256</v>
      </c>
      <c r="C6" s="2" t="s">
        <v>27</v>
      </c>
      <c r="D6" s="11" t="s">
        <v>13</v>
      </c>
      <c r="E6" s="32" t="str">
        <f>'B.kriteria &amp; R.kecocokan'!$B$24</f>
        <v>Cukup</v>
      </c>
      <c r="F6" s="9" t="str">
        <f>'B.kriteria &amp; R.kecocokan'!$B$34</f>
        <v>Tinggi</v>
      </c>
      <c r="G6" s="191" t="str">
        <f>'B.kriteria &amp; R.kecocokan'!$B$41</f>
        <v>Rendah</v>
      </c>
      <c r="H6" s="191" t="str">
        <f>'B.kriteria &amp; R.kecocokan'!$B$72</f>
        <v>Rendah</v>
      </c>
      <c r="I6" s="191" t="str">
        <f>'B.kriteria &amp; R.kecocokan'!$B$95</f>
        <v>Rendah</v>
      </c>
      <c r="J6" s="191" t="str">
        <f>'B.kriteria &amp; R.kecocokan'!$B$80</f>
        <v>Rendah</v>
      </c>
      <c r="K6" s="191" t="str">
        <f>'B.kriteria &amp; R.kecocokan'!$B$89</f>
        <v>Sedikit</v>
      </c>
      <c r="L6" s="191" t="str">
        <f>'B.kriteria &amp; R.kecocokan'!$B$49</f>
        <v>Rendah</v>
      </c>
      <c r="M6" s="191" t="str">
        <f>'B.kriteria &amp; R.kecocokan'!$B$57</f>
        <v>Rendah</v>
      </c>
      <c r="N6" s="51" t="str">
        <f>'B.kriteria &amp; R.kecocokan'!$B$65</f>
        <v>Rendah</v>
      </c>
      <c r="O6" s="52" t="s">
        <v>347</v>
      </c>
      <c r="P6" s="2" t="str">
        <f t="shared" si="0"/>
        <v>Tidak</v>
      </c>
      <c r="R6" t="s">
        <v>363</v>
      </c>
      <c r="S6">
        <f>COUNTIF($E$3:$E$95,$E$86)</f>
        <v>35</v>
      </c>
      <c r="T6">
        <f>COUNTIFS($E$3:$E$95,$E$86,$O$3:$O$95,$O$90)</f>
        <v>5</v>
      </c>
      <c r="U6">
        <f>COUNTIFS($E$3:$E$95,$E$86,$O$3:$O$95,$O$4)</f>
        <v>30</v>
      </c>
      <c r="V6" s="201">
        <f>((-T6/S6)*IMLOG2(T6/S6))+((-U6/S6)*IMLOG2(U6/S6))</f>
        <v>0.59167277858232681</v>
      </c>
    </row>
    <row r="7" spans="1:23" x14ac:dyDescent="0.35">
      <c r="A7" s="57">
        <v>5</v>
      </c>
      <c r="B7" s="2" t="str">
        <f>Penghasilan!B18</f>
        <v>3523152007120012</v>
      </c>
      <c r="C7" s="2" t="s">
        <v>31</v>
      </c>
      <c r="D7" s="11" t="s">
        <v>95</v>
      </c>
      <c r="E7" s="32" t="str">
        <f>'B.kriteria &amp; R.kecocokan'!$B$24</f>
        <v>Cukup</v>
      </c>
      <c r="F7" s="9" t="str">
        <f>'B.kriteria &amp; R.kecocokan'!$B$34</f>
        <v>Tinggi</v>
      </c>
      <c r="G7" s="191" t="str">
        <f>'B.kriteria &amp; R.kecocokan'!$B$41</f>
        <v>Rendah</v>
      </c>
      <c r="H7" s="191" t="str">
        <f>'B.kriteria &amp; R.kecocokan'!$B$72</f>
        <v>Rendah</v>
      </c>
      <c r="I7" s="191" t="str">
        <f>'B.kriteria &amp; R.kecocokan'!$B$95</f>
        <v>Rendah</v>
      </c>
      <c r="J7" s="191" t="str">
        <f>'B.kriteria &amp; R.kecocokan'!$B$80</f>
        <v>Rendah</v>
      </c>
      <c r="K7" s="9" t="str">
        <f>'B.kriteria &amp; R.kecocokan'!$B$88</f>
        <v>Sedang</v>
      </c>
      <c r="L7" s="191" t="str">
        <f>'B.kriteria &amp; R.kecocokan'!$B$49</f>
        <v>Rendah</v>
      </c>
      <c r="M7" s="191" t="str">
        <f>'B.kriteria &amp; R.kecocokan'!$B$57</f>
        <v>Rendah</v>
      </c>
      <c r="N7" s="51" t="str">
        <f>'B.kriteria &amp; R.kecocokan'!$B$65</f>
        <v>Rendah</v>
      </c>
      <c r="O7" s="52" t="s">
        <v>347</v>
      </c>
      <c r="P7" s="2" t="str">
        <f t="shared" si="0"/>
        <v>Tidak</v>
      </c>
      <c r="R7" t="s">
        <v>364</v>
      </c>
      <c r="S7">
        <f>COUNTIFS($E$3:$E$95,$E$83)</f>
        <v>35</v>
      </c>
      <c r="T7">
        <f>COUNTIFS($E$3:$E$95,$E$83,$O$3:$O$95,$O$85)</f>
        <v>17</v>
      </c>
      <c r="U7">
        <f>COUNTIFS($E$3:$E$95,$E$83,$O$3:$O$95,$O$8)</f>
        <v>18</v>
      </c>
      <c r="V7" s="201">
        <f>((-T7/S7)*IMLOG2(T7/S7))+((-U7/S7)*IMLOG2(U7/S7))</f>
        <v>0.99941106473875652</v>
      </c>
    </row>
    <row r="8" spans="1:23" x14ac:dyDescent="0.35">
      <c r="A8" s="147">
        <v>6</v>
      </c>
      <c r="B8" s="16" t="s">
        <v>275</v>
      </c>
      <c r="C8" s="2" t="s">
        <v>32</v>
      </c>
      <c r="D8" s="11" t="s">
        <v>13</v>
      </c>
      <c r="E8" s="9" t="str">
        <f>'B.kriteria &amp; R.kecocokan'!$B$23</f>
        <v>Banyak</v>
      </c>
      <c r="F8" s="9" t="str">
        <f>'B.kriteria &amp; R.kecocokan'!$B$34</f>
        <v>Tinggi</v>
      </c>
      <c r="G8" s="191" t="str">
        <f>'B.kriteria &amp; R.kecocokan'!$B$41</f>
        <v>Rendah</v>
      </c>
      <c r="H8" s="191" t="str">
        <f>'B.kriteria &amp; R.kecocokan'!$B$72</f>
        <v>Rendah</v>
      </c>
      <c r="I8" s="191" t="str">
        <f>'B.kriteria &amp; R.kecocokan'!$B$95</f>
        <v>Rendah</v>
      </c>
      <c r="J8" s="191" t="str">
        <f>'B.kriteria &amp; R.kecocokan'!$B$80</f>
        <v>Rendah</v>
      </c>
      <c r="K8" s="191" t="str">
        <f>'B.kriteria &amp; R.kecocokan'!$B$89</f>
        <v>Sedikit</v>
      </c>
      <c r="L8" s="191" t="str">
        <f>'B.kriteria &amp; R.kecocokan'!$B$49</f>
        <v>Rendah</v>
      </c>
      <c r="M8" s="191" t="str">
        <f>'B.kriteria &amp; R.kecocokan'!$B$57</f>
        <v>Rendah</v>
      </c>
      <c r="N8" s="51" t="str">
        <f>'B.kriteria &amp; R.kecocokan'!$B$65</f>
        <v>Rendah</v>
      </c>
      <c r="O8" s="52" t="s">
        <v>347</v>
      </c>
      <c r="P8" s="2" t="str">
        <f t="shared" si="0"/>
        <v>Tidak</v>
      </c>
      <c r="S8" s="43">
        <f>SUM(S5:S7)</f>
        <v>93</v>
      </c>
      <c r="T8" s="43">
        <f t="shared" ref="T8:U8" si="1">SUM(T5:T7)</f>
        <v>22</v>
      </c>
      <c r="U8" s="43">
        <f t="shared" si="1"/>
        <v>71</v>
      </c>
    </row>
    <row r="9" spans="1:23" x14ac:dyDescent="0.35">
      <c r="A9" s="147">
        <v>7</v>
      </c>
      <c r="B9" s="16" t="s">
        <v>286</v>
      </c>
      <c r="C9" s="2" t="s">
        <v>34</v>
      </c>
      <c r="D9" s="11" t="s">
        <v>13</v>
      </c>
      <c r="E9" s="9" t="str">
        <f>'B.kriteria &amp; R.kecocokan'!$B$23</f>
        <v>Banyak</v>
      </c>
      <c r="F9" s="9" t="str">
        <f>'B.kriteria &amp; R.kecocokan'!$B$34</f>
        <v>Tinggi</v>
      </c>
      <c r="G9" s="191" t="str">
        <f>'B.kriteria &amp; R.kecocokan'!$B$41</f>
        <v>Rendah</v>
      </c>
      <c r="H9" s="191" t="str">
        <f>'B.kriteria &amp; R.kecocokan'!$B$72</f>
        <v>Rendah</v>
      </c>
      <c r="I9" s="191" t="str">
        <f>'B.kriteria &amp; R.kecocokan'!$B$95</f>
        <v>Rendah</v>
      </c>
      <c r="J9" s="9" t="str">
        <f>'B.kriteria &amp; R.kecocokan'!$B$81</f>
        <v>Tinggi</v>
      </c>
      <c r="K9" s="9" t="str">
        <f>'B.kriteria &amp; R.kecocokan'!$B$88</f>
        <v>Sedang</v>
      </c>
      <c r="L9" s="191" t="str">
        <f>'B.kriteria &amp; R.kecocokan'!$B$49</f>
        <v>Rendah</v>
      </c>
      <c r="M9" s="191" t="str">
        <f>'B.kriteria &amp; R.kecocokan'!$B$57</f>
        <v>Rendah</v>
      </c>
      <c r="N9" s="51" t="str">
        <f>'B.kriteria &amp; R.kecocokan'!$B$65</f>
        <v>Rendah</v>
      </c>
      <c r="O9" s="52" t="s">
        <v>347</v>
      </c>
      <c r="P9" s="2" t="str">
        <f t="shared" si="0"/>
        <v>Tidak</v>
      </c>
      <c r="Q9" t="s">
        <v>5</v>
      </c>
      <c r="W9" s="201">
        <f>$V$3 - ((S10/$S$3*V10) +(S11/$S$3*V11))</f>
        <v>0.10819546788591783</v>
      </c>
    </row>
    <row r="10" spans="1:23" x14ac:dyDescent="0.35">
      <c r="A10" s="57">
        <v>8</v>
      </c>
      <c r="B10" s="16" t="s">
        <v>287</v>
      </c>
      <c r="C10" s="2" t="s">
        <v>35</v>
      </c>
      <c r="D10" s="12" t="s">
        <v>13</v>
      </c>
      <c r="E10" s="32" t="str">
        <f>'B.kriteria &amp; R.kecocokan'!$B$24</f>
        <v>Cukup</v>
      </c>
      <c r="F10" s="9" t="str">
        <f>'B.kriteria &amp; R.kecocokan'!$B$34</f>
        <v>Tinggi</v>
      </c>
      <c r="G10" s="191" t="str">
        <f>'B.kriteria &amp; R.kecocokan'!$B$41</f>
        <v>Rendah</v>
      </c>
      <c r="H10" s="191" t="str">
        <f>'B.kriteria &amp; R.kecocokan'!$B$72</f>
        <v>Rendah</v>
      </c>
      <c r="I10" s="191" t="str">
        <f>'B.kriteria &amp; R.kecocokan'!$B$95</f>
        <v>Rendah</v>
      </c>
      <c r="J10" s="191" t="str">
        <f>'B.kriteria &amp; R.kecocokan'!$B$80</f>
        <v>Rendah</v>
      </c>
      <c r="K10" s="191" t="str">
        <f>'B.kriteria &amp; R.kecocokan'!$B$89</f>
        <v>Sedikit</v>
      </c>
      <c r="L10" s="191" t="str">
        <f>'B.kriteria &amp; R.kecocokan'!$B$49</f>
        <v>Rendah</v>
      </c>
      <c r="M10" s="191" t="str">
        <f>'B.kriteria &amp; R.kecocokan'!$B$57</f>
        <v>Rendah</v>
      </c>
      <c r="N10" s="51" t="str">
        <f>'B.kriteria &amp; R.kecocokan'!$B$65</f>
        <v>Rendah</v>
      </c>
      <c r="O10" s="52" t="s">
        <v>347</v>
      </c>
      <c r="P10" s="2" t="str">
        <f t="shared" si="0"/>
        <v>Tidak</v>
      </c>
      <c r="R10" t="s">
        <v>362</v>
      </c>
      <c r="S10">
        <f>COUNTIFS($F$3:$F$95,$F$3)</f>
        <v>77</v>
      </c>
      <c r="T10">
        <f>COUNTIFS($F$3:$F$95,$F$3,$O$3:$O$95,$O$81)</f>
        <v>12</v>
      </c>
      <c r="U10">
        <f>COUNTIFS($F$3:$F$95,$F$3,$O$3:$O$95,$O$4)</f>
        <v>65</v>
      </c>
      <c r="V10" s="201">
        <f>((-T10/S10)*IMLOG2(T10/S10))+((-U10/S10)*IMLOG2(U10/S10))</f>
        <v>0.62427410101303971</v>
      </c>
    </row>
    <row r="11" spans="1:23" x14ac:dyDescent="0.35">
      <c r="A11" s="147">
        <v>9</v>
      </c>
      <c r="B11" s="2" t="str">
        <f>Penghasilan!B66</f>
        <v>No KK</v>
      </c>
      <c r="C11" s="2" t="s">
        <v>36</v>
      </c>
      <c r="D11" s="11" t="s">
        <v>13</v>
      </c>
      <c r="E11" s="32" t="str">
        <f>'B.kriteria &amp; R.kecocokan'!$B$24</f>
        <v>Cukup</v>
      </c>
      <c r="F11" s="9" t="str">
        <f>'B.kriteria &amp; R.kecocokan'!$B$34</f>
        <v>Tinggi</v>
      </c>
      <c r="G11" s="9" t="str">
        <f>'B.kriteria &amp; R.kecocokan'!$B$43</f>
        <v>Tinggi</v>
      </c>
      <c r="H11" s="191" t="str">
        <f>'B.kriteria &amp; R.kecocokan'!$B$72</f>
        <v>Rendah</v>
      </c>
      <c r="I11" s="191" t="str">
        <f>'B.kriteria &amp; R.kecocokan'!$B$95</f>
        <v>Rendah</v>
      </c>
      <c r="J11" s="191" t="str">
        <f>'B.kriteria &amp; R.kecocokan'!$B$80</f>
        <v>Rendah</v>
      </c>
      <c r="K11" s="9" t="str">
        <f>'B.kriteria &amp; R.kecocokan'!$B$88</f>
        <v>Sedang</v>
      </c>
      <c r="L11" s="191" t="str">
        <f>'B.kriteria &amp; R.kecocokan'!$B$49</f>
        <v>Rendah</v>
      </c>
      <c r="M11" s="191" t="str">
        <f>'B.kriteria &amp; R.kecocokan'!$B$57</f>
        <v>Rendah</v>
      </c>
      <c r="N11" s="51" t="str">
        <f>'B.kriteria &amp; R.kecocokan'!$B$65</f>
        <v>Rendah</v>
      </c>
      <c r="O11" s="52" t="s">
        <v>347</v>
      </c>
      <c r="P11" s="2" t="str">
        <f t="shared" si="0"/>
        <v>Tidak</v>
      </c>
      <c r="R11" t="s">
        <v>367</v>
      </c>
      <c r="S11">
        <f>COUNTIFS($F$3:$F$95,$F$16)</f>
        <v>16</v>
      </c>
      <c r="T11">
        <f>COUNTIFS($F$3:$F$95,$F$16,$O$3:$O$95,$O$13)</f>
        <v>10</v>
      </c>
      <c r="U11">
        <f>COUNTIFS($F$3:$F$95,$F$16,$O$3:$O$95,$O$9)</f>
        <v>6</v>
      </c>
      <c r="V11" s="201">
        <f>((-T11/S11)*IMLOG2(T11/S11))+((-U11/S11)*IMLOG2(U11/S11))</f>
        <v>0.95443400292496372</v>
      </c>
    </row>
    <row r="12" spans="1:23" x14ac:dyDescent="0.35">
      <c r="A12" s="147">
        <v>10</v>
      </c>
      <c r="B12" s="16" t="s">
        <v>266</v>
      </c>
      <c r="C12" s="2" t="s">
        <v>39</v>
      </c>
      <c r="D12" s="12" t="s">
        <v>13</v>
      </c>
      <c r="E12" s="32" t="str">
        <f>'B.kriteria &amp; R.kecocokan'!$B$24</f>
        <v>Cukup</v>
      </c>
      <c r="F12" s="9" t="str">
        <f>'B.kriteria &amp; R.kecocokan'!$B$34</f>
        <v>Tinggi</v>
      </c>
      <c r="G12" s="191" t="str">
        <f>'B.kriteria &amp; R.kecocokan'!$B$41</f>
        <v>Rendah</v>
      </c>
      <c r="H12" s="191" t="str">
        <f>'B.kriteria &amp; R.kecocokan'!$B$72</f>
        <v>Rendah</v>
      </c>
      <c r="I12" s="191" t="str">
        <f>'B.kriteria &amp; R.kecocokan'!$B$95</f>
        <v>Rendah</v>
      </c>
      <c r="J12" s="9" t="str">
        <f>'B.kriteria &amp; R.kecocokan'!$B$81</f>
        <v>Tinggi</v>
      </c>
      <c r="K12" s="9" t="str">
        <f>'B.kriteria &amp; R.kecocokan'!$B$90</f>
        <v>Sangat Sedikit</v>
      </c>
      <c r="L12" s="191" t="str">
        <f>'B.kriteria &amp; R.kecocokan'!$B$49</f>
        <v>Rendah</v>
      </c>
      <c r="M12" s="191" t="str">
        <f>'B.kriteria &amp; R.kecocokan'!$B$57</f>
        <v>Rendah</v>
      </c>
      <c r="N12" s="51" t="str">
        <f>'B.kriteria &amp; R.kecocokan'!$B$65</f>
        <v>Rendah</v>
      </c>
      <c r="O12" s="52" t="s">
        <v>349</v>
      </c>
      <c r="P12" s="2" t="str">
        <f t="shared" si="0"/>
        <v>Tidak</v>
      </c>
      <c r="S12" s="43">
        <f>SUM(S10:S11)</f>
        <v>93</v>
      </c>
      <c r="T12" s="43">
        <f t="shared" ref="T12:U12" si="2">SUM(T10:T11)</f>
        <v>22</v>
      </c>
      <c r="U12" s="43">
        <f t="shared" si="2"/>
        <v>71</v>
      </c>
    </row>
    <row r="13" spans="1:23" x14ac:dyDescent="0.35">
      <c r="A13" s="57">
        <v>11</v>
      </c>
      <c r="B13" s="16" t="s">
        <v>139</v>
      </c>
      <c r="C13" s="2" t="s">
        <v>40</v>
      </c>
      <c r="D13" s="11" t="s">
        <v>13</v>
      </c>
      <c r="E13" s="9" t="str">
        <f>'B.kriteria &amp; R.kecocokan'!$B$25</f>
        <v>Sedikit</v>
      </c>
      <c r="F13" s="9" t="str">
        <f>'B.kriteria &amp; R.kecocokan'!$B$34</f>
        <v>Tinggi</v>
      </c>
      <c r="G13" s="191" t="str">
        <f>'B.kriteria &amp; R.kecocokan'!$B$41</f>
        <v>Rendah</v>
      </c>
      <c r="H13" s="191" t="str">
        <f>'B.kriteria &amp; R.kecocokan'!$B$72</f>
        <v>Rendah</v>
      </c>
      <c r="I13" s="191" t="str">
        <f>'B.kriteria &amp; R.kecocokan'!$B$95</f>
        <v>Rendah</v>
      </c>
      <c r="J13" s="9" t="str">
        <f>'B.kriteria &amp; R.kecocokan'!$B$81</f>
        <v>Tinggi</v>
      </c>
      <c r="K13" s="9" t="str">
        <f>'B.kriteria &amp; R.kecocokan'!$B$90</f>
        <v>Sangat Sedikit</v>
      </c>
      <c r="L13" s="9" t="str">
        <f>'B.kriteria &amp; R.kecocokan'!$B$50</f>
        <v>Sedang</v>
      </c>
      <c r="M13" s="9" t="str">
        <f>'B.kriteria &amp; R.kecocokan'!$B$58</f>
        <v>Sedang</v>
      </c>
      <c r="N13" s="52" t="str">
        <f>'B.kriteria &amp; R.kecocokan'!$B$66</f>
        <v>Sedang</v>
      </c>
      <c r="O13" s="52" t="s">
        <v>349</v>
      </c>
      <c r="P13" s="2" t="str">
        <f t="shared" si="0"/>
        <v>Layak</v>
      </c>
      <c r="Q13" t="s">
        <v>368</v>
      </c>
      <c r="W13" s="201">
        <f>$V$3 - ((S14/$S$3*V14) +(S15/$S$3*V15))</f>
        <v>4.9504250602608213E-2</v>
      </c>
    </row>
    <row r="14" spans="1:23" x14ac:dyDescent="0.35">
      <c r="A14" s="147">
        <v>12</v>
      </c>
      <c r="B14" s="16" t="s">
        <v>274</v>
      </c>
      <c r="C14" s="2" t="s">
        <v>44</v>
      </c>
      <c r="D14" s="11" t="s">
        <v>13</v>
      </c>
      <c r="E14" s="32" t="str">
        <f>'B.kriteria &amp; R.kecocokan'!$B$24</f>
        <v>Cukup</v>
      </c>
      <c r="F14" s="9" t="str">
        <f>'B.kriteria &amp; R.kecocokan'!$B$34</f>
        <v>Tinggi</v>
      </c>
      <c r="G14" s="191" t="str">
        <f>'B.kriteria &amp; R.kecocokan'!$B$41</f>
        <v>Rendah</v>
      </c>
      <c r="H14" s="191" t="str">
        <f>'B.kriteria &amp; R.kecocokan'!$B$72</f>
        <v>Rendah</v>
      </c>
      <c r="I14" s="191" t="str">
        <f>'B.kriteria &amp; R.kecocokan'!$B$95</f>
        <v>Rendah</v>
      </c>
      <c r="J14" s="9" t="str">
        <f>'B.kriteria &amp; R.kecocokan'!$B$81</f>
        <v>Tinggi</v>
      </c>
      <c r="K14" s="9" t="str">
        <f>'B.kriteria &amp; R.kecocokan'!$B$90</f>
        <v>Sangat Sedikit</v>
      </c>
      <c r="L14" s="191" t="str">
        <f>'B.kriteria &amp; R.kecocokan'!$B$49</f>
        <v>Rendah</v>
      </c>
      <c r="M14" s="191" t="str">
        <f>'B.kriteria &amp; R.kecocokan'!$B$57</f>
        <v>Rendah</v>
      </c>
      <c r="N14" s="51" t="str">
        <f>'B.kriteria &amp; R.kecocokan'!$B$65</f>
        <v>Rendah</v>
      </c>
      <c r="O14" s="52" t="s">
        <v>347</v>
      </c>
      <c r="P14" s="2" t="str">
        <f t="shared" si="0"/>
        <v>Tidak</v>
      </c>
      <c r="R14" t="s">
        <v>319</v>
      </c>
      <c r="S14">
        <f>COUNTIFS($G$3:$G$95,$G$3)</f>
        <v>82</v>
      </c>
      <c r="T14">
        <f>COUNTIFS($G$3:$G$95,$G$3,$O$3:$O$95,$O$13)</f>
        <v>22</v>
      </c>
      <c r="U14">
        <f>COUNTIFS($G$3:$G$95,$G$3,$O$3:$O$95,$O$11)</f>
        <v>60</v>
      </c>
      <c r="V14" s="201">
        <f>((-T14/S14)*IMLOG2(T14/S14))+((-U14/S14)*IMLOG2(U14/S14))</f>
        <v>0.83900406136769856</v>
      </c>
    </row>
    <row r="15" spans="1:23" x14ac:dyDescent="0.35">
      <c r="A15" s="147">
        <v>13</v>
      </c>
      <c r="B15" s="16" t="s">
        <v>273</v>
      </c>
      <c r="C15" s="2" t="s">
        <v>45</v>
      </c>
      <c r="D15" s="11" t="s">
        <v>13</v>
      </c>
      <c r="E15" s="32" t="str">
        <f>'B.kriteria &amp; R.kecocokan'!$B$24</f>
        <v>Cukup</v>
      </c>
      <c r="F15" s="9" t="str">
        <f>'B.kriteria &amp; R.kecocokan'!$B$34</f>
        <v>Tinggi</v>
      </c>
      <c r="G15" s="9" t="str">
        <f>'B.kriteria &amp; R.kecocokan'!$B$43</f>
        <v>Tinggi</v>
      </c>
      <c r="H15" s="191" t="str">
        <f>'B.kriteria &amp; R.kecocokan'!$B$72</f>
        <v>Rendah</v>
      </c>
      <c r="I15" s="191" t="str">
        <f>'B.kriteria &amp; R.kecocokan'!$B$95</f>
        <v>Rendah</v>
      </c>
      <c r="J15" s="191" t="str">
        <f>'B.kriteria &amp; R.kecocokan'!$B$80</f>
        <v>Rendah</v>
      </c>
      <c r="K15" s="9" t="str">
        <f>'B.kriteria &amp; R.kecocokan'!$B$88</f>
        <v>Sedang</v>
      </c>
      <c r="L15" s="191" t="str">
        <f>'B.kriteria &amp; R.kecocokan'!$B$49</f>
        <v>Rendah</v>
      </c>
      <c r="M15" s="191" t="str">
        <f>'B.kriteria &amp; R.kecocokan'!$B$57</f>
        <v>Rendah</v>
      </c>
      <c r="N15" s="51" t="str">
        <f>'B.kriteria &amp; R.kecocokan'!$B$65</f>
        <v>Rendah</v>
      </c>
      <c r="O15" s="52" t="s">
        <v>347</v>
      </c>
      <c r="P15" s="2" t="str">
        <f t="shared" si="0"/>
        <v>Tidak</v>
      </c>
      <c r="R15" t="s">
        <v>362</v>
      </c>
      <c r="S15">
        <f>COUNTIFS($G$3:$G$95,$G$89)</f>
        <v>11</v>
      </c>
      <c r="T15">
        <f>COUNTIFS($G$3:$G$95,$G$29,$O$3:$O$95,$O$13)</f>
        <v>0</v>
      </c>
      <c r="U15">
        <f>COUNTIFS($G$3:$G$95,$G$29,$O$3:$O$95,$O$7)</f>
        <v>11</v>
      </c>
      <c r="V15">
        <v>0</v>
      </c>
    </row>
    <row r="16" spans="1:23" x14ac:dyDescent="0.35">
      <c r="A16" s="57">
        <v>14</v>
      </c>
      <c r="B16" s="16" t="s">
        <v>283</v>
      </c>
      <c r="C16" s="2" t="s">
        <v>46</v>
      </c>
      <c r="D16" s="11" t="s">
        <v>13</v>
      </c>
      <c r="E16" s="32" t="str">
        <f>'B.kriteria &amp; R.kecocokan'!$B$24</f>
        <v>Cukup</v>
      </c>
      <c r="F16" s="9" t="str">
        <f>'B.kriteria &amp; R.kecocokan'!$B$35</f>
        <v>Sangat Tinggi</v>
      </c>
      <c r="G16" s="191" t="str">
        <f>'B.kriteria &amp; R.kecocokan'!$B$41</f>
        <v>Rendah</v>
      </c>
      <c r="H16" s="191" t="str">
        <f>'B.kriteria &amp; R.kecocokan'!$B$72</f>
        <v>Rendah</v>
      </c>
      <c r="I16" s="191" t="str">
        <f>'B.kriteria &amp; R.kecocokan'!$B$95</f>
        <v>Rendah</v>
      </c>
      <c r="J16" s="191" t="str">
        <f>'B.kriteria &amp; R.kecocokan'!$B$80</f>
        <v>Rendah</v>
      </c>
      <c r="K16" s="191" t="str">
        <f>'B.kriteria &amp; R.kecocokan'!$B$89</f>
        <v>Sedikit</v>
      </c>
      <c r="L16" s="191" t="str">
        <f>'B.kriteria &amp; R.kecocokan'!$B$49</f>
        <v>Rendah</v>
      </c>
      <c r="M16" s="9" t="str">
        <f>'B.kriteria &amp; R.kecocokan'!$B$58</f>
        <v>Sedang</v>
      </c>
      <c r="N16" s="51" t="str">
        <f>'B.kriteria &amp; R.kecocokan'!$B$65</f>
        <v>Rendah</v>
      </c>
      <c r="O16" s="52" t="s">
        <v>347</v>
      </c>
      <c r="P16" s="2" t="str">
        <f t="shared" si="0"/>
        <v>Layak</v>
      </c>
      <c r="S16" s="43">
        <f>SUM(S14:S15)</f>
        <v>93</v>
      </c>
      <c r="T16" s="43">
        <f t="shared" ref="T16:U16" si="3">SUM(T14:T15)</f>
        <v>22</v>
      </c>
      <c r="U16" s="43">
        <f t="shared" si="3"/>
        <v>71</v>
      </c>
    </row>
    <row r="17" spans="1:30" x14ac:dyDescent="0.35">
      <c r="A17" s="147">
        <v>15</v>
      </c>
      <c r="B17" s="16" t="s">
        <v>276</v>
      </c>
      <c r="C17" s="2" t="s">
        <v>48</v>
      </c>
      <c r="D17" s="11" t="s">
        <v>13</v>
      </c>
      <c r="E17" s="9" t="str">
        <f>'B.kriteria &amp; R.kecocokan'!$B$23</f>
        <v>Banyak</v>
      </c>
      <c r="F17" s="9" t="str">
        <f>'B.kriteria &amp; R.kecocokan'!$B$35</f>
        <v>Sangat Tinggi</v>
      </c>
      <c r="G17" s="191" t="str">
        <f>'B.kriteria &amp; R.kecocokan'!$B$41</f>
        <v>Rendah</v>
      </c>
      <c r="H17" s="191" t="str">
        <f>'B.kriteria &amp; R.kecocokan'!$B$72</f>
        <v>Rendah</v>
      </c>
      <c r="I17" s="191" t="str">
        <f>'B.kriteria &amp; R.kecocokan'!$B$95</f>
        <v>Rendah</v>
      </c>
      <c r="J17" s="191" t="str">
        <f>'B.kriteria &amp; R.kecocokan'!$B$80</f>
        <v>Rendah</v>
      </c>
      <c r="K17" s="9" t="str">
        <f>'B.kriteria &amp; R.kecocokan'!$B$88</f>
        <v>Sedang</v>
      </c>
      <c r="L17" s="191" t="str">
        <f>'B.kriteria &amp; R.kecocokan'!$B$49</f>
        <v>Rendah</v>
      </c>
      <c r="M17" s="191" t="str">
        <f>'B.kriteria &amp; R.kecocokan'!$B$57</f>
        <v>Rendah</v>
      </c>
      <c r="N17" s="51" t="str">
        <f>'B.kriteria &amp; R.kecocokan'!$B$65</f>
        <v>Rendah</v>
      </c>
      <c r="O17" s="52" t="s">
        <v>347</v>
      </c>
      <c r="P17" s="2" t="str">
        <f t="shared" si="0"/>
        <v>Tidak</v>
      </c>
      <c r="Q17" t="s">
        <v>369</v>
      </c>
      <c r="W17" s="201">
        <f>$V$3 - ((S18/$S$3*V18) +(S19/$S$3*V19))</f>
        <v>2.263698649607615E-2</v>
      </c>
    </row>
    <row r="18" spans="1:30" x14ac:dyDescent="0.35">
      <c r="A18" s="147">
        <v>16</v>
      </c>
      <c r="B18" s="16" t="s">
        <v>280</v>
      </c>
      <c r="C18" s="2" t="s">
        <v>49</v>
      </c>
      <c r="D18" s="11" t="s">
        <v>13</v>
      </c>
      <c r="E18" s="32" t="str">
        <f>'B.kriteria &amp; R.kecocokan'!$B$24</f>
        <v>Cukup</v>
      </c>
      <c r="F18" s="9" t="str">
        <f>'B.kriteria &amp; R.kecocokan'!$B$34</f>
        <v>Tinggi</v>
      </c>
      <c r="G18" s="191" t="str">
        <f>'B.kriteria &amp; R.kecocokan'!$B$41</f>
        <v>Rendah</v>
      </c>
      <c r="H18" s="191" t="str">
        <f>'B.kriteria &amp; R.kecocokan'!$B$72</f>
        <v>Rendah</v>
      </c>
      <c r="I18" s="191" t="str">
        <f>'B.kriteria &amp; R.kecocokan'!$B$95</f>
        <v>Rendah</v>
      </c>
      <c r="J18" s="9" t="str">
        <f>'B.kriteria &amp; R.kecocokan'!$B$81</f>
        <v>Tinggi</v>
      </c>
      <c r="K18" s="9" t="str">
        <f>'B.kriteria &amp; R.kecocokan'!$B$90</f>
        <v>Sangat Sedikit</v>
      </c>
      <c r="L18" s="191" t="str">
        <f>'B.kriteria &amp; R.kecocokan'!$B$49</f>
        <v>Rendah</v>
      </c>
      <c r="M18" s="191" t="str">
        <f>'B.kriteria &amp; R.kecocokan'!$B$57</f>
        <v>Rendah</v>
      </c>
      <c r="N18" s="51" t="str">
        <f>'B.kriteria &amp; R.kecocokan'!$B$65</f>
        <v>Rendah</v>
      </c>
      <c r="O18" s="52" t="s">
        <v>347</v>
      </c>
      <c r="P18" s="2" t="str">
        <f t="shared" si="0"/>
        <v>Tidak</v>
      </c>
      <c r="R18" t="s">
        <v>319</v>
      </c>
      <c r="S18">
        <f>COUNTIFS($H$3:$H$95,$H$3)</f>
        <v>92</v>
      </c>
      <c r="T18">
        <f>COUNTIFS($H$3:$H$95,$H$3,$O$3:$O$95,$O$90)</f>
        <v>21</v>
      </c>
      <c r="U18">
        <f>COUNTIFS($H$3:$H$95,$H$3,$O$3:$O$95,$O$9)</f>
        <v>71</v>
      </c>
      <c r="V18" s="201">
        <f>((-T18/S18)*IMLOG2(T18/S18))+((-U18/S18)*IMLOG2(U18/S18))</f>
        <v>0.77496726732672561</v>
      </c>
    </row>
    <row r="19" spans="1:30" x14ac:dyDescent="0.35">
      <c r="A19" s="57">
        <v>17</v>
      </c>
      <c r="B19" s="16" t="s">
        <v>277</v>
      </c>
      <c r="C19" s="2" t="s">
        <v>257</v>
      </c>
      <c r="D19" s="11" t="s">
        <v>13</v>
      </c>
      <c r="E19" s="32" t="str">
        <f>'B.kriteria &amp; R.kecocokan'!$B$24</f>
        <v>Cukup</v>
      </c>
      <c r="F19" s="9" t="str">
        <f>'B.kriteria &amp; R.kecocokan'!$B$35</f>
        <v>Sangat Tinggi</v>
      </c>
      <c r="G19" s="191" t="str">
        <f>'B.kriteria &amp; R.kecocokan'!$B$41</f>
        <v>Rendah</v>
      </c>
      <c r="H19" s="191" t="str">
        <f>'B.kriteria &amp; R.kecocokan'!$B$72</f>
        <v>Rendah</v>
      </c>
      <c r="I19" s="191" t="str">
        <f>'B.kriteria &amp; R.kecocokan'!$B$95</f>
        <v>Rendah</v>
      </c>
      <c r="J19" s="191" t="str">
        <f>'B.kriteria &amp; R.kecocokan'!$B$80</f>
        <v>Rendah</v>
      </c>
      <c r="K19" s="9" t="str">
        <f>'B.kriteria &amp; R.kecocokan'!$B$88</f>
        <v>Sedang</v>
      </c>
      <c r="L19" s="9" t="str">
        <f>'B.kriteria &amp; R.kecocokan'!$B$51</f>
        <v>Tinggi</v>
      </c>
      <c r="M19" s="9" t="str">
        <f>'B.kriteria &amp; R.kecocokan'!$B$58</f>
        <v>Sedang</v>
      </c>
      <c r="N19" s="51" t="str">
        <f>'B.kriteria &amp; R.kecocokan'!$B$65</f>
        <v>Rendah</v>
      </c>
      <c r="O19" s="52" t="s">
        <v>349</v>
      </c>
      <c r="P19" s="2" t="str">
        <f t="shared" si="0"/>
        <v>Layak</v>
      </c>
      <c r="R19" t="s">
        <v>362</v>
      </c>
      <c r="S19">
        <f>COUNTIFS($H$3:$H$95,$H$37)</f>
        <v>1</v>
      </c>
      <c r="T19">
        <f>COUNTIFS($H$3:$H$95,$H$37,$O$3:$O$95,$O$33)</f>
        <v>1</v>
      </c>
      <c r="U19">
        <f>COUNTIFS($H$3:$H$95,$H$37,$O$3:$O$95,$O$11)</f>
        <v>0</v>
      </c>
      <c r="V19">
        <v>0</v>
      </c>
    </row>
    <row r="20" spans="1:30" x14ac:dyDescent="0.35">
      <c r="A20" s="147">
        <v>18</v>
      </c>
      <c r="B20" s="16" t="s">
        <v>271</v>
      </c>
      <c r="C20" s="2" t="s">
        <v>52</v>
      </c>
      <c r="D20" s="11" t="s">
        <v>13</v>
      </c>
      <c r="E20" s="32" t="str">
        <f>'B.kriteria &amp; R.kecocokan'!$B$24</f>
        <v>Cukup</v>
      </c>
      <c r="F20" s="9" t="str">
        <f>'B.kriteria &amp; R.kecocokan'!$B$35</f>
        <v>Sangat Tinggi</v>
      </c>
      <c r="G20" s="191" t="str">
        <f>'B.kriteria &amp; R.kecocokan'!$B$41</f>
        <v>Rendah</v>
      </c>
      <c r="H20" s="191" t="str">
        <f>'B.kriteria &amp; R.kecocokan'!$B$72</f>
        <v>Rendah</v>
      </c>
      <c r="I20" s="191" t="str">
        <f>'B.kriteria &amp; R.kecocokan'!$B$95</f>
        <v>Rendah</v>
      </c>
      <c r="J20" s="191" t="str">
        <f>'B.kriteria &amp; R.kecocokan'!$B$80</f>
        <v>Rendah</v>
      </c>
      <c r="K20" s="9" t="str">
        <f>'B.kriteria &amp; R.kecocokan'!$B$88</f>
        <v>Sedang</v>
      </c>
      <c r="L20" s="9" t="str">
        <f>'B.kriteria &amp; R.kecocokan'!$B$50</f>
        <v>Sedang</v>
      </c>
      <c r="M20" s="9" t="str">
        <f>'B.kriteria &amp; R.kecocokan'!$B$58</f>
        <v>Sedang</v>
      </c>
      <c r="N20" s="51" t="str">
        <f>'B.kriteria &amp; R.kecocokan'!$B$65</f>
        <v>Rendah</v>
      </c>
      <c r="O20" s="52" t="s">
        <v>349</v>
      </c>
      <c r="P20" s="2" t="str">
        <f t="shared" si="0"/>
        <v>Layak</v>
      </c>
      <c r="S20" s="43">
        <f>SUM(S18:S19)</f>
        <v>93</v>
      </c>
      <c r="T20" s="43">
        <f t="shared" ref="T20:U20" si="4">SUM(T18:T19)</f>
        <v>22</v>
      </c>
      <c r="U20" s="43">
        <f t="shared" si="4"/>
        <v>71</v>
      </c>
    </row>
    <row r="21" spans="1:30" x14ac:dyDescent="0.35">
      <c r="A21" s="147">
        <v>19</v>
      </c>
      <c r="B21" s="16" t="s">
        <v>281</v>
      </c>
      <c r="C21" s="2" t="s">
        <v>55</v>
      </c>
      <c r="D21" s="11" t="s">
        <v>13</v>
      </c>
      <c r="E21" s="9" t="str">
        <f>'B.kriteria &amp; R.kecocokan'!$B$25</f>
        <v>Sedikit</v>
      </c>
      <c r="F21" s="9" t="str">
        <f>'B.kriteria &amp; R.kecocokan'!$B$34</f>
        <v>Tinggi</v>
      </c>
      <c r="G21" s="191" t="str">
        <f>'B.kriteria &amp; R.kecocokan'!$B$41</f>
        <v>Rendah</v>
      </c>
      <c r="H21" s="191" t="str">
        <f>'B.kriteria &amp; R.kecocokan'!$B$72</f>
        <v>Rendah</v>
      </c>
      <c r="I21" s="191" t="str">
        <f>'B.kriteria &amp; R.kecocokan'!$B$95</f>
        <v>Rendah</v>
      </c>
      <c r="J21" s="9" t="str">
        <f>'B.kriteria &amp; R.kecocokan'!$B$81</f>
        <v>Tinggi</v>
      </c>
      <c r="K21" s="9" t="str">
        <f>'B.kriteria &amp; R.kecocokan'!$B$90</f>
        <v>Sangat Sedikit</v>
      </c>
      <c r="L21" s="191" t="str">
        <f>'B.kriteria &amp; R.kecocokan'!$B$49</f>
        <v>Rendah</v>
      </c>
      <c r="M21" s="9" t="str">
        <f>'B.kriteria &amp; R.kecocokan'!$B$58</f>
        <v>Sedang</v>
      </c>
      <c r="N21" s="51" t="str">
        <f>'B.kriteria &amp; R.kecocokan'!$B$65</f>
        <v>Rendah</v>
      </c>
      <c r="O21" s="52" t="s">
        <v>349</v>
      </c>
      <c r="P21" s="2" t="str">
        <f t="shared" si="0"/>
        <v>Layak</v>
      </c>
      <c r="Q21" t="s">
        <v>372</v>
      </c>
      <c r="W21" s="201">
        <f>$V$3 - ((S22/$S$3*V22) +(S23/$S$3*V23))</f>
        <v>8.479561374480471E-3</v>
      </c>
    </row>
    <row r="22" spans="1:30" x14ac:dyDescent="0.35">
      <c r="A22" s="57">
        <v>20</v>
      </c>
      <c r="B22" s="16" t="s">
        <v>288</v>
      </c>
      <c r="C22" s="2" t="s">
        <v>56</v>
      </c>
      <c r="D22" s="11" t="s">
        <v>13</v>
      </c>
      <c r="E22" s="32" t="str">
        <f>'B.kriteria &amp; R.kecocokan'!$B$24</f>
        <v>Cukup</v>
      </c>
      <c r="F22" s="9" t="str">
        <f>'B.kriteria &amp; R.kecocokan'!$B$34</f>
        <v>Tinggi</v>
      </c>
      <c r="G22" s="191" t="str">
        <f>'B.kriteria &amp; R.kecocokan'!$B$41</f>
        <v>Rendah</v>
      </c>
      <c r="H22" s="191" t="str">
        <f>'B.kriteria &amp; R.kecocokan'!$B$72</f>
        <v>Rendah</v>
      </c>
      <c r="I22" s="191" t="str">
        <f>'B.kriteria &amp; R.kecocokan'!$B$95</f>
        <v>Rendah</v>
      </c>
      <c r="J22" s="191" t="str">
        <f>'B.kriteria &amp; R.kecocokan'!$B$80</f>
        <v>Rendah</v>
      </c>
      <c r="K22" s="191" t="str">
        <f>'B.kriteria &amp; R.kecocokan'!$B$89</f>
        <v>Sedikit</v>
      </c>
      <c r="L22" s="191" t="str">
        <f>'B.kriteria &amp; R.kecocokan'!$B$49</f>
        <v>Rendah</v>
      </c>
      <c r="M22" s="9" t="str">
        <f>'B.kriteria &amp; R.kecocokan'!$B$58</f>
        <v>Sedang</v>
      </c>
      <c r="N22" s="51" t="str">
        <f>'B.kriteria &amp; R.kecocokan'!$B$65</f>
        <v>Rendah</v>
      </c>
      <c r="O22" s="52" t="s">
        <v>347</v>
      </c>
      <c r="P22" s="2" t="str">
        <f t="shared" si="0"/>
        <v xml:space="preserve"> Tidak</v>
      </c>
      <c r="R22" t="s">
        <v>319</v>
      </c>
      <c r="S22">
        <f>COUNTIFS($I$3:$I$95,$I$88)</f>
        <v>91</v>
      </c>
      <c r="T22">
        <f>COUNTIFS($I$3:$I$95,$I$88,$O$3:$O$95,$O$13)</f>
        <v>22</v>
      </c>
      <c r="U22">
        <f>COUNTIFS($I$3:$I$95,$I$88,$O$3:$O$95,$O$8)</f>
        <v>69</v>
      </c>
      <c r="V22" s="201">
        <f>((-T22/S22)*IMLOG2(T22/S22))+((-U22/S22)*IMLOG2(U22/S22))</f>
        <v>0.79795196846557315</v>
      </c>
    </row>
    <row r="23" spans="1:30" x14ac:dyDescent="0.35">
      <c r="A23" s="147">
        <v>21</v>
      </c>
      <c r="B23" s="16" t="s">
        <v>282</v>
      </c>
      <c r="C23" s="2" t="s">
        <v>57</v>
      </c>
      <c r="D23" s="11" t="s">
        <v>13</v>
      </c>
      <c r="E23" s="9" t="str">
        <f>'B.kriteria &amp; R.kecocokan'!$B$25</f>
        <v>Sedikit</v>
      </c>
      <c r="F23" s="9" t="str">
        <f>'B.kriteria &amp; R.kecocokan'!$B$35</f>
        <v>Sangat Tinggi</v>
      </c>
      <c r="G23" s="191" t="str">
        <f>'B.kriteria &amp; R.kecocokan'!$B$41</f>
        <v>Rendah</v>
      </c>
      <c r="H23" s="191" t="str">
        <f>'B.kriteria &amp; R.kecocokan'!$B$72</f>
        <v>Rendah</v>
      </c>
      <c r="I23" s="191" t="str">
        <f>'B.kriteria &amp; R.kecocokan'!$B$95</f>
        <v>Rendah</v>
      </c>
      <c r="J23" s="9" t="str">
        <f>'B.kriteria &amp; R.kecocokan'!$B$81</f>
        <v>Tinggi</v>
      </c>
      <c r="K23" s="9" t="str">
        <f>'B.kriteria &amp; R.kecocokan'!$B$90</f>
        <v>Sangat Sedikit</v>
      </c>
      <c r="L23" s="191" t="str">
        <f>'B.kriteria &amp; R.kecocokan'!$B$49</f>
        <v>Rendah</v>
      </c>
      <c r="M23" s="9" t="str">
        <f>'B.kriteria &amp; R.kecocokan'!$B$58</f>
        <v>Sedang</v>
      </c>
      <c r="N23" s="51" t="str">
        <f>'B.kriteria &amp; R.kecocokan'!$B$65</f>
        <v>Rendah</v>
      </c>
      <c r="O23" s="52" t="s">
        <v>349</v>
      </c>
      <c r="P23" s="2" t="str">
        <f t="shared" si="0"/>
        <v>Layak</v>
      </c>
      <c r="R23" t="s">
        <v>362</v>
      </c>
      <c r="S23">
        <f>COUNTIFS($I$3:$I$95,$I$82)</f>
        <v>2</v>
      </c>
      <c r="T23">
        <f>COUNTIFS($I$3:$I$95,$I$82,$O$3:$O$95,$O$13)</f>
        <v>0</v>
      </c>
      <c r="U23">
        <f>COUNTIFS($I$3:$I$95,$I$82,$O$3:$O$95,$O$9)</f>
        <v>2</v>
      </c>
      <c r="V23" s="201">
        <v>0</v>
      </c>
    </row>
    <row r="24" spans="1:30" x14ac:dyDescent="0.35">
      <c r="A24" s="147">
        <v>22</v>
      </c>
      <c r="B24" s="16" t="s">
        <v>270</v>
      </c>
      <c r="C24" s="2" t="s">
        <v>59</v>
      </c>
      <c r="D24" s="11" t="s">
        <v>13</v>
      </c>
      <c r="E24" s="9" t="str">
        <f>'B.kriteria &amp; R.kecocokan'!$B$23</f>
        <v>Banyak</v>
      </c>
      <c r="F24" s="9" t="str">
        <f>'B.kriteria &amp; R.kecocokan'!$B$34</f>
        <v>Tinggi</v>
      </c>
      <c r="G24" s="191" t="str">
        <f>'B.kriteria &amp; R.kecocokan'!$B$41</f>
        <v>Rendah</v>
      </c>
      <c r="H24" s="191" t="str">
        <f>'B.kriteria &amp; R.kecocokan'!$B$72</f>
        <v>Rendah</v>
      </c>
      <c r="I24" s="191" t="str">
        <f>'B.kriteria &amp; R.kecocokan'!$B$95</f>
        <v>Rendah</v>
      </c>
      <c r="J24" s="191" t="str">
        <f>'B.kriteria &amp; R.kecocokan'!$B$80</f>
        <v>Rendah</v>
      </c>
      <c r="K24" s="9" t="str">
        <f>'B.kriteria &amp; R.kecocokan'!$B$88</f>
        <v>Sedang</v>
      </c>
      <c r="L24" s="191" t="str">
        <f>'B.kriteria &amp; R.kecocokan'!$B$49</f>
        <v>Rendah</v>
      </c>
      <c r="M24" s="191" t="str">
        <f>'B.kriteria &amp; R.kecocokan'!$B$57</f>
        <v>Rendah</v>
      </c>
      <c r="N24" s="51" t="str">
        <f>'B.kriteria &amp; R.kecocokan'!$B$65</f>
        <v>Rendah</v>
      </c>
      <c r="O24" s="52" t="s">
        <v>347</v>
      </c>
      <c r="P24" s="2" t="str">
        <f t="shared" si="0"/>
        <v>Tidak</v>
      </c>
      <c r="S24" s="43">
        <f>SUM(S22:S23)</f>
        <v>93</v>
      </c>
      <c r="T24" s="43">
        <f t="shared" ref="T24:U24" si="5">SUM(T22:T23)</f>
        <v>22</v>
      </c>
      <c r="U24" s="43">
        <f t="shared" si="5"/>
        <v>71</v>
      </c>
    </row>
    <row r="25" spans="1:30" x14ac:dyDescent="0.35">
      <c r="A25" s="57">
        <v>23</v>
      </c>
      <c r="B25" s="16" t="s">
        <v>265</v>
      </c>
      <c r="C25" s="2" t="s">
        <v>61</v>
      </c>
      <c r="D25" s="11" t="s">
        <v>13</v>
      </c>
      <c r="E25" s="32" t="str">
        <f>'B.kriteria &amp; R.kecocokan'!$B$24</f>
        <v>Cukup</v>
      </c>
      <c r="F25" s="9" t="str">
        <f>'B.kriteria &amp; R.kecocokan'!$B$34</f>
        <v>Tinggi</v>
      </c>
      <c r="G25" s="191" t="str">
        <f>'B.kriteria &amp; R.kecocokan'!$B$41</f>
        <v>Rendah</v>
      </c>
      <c r="H25" s="191" t="str">
        <f>'B.kriteria &amp; R.kecocokan'!$B$72</f>
        <v>Rendah</v>
      </c>
      <c r="I25" s="191" t="str">
        <f>'B.kriteria &amp; R.kecocokan'!$B$95</f>
        <v>Rendah</v>
      </c>
      <c r="J25" s="191" t="str">
        <f>'B.kriteria &amp; R.kecocokan'!$B$80</f>
        <v>Rendah</v>
      </c>
      <c r="K25" s="9" t="str">
        <f>'B.kriteria &amp; R.kecocokan'!$B$88</f>
        <v>Sedang</v>
      </c>
      <c r="L25" s="191" t="str">
        <f>'B.kriteria &amp; R.kecocokan'!$B$49</f>
        <v>Rendah</v>
      </c>
      <c r="M25" s="191" t="str">
        <f>'B.kriteria &amp; R.kecocokan'!$B$57</f>
        <v>Rendah</v>
      </c>
      <c r="N25" s="51" t="str">
        <f>'B.kriteria &amp; R.kecocokan'!$B$65</f>
        <v>Rendah</v>
      </c>
      <c r="O25" s="52" t="s">
        <v>347</v>
      </c>
      <c r="P25" s="2" t="str">
        <f t="shared" si="0"/>
        <v>Tidak</v>
      </c>
      <c r="Q25" t="s">
        <v>8</v>
      </c>
      <c r="W25" s="201">
        <f>$V$3 - ((S26/$S$3*V26) +(S27/$S$3*V27))</f>
        <v>9.4024210316924317E-2</v>
      </c>
    </row>
    <row r="26" spans="1:30" x14ac:dyDescent="0.35">
      <c r="A26" s="147">
        <v>24</v>
      </c>
      <c r="B26" s="16" t="s">
        <v>258</v>
      </c>
      <c r="C26" s="2" t="s">
        <v>62</v>
      </c>
      <c r="D26" s="11" t="s">
        <v>13</v>
      </c>
      <c r="E26" s="32" t="str">
        <f>'B.kriteria &amp; R.kecocokan'!$B$24</f>
        <v>Cukup</v>
      </c>
      <c r="F26" s="9" t="str">
        <f>'B.kriteria &amp; R.kecocokan'!$B$35</f>
        <v>Sangat Tinggi</v>
      </c>
      <c r="G26" s="191" t="str">
        <f>'B.kriteria &amp; R.kecocokan'!$B$41</f>
        <v>Rendah</v>
      </c>
      <c r="H26" s="191" t="str">
        <f>'B.kriteria &amp; R.kecocokan'!$B$72</f>
        <v>Rendah</v>
      </c>
      <c r="I26" s="191" t="str">
        <f>'B.kriteria &amp; R.kecocokan'!$B$95</f>
        <v>Rendah</v>
      </c>
      <c r="J26" s="191" t="str">
        <f>'B.kriteria &amp; R.kecocokan'!$B$80</f>
        <v>Rendah</v>
      </c>
      <c r="K26" s="9" t="str">
        <f>'B.kriteria &amp; R.kecocokan'!$B$88</f>
        <v>Sedang</v>
      </c>
      <c r="L26" s="191" t="str">
        <f>'B.kriteria &amp; R.kecocokan'!$B$49</f>
        <v>Rendah</v>
      </c>
      <c r="M26" s="191" t="str">
        <f>'B.kriteria &amp; R.kecocokan'!$B$57</f>
        <v>Rendah</v>
      </c>
      <c r="N26" s="51" t="str">
        <f>'B.kriteria &amp; R.kecocokan'!$B$65</f>
        <v>Rendah</v>
      </c>
      <c r="O26" s="52" t="s">
        <v>347</v>
      </c>
      <c r="P26" s="2" t="str">
        <f t="shared" si="0"/>
        <v>Tidak</v>
      </c>
      <c r="R26" t="s">
        <v>365</v>
      </c>
      <c r="S26">
        <f>COUNTIFS($J$3:$J$95,$J$3)</f>
        <v>55</v>
      </c>
      <c r="T26">
        <f>COUNTIFS($J$3:$J$95,$J$3,$O$3:$O$95,$O$12)</f>
        <v>6</v>
      </c>
      <c r="U26">
        <f>COUNTIFS($J$3:$J$95,$J$3,$O$3:$O$95,$O$22)</f>
        <v>49</v>
      </c>
      <c r="V26" s="201">
        <f>((-T26/S26)*IMLOG2(T26/S26))+((-U26/S26)*IMLOG2(U26/S26))</f>
        <v>0.49716776141607455</v>
      </c>
    </row>
    <row r="27" spans="1:30" x14ac:dyDescent="0.35">
      <c r="A27" s="147">
        <v>25</v>
      </c>
      <c r="B27" s="16" t="s">
        <v>261</v>
      </c>
      <c r="C27" s="2" t="s">
        <v>64</v>
      </c>
      <c r="D27" s="11" t="s">
        <v>13</v>
      </c>
      <c r="E27" s="9" t="str">
        <f>'B.kriteria &amp; R.kecocokan'!$B$25</f>
        <v>Sedikit</v>
      </c>
      <c r="F27" s="9" t="str">
        <f>'B.kriteria &amp; R.kecocokan'!$B$35</f>
        <v>Sangat Tinggi</v>
      </c>
      <c r="G27" s="191" t="str">
        <f>'B.kriteria &amp; R.kecocokan'!$B$41</f>
        <v>Rendah</v>
      </c>
      <c r="H27" s="191" t="str">
        <f>'B.kriteria &amp; R.kecocokan'!$B$72</f>
        <v>Rendah</v>
      </c>
      <c r="I27" s="191" t="str">
        <f>'B.kriteria &amp; R.kecocokan'!$B$95</f>
        <v>Rendah</v>
      </c>
      <c r="J27" s="9" t="str">
        <f>'B.kriteria &amp; R.kecocokan'!$B$81</f>
        <v>Tinggi</v>
      </c>
      <c r="K27" s="9" t="str">
        <f>'B.kriteria &amp; R.kecocokan'!$B$90</f>
        <v>Sangat Sedikit</v>
      </c>
      <c r="L27" s="191" t="str">
        <f>'B.kriteria &amp; R.kecocokan'!$B$49</f>
        <v>Rendah</v>
      </c>
      <c r="M27" s="9" t="str">
        <f>'B.kriteria &amp; R.kecocokan'!$B$58</f>
        <v>Sedang</v>
      </c>
      <c r="N27" s="51" t="str">
        <f>'B.kriteria &amp; R.kecocokan'!$B$65</f>
        <v>Rendah</v>
      </c>
      <c r="O27" s="52" t="s">
        <v>349</v>
      </c>
      <c r="P27" s="2" t="str">
        <f t="shared" si="0"/>
        <v>Layak</v>
      </c>
      <c r="R27" t="s">
        <v>362</v>
      </c>
      <c r="S27">
        <f>COUNTIFS($J$3:$J$95,$J$18)</f>
        <v>38</v>
      </c>
      <c r="T27">
        <f>COUNTIFS($J$3:$J$95,$J$18,$O$3:$O$95,$O$12)</f>
        <v>16</v>
      </c>
      <c r="U27">
        <f>COUNTIFS($J$3:$J$95,$J$18,$O$3:$O$95,$O$7)</f>
        <v>22</v>
      </c>
      <c r="V27" s="201">
        <f>((-T27/S27)*IMLOG2(T27/S27))+((-U27/S27)*IMLOG2(U27/S27))</f>
        <v>0.98194078686409947</v>
      </c>
    </row>
    <row r="28" spans="1:30" x14ac:dyDescent="0.35">
      <c r="A28" s="57">
        <v>26</v>
      </c>
      <c r="B28" s="16" t="s">
        <v>263</v>
      </c>
      <c r="C28" s="2" t="s">
        <v>66</v>
      </c>
      <c r="D28" s="11" t="s">
        <v>13</v>
      </c>
      <c r="E28" s="9" t="str">
        <f>'B.kriteria &amp; R.kecocokan'!$B$25</f>
        <v>Sedikit</v>
      </c>
      <c r="F28" s="9" t="str">
        <f>'B.kriteria &amp; R.kecocokan'!$B$34</f>
        <v>Tinggi</v>
      </c>
      <c r="G28" s="191" t="str">
        <f>'B.kriteria &amp; R.kecocokan'!$B$41</f>
        <v>Rendah</v>
      </c>
      <c r="H28" s="191" t="str">
        <f>'B.kriteria &amp; R.kecocokan'!$B$72</f>
        <v>Rendah</v>
      </c>
      <c r="I28" s="191" t="str">
        <f>'B.kriteria &amp; R.kecocokan'!$B$95</f>
        <v>Rendah</v>
      </c>
      <c r="J28" s="9" t="str">
        <f>'B.kriteria &amp; R.kecocokan'!$B$81</f>
        <v>Tinggi</v>
      </c>
      <c r="K28" s="9" t="str">
        <f>'B.kriteria &amp; R.kecocokan'!$B$90</f>
        <v>Sangat Sedikit</v>
      </c>
      <c r="L28" s="191" t="str">
        <f>'B.kriteria &amp; R.kecocokan'!$B$49</f>
        <v>Rendah</v>
      </c>
      <c r="M28" s="191" t="str">
        <f>'B.kriteria &amp; R.kecocokan'!$B$57</f>
        <v>Rendah</v>
      </c>
      <c r="N28" s="51" t="str">
        <f>'B.kriteria &amp; R.kecocokan'!$B$65</f>
        <v>Rendah</v>
      </c>
      <c r="O28" s="52" t="s">
        <v>347</v>
      </c>
      <c r="P28" s="2" t="str">
        <f t="shared" si="0"/>
        <v>Tidak</v>
      </c>
      <c r="S28" s="43">
        <f>SUM(S26:S27)</f>
        <v>93</v>
      </c>
      <c r="T28" s="43">
        <f t="shared" ref="T28:U28" si="6">SUM(T26:T27)</f>
        <v>22</v>
      </c>
      <c r="U28" s="43">
        <f t="shared" si="6"/>
        <v>71</v>
      </c>
    </row>
    <row r="29" spans="1:30" x14ac:dyDescent="0.35">
      <c r="A29" s="147">
        <v>27</v>
      </c>
      <c r="B29" s="16" t="s">
        <v>264</v>
      </c>
      <c r="C29" s="2" t="s">
        <v>68</v>
      </c>
      <c r="D29" s="11" t="s">
        <v>13</v>
      </c>
      <c r="E29" s="32" t="str">
        <f>'B.kriteria &amp; R.kecocokan'!$B$24</f>
        <v>Cukup</v>
      </c>
      <c r="F29" s="9" t="str">
        <f>'B.kriteria &amp; R.kecocokan'!$B$34</f>
        <v>Tinggi</v>
      </c>
      <c r="G29" s="9" t="str">
        <f>'B.kriteria &amp; R.kecocokan'!$B$43</f>
        <v>Tinggi</v>
      </c>
      <c r="H29" s="191" t="str">
        <f>'B.kriteria &amp; R.kecocokan'!$B$72</f>
        <v>Rendah</v>
      </c>
      <c r="I29" s="191" t="str">
        <f>'B.kriteria &amp; R.kecocokan'!$B$95</f>
        <v>Rendah</v>
      </c>
      <c r="J29" s="191" t="str">
        <f>'B.kriteria &amp; R.kecocokan'!$B$80</f>
        <v>Rendah</v>
      </c>
      <c r="K29" s="9" t="str">
        <f>'B.kriteria &amp; R.kecocokan'!$B$88</f>
        <v>Sedang</v>
      </c>
      <c r="L29" s="191" t="str">
        <f>'B.kriteria &amp; R.kecocokan'!$B$49</f>
        <v>Rendah</v>
      </c>
      <c r="M29" s="191" t="str">
        <f>'B.kriteria &amp; R.kecocokan'!$B$57</f>
        <v>Rendah</v>
      </c>
      <c r="N29" s="51" t="str">
        <f>'B.kriteria &amp; R.kecocokan'!$B$65</f>
        <v>Rendah</v>
      </c>
      <c r="O29" s="52" t="s">
        <v>347</v>
      </c>
      <c r="P29" s="2" t="str">
        <f t="shared" si="0"/>
        <v>Tidak</v>
      </c>
      <c r="Q29" t="s">
        <v>373</v>
      </c>
      <c r="W29">
        <f>$V$3 - ((S30/$S$3*V30) +(S31/$S$3*V31) +(S32/$S$3*V32))</f>
        <v>3.6553437263682875E-2</v>
      </c>
    </row>
    <row r="30" spans="1:30" x14ac:dyDescent="0.35">
      <c r="A30" s="147">
        <v>28</v>
      </c>
      <c r="B30" s="16" t="s">
        <v>262</v>
      </c>
      <c r="C30" s="2" t="s">
        <v>69</v>
      </c>
      <c r="D30" s="11" t="s">
        <v>13</v>
      </c>
      <c r="E30" s="32" t="str">
        <f>'B.kriteria &amp; R.kecocokan'!$B$24</f>
        <v>Cukup</v>
      </c>
      <c r="F30" s="9" t="str">
        <f>'B.kriteria &amp; R.kecocokan'!$B$34</f>
        <v>Tinggi</v>
      </c>
      <c r="G30" s="191" t="str">
        <f>'B.kriteria &amp; R.kecocokan'!$B$41</f>
        <v>Rendah</v>
      </c>
      <c r="H30" s="191" t="str">
        <f>'B.kriteria &amp; R.kecocokan'!$B$72</f>
        <v>Rendah</v>
      </c>
      <c r="I30" s="191" t="str">
        <f>'B.kriteria &amp; R.kecocokan'!$B$95</f>
        <v>Rendah</v>
      </c>
      <c r="J30" s="191" t="str">
        <f>'B.kriteria &amp; R.kecocokan'!$B$80</f>
        <v>Rendah</v>
      </c>
      <c r="K30" s="191" t="str">
        <f>'B.kriteria &amp; R.kecocokan'!$B$89</f>
        <v>Sedikit</v>
      </c>
      <c r="L30" s="191" t="str">
        <f>'B.kriteria &amp; R.kecocokan'!$B$49</f>
        <v>Rendah</v>
      </c>
      <c r="M30" s="9" t="str">
        <f>'B.kriteria &amp; R.kecocokan'!$B$58</f>
        <v>Sedang</v>
      </c>
      <c r="N30" s="51" t="str">
        <f>'B.kriteria &amp; R.kecocokan'!$B$65</f>
        <v>Rendah</v>
      </c>
      <c r="O30" s="52" t="s">
        <v>347</v>
      </c>
      <c r="P30" s="2" t="str">
        <f t="shared" si="0"/>
        <v xml:space="preserve"> Tidak</v>
      </c>
      <c r="R30" t="s">
        <v>366</v>
      </c>
      <c r="S30">
        <f>COUNTIFS($K$3:$K$95,$K$7)</f>
        <v>29</v>
      </c>
      <c r="T30">
        <f>COUNTIFS($K$3:$K$95,$K$7,$O$3:$O$95,$O$12)</f>
        <v>6</v>
      </c>
      <c r="U30">
        <f>COUNTIFS($K$3:$K$95,$K$7,$O$3:$O$95,$O$3)</f>
        <v>23</v>
      </c>
      <c r="V30" s="201">
        <f>((-T30/S30)*IMLOG2(T30/S30))+((-U30/S30)*IMLOG2(U30/S30))</f>
        <v>0.73550858155384047</v>
      </c>
    </row>
    <row r="31" spans="1:30" x14ac:dyDescent="0.35">
      <c r="A31" s="57">
        <v>29</v>
      </c>
      <c r="B31" s="16" t="s">
        <v>272</v>
      </c>
      <c r="C31" s="2" t="s">
        <v>70</v>
      </c>
      <c r="D31" s="11" t="s">
        <v>13</v>
      </c>
      <c r="E31" s="9" t="str">
        <f>'B.kriteria &amp; R.kecocokan'!$B$23</f>
        <v>Banyak</v>
      </c>
      <c r="F31" s="9" t="str">
        <f>'B.kriteria &amp; R.kecocokan'!$B$35</f>
        <v>Sangat Tinggi</v>
      </c>
      <c r="G31" s="191" t="str">
        <f>'B.kriteria &amp; R.kecocokan'!$B$41</f>
        <v>Rendah</v>
      </c>
      <c r="H31" s="191" t="str">
        <f>'B.kriteria &amp; R.kecocokan'!$B$72</f>
        <v>Rendah</v>
      </c>
      <c r="I31" s="191" t="str">
        <f>'B.kriteria &amp; R.kecocokan'!$B$95</f>
        <v>Rendah</v>
      </c>
      <c r="J31" s="191" t="str">
        <f>'B.kriteria &amp; R.kecocokan'!$B$80</f>
        <v>Rendah</v>
      </c>
      <c r="K31" s="9" t="str">
        <f>'B.kriteria &amp; R.kecocokan'!$B$90</f>
        <v>Sangat Sedikit</v>
      </c>
      <c r="L31" s="191" t="str">
        <f>'B.kriteria &amp; R.kecocokan'!$B$49</f>
        <v>Rendah</v>
      </c>
      <c r="M31" s="191" t="str">
        <f>'B.kriteria &amp; R.kecocokan'!$B$57</f>
        <v>Rendah</v>
      </c>
      <c r="N31" s="51" t="str">
        <f>'B.kriteria &amp; R.kecocokan'!$B$65</f>
        <v>Rendah</v>
      </c>
      <c r="O31" s="52" t="s">
        <v>347</v>
      </c>
      <c r="P31" s="2" t="str">
        <f t="shared" si="0"/>
        <v>Tidak</v>
      </c>
      <c r="R31" t="s">
        <v>364</v>
      </c>
      <c r="S31">
        <f>COUNTIFS($K$3:$K$95,$K$16)</f>
        <v>21</v>
      </c>
      <c r="T31">
        <f>COUNTIFS($K$3:$K$95,$K$16,$O$3:$O$95,$O$21)</f>
        <v>2</v>
      </c>
      <c r="U31">
        <f>COUNTIFS($K$3:$K$95,$K$16,$O$3:$O$95,$O$25)</f>
        <v>19</v>
      </c>
      <c r="V31" s="201">
        <f>((-T31/S31)*IMLOG2(T31/S31))+((-U31/S31)*IMLOG2(U31/S31))</f>
        <v>0.45371633918694498</v>
      </c>
      <c r="AA31" t="s">
        <v>444</v>
      </c>
    </row>
    <row r="32" spans="1:30" x14ac:dyDescent="0.35">
      <c r="A32" s="147">
        <v>30</v>
      </c>
      <c r="B32" s="16" t="s">
        <v>259</v>
      </c>
      <c r="C32" s="2" t="s">
        <v>71</v>
      </c>
      <c r="D32" s="11" t="s">
        <v>13</v>
      </c>
      <c r="E32" s="9" t="str">
        <f>'B.kriteria &amp; R.kecocokan'!$B$25</f>
        <v>Sedikit</v>
      </c>
      <c r="F32" s="9" t="str">
        <f>'B.kriteria &amp; R.kecocokan'!$B$35</f>
        <v>Sangat Tinggi</v>
      </c>
      <c r="G32" s="191" t="str">
        <f>'B.kriteria &amp; R.kecocokan'!$B$41</f>
        <v>Rendah</v>
      </c>
      <c r="H32" s="191" t="str">
        <f>'B.kriteria &amp; R.kecocokan'!$B$72</f>
        <v>Rendah</v>
      </c>
      <c r="I32" s="191" t="str">
        <f>'B.kriteria &amp; R.kecocokan'!$B$95</f>
        <v>Rendah</v>
      </c>
      <c r="J32" s="9" t="str">
        <f>'B.kriteria &amp; R.kecocokan'!$B$81</f>
        <v>Tinggi</v>
      </c>
      <c r="K32" s="9" t="str">
        <f>'B.kriteria &amp; R.kecocokan'!$B$88</f>
        <v>Sedang</v>
      </c>
      <c r="L32" s="9" t="str">
        <f>'B.kriteria &amp; R.kecocokan'!$B$51</f>
        <v>Tinggi</v>
      </c>
      <c r="M32" s="9" t="str">
        <f>'B.kriteria &amp; R.kecocokan'!$B$59</f>
        <v>Tinggi</v>
      </c>
      <c r="N32" s="51" t="str">
        <f>'B.kriteria &amp; R.kecocokan'!$B$65</f>
        <v>Rendah</v>
      </c>
      <c r="O32" s="52" t="s">
        <v>349</v>
      </c>
      <c r="P32" s="2" t="str">
        <f t="shared" si="0"/>
        <v>Layak</v>
      </c>
      <c r="R32" t="s">
        <v>374</v>
      </c>
      <c r="S32">
        <f>COUNTIFS($K$3:$K$95,$K$21)</f>
        <v>43</v>
      </c>
      <c r="T32">
        <f>COUNTIFS($K$3:$K$95,$K$21,$O$3:$O$95,$O$19)</f>
        <v>14</v>
      </c>
      <c r="U32">
        <f>COUNTIFS($K$3:$K$95,$K$21,$O$3:$O$95,$O$28)</f>
        <v>29</v>
      </c>
      <c r="V32" s="201">
        <f>((-T32/S32)*IMLOG2(T32/S32))+((-U32/S32)*IMLOG2(U32/S32))</f>
        <v>0.91034806243451427</v>
      </c>
      <c r="AA32" s="232" t="s">
        <v>432</v>
      </c>
      <c r="AB32" s="232"/>
      <c r="AC32" s="231" t="s">
        <v>431</v>
      </c>
      <c r="AD32" s="231"/>
    </row>
    <row r="33" spans="1:30" x14ac:dyDescent="0.35">
      <c r="A33" s="147">
        <v>31</v>
      </c>
      <c r="B33" s="16" t="s">
        <v>260</v>
      </c>
      <c r="C33" s="2" t="s">
        <v>74</v>
      </c>
      <c r="D33" s="11" t="s">
        <v>13</v>
      </c>
      <c r="E33" s="32" t="str">
        <f>'B.kriteria &amp; R.kecocokan'!$B$24</f>
        <v>Cukup</v>
      </c>
      <c r="F33" s="9" t="str">
        <f>'B.kriteria &amp; R.kecocokan'!$B$35</f>
        <v>Sangat Tinggi</v>
      </c>
      <c r="G33" s="191" t="str">
        <f>'B.kriteria &amp; R.kecocokan'!$B$41</f>
        <v>Rendah</v>
      </c>
      <c r="H33" s="191" t="str">
        <f>'B.kriteria &amp; R.kecocokan'!$B$72</f>
        <v>Rendah</v>
      </c>
      <c r="I33" s="191" t="str">
        <f>'B.kriteria &amp; R.kecocokan'!$B$95</f>
        <v>Rendah</v>
      </c>
      <c r="J33" s="191" t="str">
        <f>'B.kriteria &amp; R.kecocokan'!$B$80</f>
        <v>Rendah</v>
      </c>
      <c r="K33" s="191" t="str">
        <f>'B.kriteria &amp; R.kecocokan'!$B$89</f>
        <v>Sedikit</v>
      </c>
      <c r="L33" s="191" t="str">
        <f>'B.kriteria &amp; R.kecocokan'!$B$49</f>
        <v>Rendah</v>
      </c>
      <c r="M33" s="9" t="str">
        <f>'B.kriteria &amp; R.kecocokan'!$B$58</f>
        <v>Sedang</v>
      </c>
      <c r="N33" s="51" t="str">
        <f>'B.kriteria &amp; R.kecocokan'!$B$65</f>
        <v>Rendah</v>
      </c>
      <c r="O33" s="52" t="s">
        <v>349</v>
      </c>
      <c r="P33" s="2" t="str">
        <f t="shared" si="0"/>
        <v>Layak</v>
      </c>
      <c r="S33" s="43">
        <f t="shared" ref="S33:U33" si="7">SUM(S30:S32)</f>
        <v>93</v>
      </c>
      <c r="T33" s="43">
        <f t="shared" si="7"/>
        <v>22</v>
      </c>
      <c r="U33" s="43">
        <f t="shared" si="7"/>
        <v>71</v>
      </c>
      <c r="AA33" s="232"/>
      <c r="AB33" s="232"/>
      <c r="AC33" s="2" t="s">
        <v>349</v>
      </c>
      <c r="AD33" s="2" t="s">
        <v>347</v>
      </c>
    </row>
    <row r="34" spans="1:30" x14ac:dyDescent="0.35">
      <c r="A34" s="57">
        <v>32</v>
      </c>
      <c r="B34" s="16" t="s">
        <v>289</v>
      </c>
      <c r="C34" s="2" t="s">
        <v>76</v>
      </c>
      <c r="D34" s="11" t="s">
        <v>13</v>
      </c>
      <c r="E34" s="32" t="str">
        <f>'B.kriteria &amp; R.kecocokan'!$B$24</f>
        <v>Cukup</v>
      </c>
      <c r="F34" s="9" t="str">
        <f>'B.kriteria &amp; R.kecocokan'!$B$34</f>
        <v>Tinggi</v>
      </c>
      <c r="G34" s="191" t="str">
        <f>'B.kriteria &amp; R.kecocokan'!$B$41</f>
        <v>Rendah</v>
      </c>
      <c r="H34" s="191" t="str">
        <f>'B.kriteria &amp; R.kecocokan'!$B$72</f>
        <v>Rendah</v>
      </c>
      <c r="I34" s="191" t="str">
        <f>'B.kriteria &amp; R.kecocokan'!$B$95</f>
        <v>Rendah</v>
      </c>
      <c r="J34" s="191" t="str">
        <f>'B.kriteria &amp; R.kecocokan'!$B$80</f>
        <v>Rendah</v>
      </c>
      <c r="K34" s="9" t="str">
        <f>'B.kriteria &amp; R.kecocokan'!$B$88</f>
        <v>Sedang</v>
      </c>
      <c r="L34" s="191" t="str">
        <f>'B.kriteria &amp; R.kecocokan'!$B$49</f>
        <v>Rendah</v>
      </c>
      <c r="M34" s="191" t="str">
        <f>'B.kriteria &amp; R.kecocokan'!$B$57</f>
        <v>Rendah</v>
      </c>
      <c r="N34" s="51" t="str">
        <f>'B.kriteria &amp; R.kecocokan'!$B$65</f>
        <v>Rendah</v>
      </c>
      <c r="O34" s="52" t="s">
        <v>347</v>
      </c>
      <c r="P34" s="2" t="str">
        <f t="shared" si="0"/>
        <v>Tidak</v>
      </c>
      <c r="Q34" t="s">
        <v>9</v>
      </c>
      <c r="W34">
        <f>$V$3 - ((S35/$S$3*V35) +(S36/$S$3*V36) +(S37/$S$3*V37))</f>
        <v>0.2208890825793085</v>
      </c>
      <c r="AA34" s="231" t="s">
        <v>349</v>
      </c>
      <c r="AB34" s="231"/>
      <c r="AC34" s="2">
        <v>16</v>
      </c>
      <c r="AD34" s="2">
        <v>2</v>
      </c>
    </row>
    <row r="35" spans="1:30" x14ac:dyDescent="0.35">
      <c r="A35" s="147">
        <v>33</v>
      </c>
      <c r="B35" s="16" t="s">
        <v>290</v>
      </c>
      <c r="C35" s="2" t="s">
        <v>79</v>
      </c>
      <c r="D35" s="11" t="s">
        <v>13</v>
      </c>
      <c r="E35" s="9" t="str">
        <f>'B.kriteria &amp; R.kecocokan'!$B$25</f>
        <v>Sedikit</v>
      </c>
      <c r="F35" s="9" t="str">
        <f>'B.kriteria &amp; R.kecocokan'!$B$34</f>
        <v>Tinggi</v>
      </c>
      <c r="G35" s="9" t="str">
        <f>'B.kriteria &amp; R.kecocokan'!$B$43</f>
        <v>Tinggi</v>
      </c>
      <c r="H35" s="191" t="str">
        <f>'B.kriteria &amp; R.kecocokan'!$B$72</f>
        <v>Rendah</v>
      </c>
      <c r="I35" s="191" t="str">
        <f>'B.kriteria &amp; R.kecocokan'!$B$95</f>
        <v>Rendah</v>
      </c>
      <c r="J35" s="9" t="str">
        <f>'B.kriteria &amp; R.kecocokan'!$B$81</f>
        <v>Tinggi</v>
      </c>
      <c r="K35" s="9" t="str">
        <f>'B.kriteria &amp; R.kecocokan'!$B$90</f>
        <v>Sangat Sedikit</v>
      </c>
      <c r="L35" s="191" t="str">
        <f>'B.kriteria &amp; R.kecocokan'!$B$49</f>
        <v>Rendah</v>
      </c>
      <c r="M35" s="191" t="str">
        <f>'B.kriteria &amp; R.kecocokan'!$B$57</f>
        <v>Rendah</v>
      </c>
      <c r="N35" s="51" t="str">
        <f>'B.kriteria &amp; R.kecocokan'!$B$65</f>
        <v>Rendah</v>
      </c>
      <c r="O35" s="52" t="s">
        <v>347</v>
      </c>
      <c r="P35" s="2" t="str">
        <f t="shared" ref="P35:P66" si="8">_xlfn.IFS(M35="Rendah","Tidak",M35="Tinggi","Layak",M35="sedang",IF(OR(K35="Sedang",K35="Sangat Sedikit"),"Layak",IF(F35="Sangat Tinggi","Layak"," Tidak")))</f>
        <v>Tidak</v>
      </c>
      <c r="R35" t="s">
        <v>319</v>
      </c>
      <c r="S35">
        <f>COUNTIFS($L$3:$L$95,$L$3)</f>
        <v>82</v>
      </c>
      <c r="T35">
        <f>COUNTIFS($L$3:$L$95,$L$3,$O$3:$O$95,$O$12)</f>
        <v>12</v>
      </c>
      <c r="U35">
        <f>COUNTIFS($L$3:$L$95,$L$3,$O$3:$O$95,$O$28)</f>
        <v>70</v>
      </c>
      <c r="V35" s="201">
        <f t="shared" ref="V35:V37" si="9">((-T35/S35)*IMLOG2(T35/S35))+((-U35/S35)*IMLOG2(U35/S35))</f>
        <v>0.60060857541318713</v>
      </c>
      <c r="AA35" s="231" t="s">
        <v>347</v>
      </c>
      <c r="AB35" s="231"/>
      <c r="AC35" s="2">
        <v>6</v>
      </c>
      <c r="AD35" s="2">
        <v>67</v>
      </c>
    </row>
    <row r="36" spans="1:30" x14ac:dyDescent="0.35">
      <c r="A36" s="147">
        <v>34</v>
      </c>
      <c r="B36" s="16" t="s">
        <v>291</v>
      </c>
      <c r="C36" s="2" t="s">
        <v>81</v>
      </c>
      <c r="D36" s="11" t="s">
        <v>13</v>
      </c>
      <c r="E36" s="9" t="str">
        <f>'B.kriteria &amp; R.kecocokan'!$B$23</f>
        <v>Banyak</v>
      </c>
      <c r="F36" s="9" t="str">
        <f>'B.kriteria &amp; R.kecocokan'!$B$34</f>
        <v>Tinggi</v>
      </c>
      <c r="G36" s="191" t="str">
        <f>'B.kriteria &amp; R.kecocokan'!$B$41</f>
        <v>Rendah</v>
      </c>
      <c r="H36" s="191" t="str">
        <f>'B.kriteria &amp; R.kecocokan'!$B$72</f>
        <v>Rendah</v>
      </c>
      <c r="I36" s="191" t="str">
        <f>'B.kriteria &amp; R.kecocokan'!$B$95</f>
        <v>Rendah</v>
      </c>
      <c r="J36" s="9" t="str">
        <f>'B.kriteria &amp; R.kecocokan'!$B$81</f>
        <v>Tinggi</v>
      </c>
      <c r="K36" s="9" t="str">
        <f>'B.kriteria &amp; R.kecocokan'!$B$90</f>
        <v>Sangat Sedikit</v>
      </c>
      <c r="L36" s="191" t="str">
        <f>'B.kriteria &amp; R.kecocokan'!$B$49</f>
        <v>Rendah</v>
      </c>
      <c r="M36" s="191" t="str">
        <f>'B.kriteria &amp; R.kecocokan'!$B$57</f>
        <v>Rendah</v>
      </c>
      <c r="N36" s="51" t="str">
        <f>'B.kriteria &amp; R.kecocokan'!$B$65</f>
        <v>Rendah</v>
      </c>
      <c r="O36" s="52" t="s">
        <v>347</v>
      </c>
      <c r="P36" s="2" t="str">
        <f t="shared" si="8"/>
        <v>Tidak</v>
      </c>
      <c r="R36" t="s">
        <v>366</v>
      </c>
      <c r="S36">
        <f>COUNTIFS($L$3:$L$95,$L$20)</f>
        <v>6</v>
      </c>
      <c r="T36">
        <f>COUNTIFS($L$3:$L$95,$L$20,$O$3:$O$95,$O$12)</f>
        <v>6</v>
      </c>
      <c r="U36">
        <f>COUNTIFS($L$3:$L$95,$L$20,$O$3:$O$95,$O$31)</f>
        <v>0</v>
      </c>
      <c r="V36" s="201">
        <v>0</v>
      </c>
    </row>
    <row r="37" spans="1:30" x14ac:dyDescent="0.35">
      <c r="A37" s="57">
        <v>35</v>
      </c>
      <c r="B37" s="16" t="s">
        <v>292</v>
      </c>
      <c r="C37" s="2" t="s">
        <v>83</v>
      </c>
      <c r="D37" s="11" t="s">
        <v>13</v>
      </c>
      <c r="E37" s="9" t="str">
        <f>'B.kriteria &amp; R.kecocokan'!$B$25</f>
        <v>Sedikit</v>
      </c>
      <c r="F37" s="9" t="str">
        <f>'B.kriteria &amp; R.kecocokan'!$B$34</f>
        <v>Tinggi</v>
      </c>
      <c r="G37" s="191" t="str">
        <f>'B.kriteria &amp; R.kecocokan'!$B$41</f>
        <v>Rendah</v>
      </c>
      <c r="H37" s="9" t="str">
        <f>'B.kriteria &amp; R.kecocokan'!$B$74</f>
        <v>Tinggi</v>
      </c>
      <c r="I37" s="191" t="str">
        <f>'B.kriteria &amp; R.kecocokan'!$B$95</f>
        <v>Rendah</v>
      </c>
      <c r="J37" s="9" t="str">
        <f>'B.kriteria &amp; R.kecocokan'!$B$81</f>
        <v>Tinggi</v>
      </c>
      <c r="K37" s="9" t="str">
        <f>'B.kriteria &amp; R.kecocokan'!$B$90</f>
        <v>Sangat Sedikit</v>
      </c>
      <c r="L37" s="9" t="str">
        <f>'B.kriteria &amp; R.kecocokan'!$B$50</f>
        <v>Sedang</v>
      </c>
      <c r="M37" s="9" t="str">
        <f>'B.kriteria &amp; R.kecocokan'!$B$59</f>
        <v>Tinggi</v>
      </c>
      <c r="N37" s="51" t="str">
        <f>'B.kriteria &amp; R.kecocokan'!$B$65</f>
        <v>Rendah</v>
      </c>
      <c r="O37" s="52" t="s">
        <v>349</v>
      </c>
      <c r="P37" s="2" t="str">
        <f t="shared" si="8"/>
        <v>Layak</v>
      </c>
      <c r="R37" t="s">
        <v>362</v>
      </c>
      <c r="S37">
        <f>COUNTIFS($L$3:$L$95,$L$32)</f>
        <v>5</v>
      </c>
      <c r="T37">
        <f>COUNTIFS($L$3:$L$95,$L$32,$O$3:$O$95,$O$27)</f>
        <v>4</v>
      </c>
      <c r="U37">
        <f>COUNTIFS($L$3:$L$95,$L$32,$O$3:$O$95,$O$28)</f>
        <v>1</v>
      </c>
      <c r="V37" s="201">
        <f t="shared" si="9"/>
        <v>0.72192809488736165</v>
      </c>
      <c r="AA37" s="181" t="s">
        <v>423</v>
      </c>
      <c r="AB37" s="219">
        <f>(AC34+AD35)/(AC34+AD35+AD34+AC35)*100</f>
        <v>91.208791208791212</v>
      </c>
      <c r="AC37" s="181" t="s">
        <v>441</v>
      </c>
    </row>
    <row r="38" spans="1:30" x14ac:dyDescent="0.35">
      <c r="A38" s="147">
        <v>36</v>
      </c>
      <c r="B38" s="16" t="s">
        <v>293</v>
      </c>
      <c r="C38" s="2" t="s">
        <v>84</v>
      </c>
      <c r="D38" s="11" t="s">
        <v>13</v>
      </c>
      <c r="E38" s="32" t="str">
        <f>'B.kriteria &amp; R.kecocokan'!$B$24</f>
        <v>Cukup</v>
      </c>
      <c r="F38" s="9" t="str">
        <f>'B.kriteria &amp; R.kecocokan'!$B$34</f>
        <v>Tinggi</v>
      </c>
      <c r="G38" s="191" t="str">
        <f>'B.kriteria &amp; R.kecocokan'!$B$41</f>
        <v>Rendah</v>
      </c>
      <c r="H38" s="191" t="str">
        <f>'B.kriteria &amp; R.kecocokan'!$B$72</f>
        <v>Rendah</v>
      </c>
      <c r="I38" s="191" t="str">
        <f>'B.kriteria &amp; R.kecocokan'!$B$95</f>
        <v>Rendah</v>
      </c>
      <c r="J38" s="191" t="str">
        <f>'B.kriteria &amp; R.kecocokan'!$B$80</f>
        <v>Rendah</v>
      </c>
      <c r="K38" s="9" t="str">
        <f>'B.kriteria &amp; R.kecocokan'!$B$90</f>
        <v>Sangat Sedikit</v>
      </c>
      <c r="L38" s="191" t="str">
        <f>'B.kriteria &amp; R.kecocokan'!$B$49</f>
        <v>Rendah</v>
      </c>
      <c r="M38" s="191" t="str">
        <f>'B.kriteria &amp; R.kecocokan'!$B$57</f>
        <v>Rendah</v>
      </c>
      <c r="N38" s="51" t="str">
        <f>'B.kriteria &amp; R.kecocokan'!$B$65</f>
        <v>Rendah</v>
      </c>
      <c r="O38" s="52" t="s">
        <v>347</v>
      </c>
      <c r="P38" s="2" t="str">
        <f t="shared" si="8"/>
        <v>Tidak</v>
      </c>
      <c r="S38" s="43">
        <f t="shared" ref="S38:U38" si="10">SUM(S35:S37)</f>
        <v>93</v>
      </c>
      <c r="T38" s="43">
        <f t="shared" si="10"/>
        <v>22</v>
      </c>
      <c r="U38" s="43">
        <f t="shared" si="10"/>
        <v>71</v>
      </c>
      <c r="AA38" s="215" t="s">
        <v>445</v>
      </c>
      <c r="AB38" s="218">
        <f>(AD34+AC35)/(AC35+AD34+AC34+AD35)*100</f>
        <v>8.791208791208792</v>
      </c>
      <c r="AC38" s="215" t="s">
        <v>441</v>
      </c>
    </row>
    <row r="39" spans="1:30" x14ac:dyDescent="0.35">
      <c r="A39" s="147">
        <v>37</v>
      </c>
      <c r="B39" s="16" t="s">
        <v>267</v>
      </c>
      <c r="C39" s="2" t="s">
        <v>85</v>
      </c>
      <c r="D39" s="11" t="s">
        <v>13</v>
      </c>
      <c r="E39" s="32" t="str">
        <f>'B.kriteria &amp; R.kecocokan'!$B$24</f>
        <v>Cukup</v>
      </c>
      <c r="F39" s="9" t="str">
        <f>'B.kriteria &amp; R.kecocokan'!$B$34</f>
        <v>Tinggi</v>
      </c>
      <c r="G39" s="191" t="str">
        <f>'B.kriteria &amp; R.kecocokan'!$B$41</f>
        <v>Rendah</v>
      </c>
      <c r="H39" s="191" t="str">
        <f>'B.kriteria &amp; R.kecocokan'!$B$72</f>
        <v>Rendah</v>
      </c>
      <c r="I39" s="191" t="str">
        <f>'B.kriteria &amp; R.kecocokan'!$B$95</f>
        <v>Rendah</v>
      </c>
      <c r="J39" s="191" t="str">
        <f>'B.kriteria &amp; R.kecocokan'!$B$80</f>
        <v>Rendah</v>
      </c>
      <c r="K39" s="9" t="str">
        <f>'B.kriteria &amp; R.kecocokan'!$B$88</f>
        <v>Sedang</v>
      </c>
      <c r="L39" s="191" t="str">
        <f>'B.kriteria &amp; R.kecocokan'!$B$49</f>
        <v>Rendah</v>
      </c>
      <c r="M39" s="191" t="str">
        <f>'B.kriteria &amp; R.kecocokan'!$B$57</f>
        <v>Rendah</v>
      </c>
      <c r="N39" s="51" t="str">
        <f>'B.kriteria &amp; R.kecocokan'!$B$65</f>
        <v>Rendah</v>
      </c>
      <c r="O39" s="52" t="s">
        <v>347</v>
      </c>
      <c r="P39" s="2" t="str">
        <f t="shared" si="8"/>
        <v>Tidak</v>
      </c>
      <c r="Q39" s="43" t="s">
        <v>375</v>
      </c>
      <c r="W39" s="43">
        <f>$V$3 - ((S40/$S$3*V40) +(S41/$S$3*V41) +(S42/$S$3*V42))</f>
        <v>0.37264121871330541</v>
      </c>
    </row>
    <row r="40" spans="1:30" x14ac:dyDescent="0.35">
      <c r="A40" s="57">
        <v>38</v>
      </c>
      <c r="B40" s="16" t="s">
        <v>268</v>
      </c>
      <c r="C40" s="2" t="s">
        <v>86</v>
      </c>
      <c r="D40" s="11" t="s">
        <v>13</v>
      </c>
      <c r="E40" s="9" t="str">
        <f>'B.kriteria &amp; R.kecocokan'!$B$25</f>
        <v>Sedikit</v>
      </c>
      <c r="F40" s="9" t="str">
        <f>'B.kriteria &amp; R.kecocokan'!$B$34</f>
        <v>Tinggi</v>
      </c>
      <c r="G40" s="9" t="str">
        <f>'B.kriteria &amp; R.kecocokan'!$B$43</f>
        <v>Tinggi</v>
      </c>
      <c r="H40" s="191" t="str">
        <f>'B.kriteria &amp; R.kecocokan'!$B$72</f>
        <v>Rendah</v>
      </c>
      <c r="I40" s="191" t="str">
        <f>'B.kriteria &amp; R.kecocokan'!$B$95</f>
        <v>Rendah</v>
      </c>
      <c r="J40" s="9" t="str">
        <f>'B.kriteria &amp; R.kecocokan'!$B$81</f>
        <v>Tinggi</v>
      </c>
      <c r="K40" s="9" t="str">
        <f>'B.kriteria &amp; R.kecocokan'!$B$90</f>
        <v>Sangat Sedikit</v>
      </c>
      <c r="L40" s="191" t="str">
        <f>'B.kriteria &amp; R.kecocokan'!$B$49</f>
        <v>Rendah</v>
      </c>
      <c r="M40" s="191" t="str">
        <f>'B.kriteria &amp; R.kecocokan'!$B$57</f>
        <v>Rendah</v>
      </c>
      <c r="N40" s="51" t="str">
        <f>'B.kriteria &amp; R.kecocokan'!$B$65</f>
        <v>Rendah</v>
      </c>
      <c r="O40" s="52" t="s">
        <v>347</v>
      </c>
      <c r="P40" s="2" t="str">
        <f t="shared" si="8"/>
        <v>Tidak</v>
      </c>
      <c r="R40" t="s">
        <v>319</v>
      </c>
      <c r="S40">
        <f>COUNTIFS($M$3:$M$95,$M$3)</f>
        <v>72</v>
      </c>
      <c r="T40">
        <f>COUNTIFS($M$3:$M$95,$M$3,$O$3:$O$95,$O$12)</f>
        <v>5</v>
      </c>
      <c r="U40">
        <f>COUNTIFS($M$3:$M$95,$M$3,$O$3:$O$95,$O$36)</f>
        <v>67</v>
      </c>
      <c r="V40" s="201">
        <f t="shared" ref="V40:V41" si="11">((-T40/S40)*IMLOG2(T40/S40))+((-U40/S40)*IMLOG2(U40/S40))</f>
        <v>0.36384699817692956</v>
      </c>
    </row>
    <row r="41" spans="1:30" x14ac:dyDescent="0.35">
      <c r="A41" s="147">
        <v>39</v>
      </c>
      <c r="B41" s="16" t="s">
        <v>294</v>
      </c>
      <c r="C41" s="2" t="s">
        <v>87</v>
      </c>
      <c r="D41" s="11" t="s">
        <v>13</v>
      </c>
      <c r="E41" s="9" t="str">
        <f>'B.kriteria &amp; R.kecocokan'!$B$25</f>
        <v>Sedikit</v>
      </c>
      <c r="F41" s="9" t="str">
        <f>'B.kriteria &amp; R.kecocokan'!$B$34</f>
        <v>Tinggi</v>
      </c>
      <c r="G41" s="191" t="str">
        <f>'B.kriteria &amp; R.kecocokan'!$B$41</f>
        <v>Rendah</v>
      </c>
      <c r="H41" s="191" t="str">
        <f>'B.kriteria &amp; R.kecocokan'!$B$72</f>
        <v>Rendah</v>
      </c>
      <c r="I41" s="191" t="str">
        <f>'B.kriteria &amp; R.kecocokan'!$B$95</f>
        <v>Rendah</v>
      </c>
      <c r="J41" s="9" t="str">
        <f>'B.kriteria &amp; R.kecocokan'!$B$81</f>
        <v>Tinggi</v>
      </c>
      <c r="K41" s="9" t="str">
        <f>'B.kriteria &amp; R.kecocokan'!$B$90</f>
        <v>Sangat Sedikit</v>
      </c>
      <c r="L41" s="191" t="str">
        <f>'B.kriteria &amp; R.kecocokan'!$B$49</f>
        <v>Rendah</v>
      </c>
      <c r="M41" s="191" t="str">
        <f>'B.kriteria &amp; R.kecocokan'!$B$57</f>
        <v>Rendah</v>
      </c>
      <c r="N41" s="51" t="str">
        <f>'B.kriteria &amp; R.kecocokan'!$B$65</f>
        <v>Rendah</v>
      </c>
      <c r="O41" s="52" t="s">
        <v>347</v>
      </c>
      <c r="P41" s="2" t="str">
        <f t="shared" si="8"/>
        <v>Tidak</v>
      </c>
      <c r="R41" t="s">
        <v>366</v>
      </c>
      <c r="S41">
        <f>COUNTIFS($M$3:$M$95,$M$30)</f>
        <v>15</v>
      </c>
      <c r="T41">
        <f>COUNTIFS($M$3:$M$95,$M$30,$O$3:$O$95,$O$33)</f>
        <v>11</v>
      </c>
      <c r="U41">
        <f>COUNTIFS($M$3:$M$95,$M$30,$O$3:$O$95,$O$31)</f>
        <v>4</v>
      </c>
      <c r="V41" s="201">
        <f t="shared" si="11"/>
        <v>0.83664074194116733</v>
      </c>
    </row>
    <row r="42" spans="1:30" x14ac:dyDescent="0.35">
      <c r="A42" s="147">
        <v>40</v>
      </c>
      <c r="B42" s="16" t="s">
        <v>269</v>
      </c>
      <c r="C42" s="2" t="s">
        <v>88</v>
      </c>
      <c r="D42" s="11" t="s">
        <v>13</v>
      </c>
      <c r="E42" s="32" t="str">
        <f>'B.kriteria &amp; R.kecocokan'!$B$24</f>
        <v>Cukup</v>
      </c>
      <c r="F42" s="9" t="str">
        <f>'B.kriteria &amp; R.kecocokan'!$B$34</f>
        <v>Tinggi</v>
      </c>
      <c r="G42" s="9" t="str">
        <f>'B.kriteria &amp; R.kecocokan'!$B$43</f>
        <v>Tinggi</v>
      </c>
      <c r="H42" s="191" t="str">
        <f>'B.kriteria &amp; R.kecocokan'!$B$72</f>
        <v>Rendah</v>
      </c>
      <c r="I42" s="191" t="str">
        <f>'B.kriteria &amp; R.kecocokan'!$B$95</f>
        <v>Rendah</v>
      </c>
      <c r="J42" s="191" t="str">
        <f>'B.kriteria &amp; R.kecocokan'!$B$80</f>
        <v>Rendah</v>
      </c>
      <c r="K42" s="9" t="str">
        <f>'B.kriteria &amp; R.kecocokan'!$B$88</f>
        <v>Sedang</v>
      </c>
      <c r="L42" s="191" t="str">
        <f>'B.kriteria &amp; R.kecocokan'!$B$49</f>
        <v>Rendah</v>
      </c>
      <c r="M42" s="191" t="str">
        <f>'B.kriteria &amp; R.kecocokan'!$B$57</f>
        <v>Rendah</v>
      </c>
      <c r="N42" s="51" t="str">
        <f>'B.kriteria &amp; R.kecocokan'!$B$65</f>
        <v>Rendah</v>
      </c>
      <c r="O42" s="52" t="s">
        <v>347</v>
      </c>
      <c r="P42" s="2" t="str">
        <f t="shared" si="8"/>
        <v>Tidak</v>
      </c>
      <c r="R42" t="s">
        <v>362</v>
      </c>
      <c r="S42">
        <f>COUNTIFS($M$3:$M$95,$M$32)</f>
        <v>6</v>
      </c>
      <c r="T42">
        <f>COUNTIFS($M$3:$M$95,$M$32,$O$3:$O$95,$O$33)</f>
        <v>6</v>
      </c>
      <c r="U42">
        <f>COUNTIFS($M$3:$M$95,$M$32,$O$3:$O$95,$O$34)</f>
        <v>0</v>
      </c>
      <c r="V42" s="201">
        <v>0</v>
      </c>
    </row>
    <row r="43" spans="1:30" x14ac:dyDescent="0.35">
      <c r="A43" s="57">
        <v>41</v>
      </c>
      <c r="B43" s="16" t="s">
        <v>278</v>
      </c>
      <c r="C43" s="2" t="s">
        <v>89</v>
      </c>
      <c r="D43" s="11" t="s">
        <v>13</v>
      </c>
      <c r="E43" s="9" t="str">
        <f>'B.kriteria &amp; R.kecocokan'!$B$23</f>
        <v>Banyak</v>
      </c>
      <c r="F43" s="9" t="str">
        <f>'B.kriteria &amp; R.kecocokan'!$B$34</f>
        <v>Tinggi</v>
      </c>
      <c r="G43" s="191" t="str">
        <f>'B.kriteria &amp; R.kecocokan'!$B$41</f>
        <v>Rendah</v>
      </c>
      <c r="H43" s="191" t="str">
        <f>'B.kriteria &amp; R.kecocokan'!$B$72</f>
        <v>Rendah</v>
      </c>
      <c r="I43" s="191" t="str">
        <f>'B.kriteria &amp; R.kecocokan'!$B$95</f>
        <v>Rendah</v>
      </c>
      <c r="J43" s="9" t="str">
        <f>'B.kriteria &amp; R.kecocokan'!$B$81</f>
        <v>Tinggi</v>
      </c>
      <c r="K43" s="9" t="str">
        <f>'B.kriteria &amp; R.kecocokan'!$B$90</f>
        <v>Sangat Sedikit</v>
      </c>
      <c r="L43" s="191" t="str">
        <f>'B.kriteria &amp; R.kecocokan'!$B$49</f>
        <v>Rendah</v>
      </c>
      <c r="M43" s="191" t="str">
        <f>'B.kriteria &amp; R.kecocokan'!$B$57</f>
        <v>Rendah</v>
      </c>
      <c r="N43" s="51" t="str">
        <f>'B.kriteria &amp; R.kecocokan'!$B$65</f>
        <v>Rendah</v>
      </c>
      <c r="O43" s="52" t="s">
        <v>347</v>
      </c>
      <c r="P43" s="2" t="str">
        <f t="shared" si="8"/>
        <v>Tidak</v>
      </c>
      <c r="S43" s="43">
        <f t="shared" ref="S43:U43" si="12">SUM(S40:S42)</f>
        <v>93</v>
      </c>
      <c r="T43" s="43">
        <f t="shared" si="12"/>
        <v>22</v>
      </c>
      <c r="U43" s="43">
        <f t="shared" si="12"/>
        <v>71</v>
      </c>
    </row>
    <row r="44" spans="1:30" x14ac:dyDescent="0.35">
      <c r="A44" s="147">
        <v>42</v>
      </c>
      <c r="B44" s="2" t="str">
        <f>Penghasilan!B21</f>
        <v>3523151309090186</v>
      </c>
      <c r="C44" s="2" t="s">
        <v>91</v>
      </c>
      <c r="D44" s="11" t="s">
        <v>92</v>
      </c>
      <c r="E44" s="28" t="str">
        <f>'B.kriteria &amp; R.kecocokan'!$B$25</f>
        <v>Sedikit</v>
      </c>
      <c r="F44" s="9" t="str">
        <f>'B.kriteria &amp; R.kecocokan'!$B$34</f>
        <v>Tinggi</v>
      </c>
      <c r="G44" s="191" t="str">
        <f>'B.kriteria &amp; R.kecocokan'!$B$41</f>
        <v>Rendah</v>
      </c>
      <c r="H44" s="191" t="str">
        <f>'B.kriteria &amp; R.kecocokan'!$B$72</f>
        <v>Rendah</v>
      </c>
      <c r="I44" s="191" t="str">
        <f>'B.kriteria &amp; R.kecocokan'!$B$95</f>
        <v>Rendah</v>
      </c>
      <c r="J44" s="9" t="str">
        <f>'B.kriteria &amp; R.kecocokan'!$B$81</f>
        <v>Tinggi</v>
      </c>
      <c r="K44" s="9" t="str">
        <f>'B.kriteria &amp; R.kecocokan'!$B$88</f>
        <v>Sedang</v>
      </c>
      <c r="L44" s="9" t="str">
        <f>'B.kriteria &amp; R.kecocokan'!$B$50</f>
        <v>Sedang</v>
      </c>
      <c r="M44" s="191" t="str">
        <f>'B.kriteria &amp; R.kecocokan'!$B$57</f>
        <v>Rendah</v>
      </c>
      <c r="N44" s="51" t="str">
        <f>'B.kriteria &amp; R.kecocokan'!$B$65</f>
        <v>Rendah</v>
      </c>
      <c r="O44" s="52" t="s">
        <v>349</v>
      </c>
      <c r="P44" s="2" t="str">
        <f t="shared" si="8"/>
        <v>Tidak</v>
      </c>
      <c r="Q44" t="s">
        <v>11</v>
      </c>
      <c r="W44">
        <f>$V$3 - ((S45/$S$3*V45) +(S46/$S$3*V46))</f>
        <v>2.263698649607615E-2</v>
      </c>
    </row>
    <row r="45" spans="1:30" x14ac:dyDescent="0.35">
      <c r="A45" s="147">
        <v>43</v>
      </c>
      <c r="B45" s="2" t="str">
        <f>Penghasilan!B34</f>
        <v>3523151403061462</v>
      </c>
      <c r="C45" s="2" t="s">
        <v>94</v>
      </c>
      <c r="D45" s="11" t="s">
        <v>95</v>
      </c>
      <c r="E45" s="28" t="str">
        <f>'B.kriteria &amp; R.kecocokan'!$B$25</f>
        <v>Sedikit</v>
      </c>
      <c r="F45" s="9" t="str">
        <f>'B.kriteria &amp; R.kecocokan'!$B$34</f>
        <v>Tinggi</v>
      </c>
      <c r="G45" s="191" t="str">
        <f>'B.kriteria &amp; R.kecocokan'!$B$41</f>
        <v>Rendah</v>
      </c>
      <c r="H45" s="191" t="str">
        <f>'B.kriteria &amp; R.kecocokan'!$B$72</f>
        <v>Rendah</v>
      </c>
      <c r="I45" s="191" t="str">
        <f>'B.kriteria &amp; R.kecocokan'!$B$95</f>
        <v>Rendah</v>
      </c>
      <c r="J45" s="191" t="str">
        <f>'B.kriteria &amp; R.kecocokan'!$B$80</f>
        <v>Rendah</v>
      </c>
      <c r="K45" s="9" t="str">
        <f>'B.kriteria &amp; R.kecocokan'!$B$90</f>
        <v>Sangat Sedikit</v>
      </c>
      <c r="L45" s="191" t="str">
        <f>'B.kriteria &amp; R.kecocokan'!$B$49</f>
        <v>Rendah</v>
      </c>
      <c r="M45" s="191" t="str">
        <f>'B.kriteria &amp; R.kecocokan'!$B$57</f>
        <v>Rendah</v>
      </c>
      <c r="N45" s="51" t="str">
        <f>'B.kriteria &amp; R.kecocokan'!$B$65</f>
        <v>Rendah</v>
      </c>
      <c r="O45" s="52" t="s">
        <v>347</v>
      </c>
      <c r="P45" s="2" t="str">
        <f t="shared" si="8"/>
        <v>Tidak</v>
      </c>
      <c r="R45" t="s">
        <v>365</v>
      </c>
      <c r="S45">
        <f>COUNTIFS($N$3:$N$95,$N$3)</f>
        <v>92</v>
      </c>
      <c r="T45">
        <f>COUNTIFS($N$3:$N$95,$N$3,$O$3:$O$95,$O$81)</f>
        <v>21</v>
      </c>
      <c r="U45">
        <f>COUNTIFS($N$3:$N$95,$N$3,$O$3:$O$95,$O$38)</f>
        <v>71</v>
      </c>
      <c r="V45" s="201">
        <f t="shared" ref="V45" si="13">((-T45/S45)*IMLOG2(T45/S45))+((-U45/S45)*IMLOG2(U45/S45))</f>
        <v>0.77496726732672561</v>
      </c>
    </row>
    <row r="46" spans="1:30" x14ac:dyDescent="0.35">
      <c r="A46" s="57">
        <v>44</v>
      </c>
      <c r="B46" s="2" t="str">
        <f>Penghasilan!B33</f>
        <v>3523151403060778</v>
      </c>
      <c r="C46" s="2" t="s">
        <v>96</v>
      </c>
      <c r="D46" s="11" t="s">
        <v>95</v>
      </c>
      <c r="E46" s="28" t="str">
        <f>'B.kriteria &amp; R.kecocokan'!$B$25</f>
        <v>Sedikit</v>
      </c>
      <c r="F46" s="9" t="str">
        <f>'B.kriteria &amp; R.kecocokan'!$B$35</f>
        <v>Sangat Tinggi</v>
      </c>
      <c r="G46" s="191" t="str">
        <f>'B.kriteria &amp; R.kecocokan'!$B$41</f>
        <v>Rendah</v>
      </c>
      <c r="H46" s="191" t="str">
        <f>'B.kriteria &amp; R.kecocokan'!$B$72</f>
        <v>Rendah</v>
      </c>
      <c r="I46" s="191" t="str">
        <f>'B.kriteria &amp; R.kecocokan'!$B$95</f>
        <v>Rendah</v>
      </c>
      <c r="J46" s="9" t="str">
        <f>'B.kriteria &amp; R.kecocokan'!$B$81</f>
        <v>Tinggi</v>
      </c>
      <c r="K46" s="9" t="str">
        <f>'B.kriteria &amp; R.kecocokan'!$B$90</f>
        <v>Sangat Sedikit</v>
      </c>
      <c r="L46" s="9" t="str">
        <f>'B.kriteria &amp; R.kecocokan'!$B$50</f>
        <v>Sedang</v>
      </c>
      <c r="M46" s="9" t="str">
        <f>'B.kriteria &amp; R.kecocokan'!$B$59</f>
        <v>Tinggi</v>
      </c>
      <c r="N46" s="51" t="str">
        <f>'B.kriteria &amp; R.kecocokan'!$B$65</f>
        <v>Rendah</v>
      </c>
      <c r="O46" s="52" t="s">
        <v>349</v>
      </c>
      <c r="P46" s="2" t="str">
        <f t="shared" si="8"/>
        <v>Layak</v>
      </c>
      <c r="R46" t="s">
        <v>366</v>
      </c>
      <c r="S46">
        <f>COUNTIFS($N$3:$N$95,$N$13)</f>
        <v>1</v>
      </c>
      <c r="T46">
        <f>COUNTIFS($N$3:$N$95,$N$13,$O$3:$O$95,$O$33)</f>
        <v>1</v>
      </c>
      <c r="U46">
        <f>COUNTIFS($N$3:$N$95,$N$13,$O$3:$O$95,$O$34)</f>
        <v>0</v>
      </c>
      <c r="V46">
        <v>0</v>
      </c>
    </row>
    <row r="47" spans="1:30" x14ac:dyDescent="0.35">
      <c r="A47" s="147">
        <v>45</v>
      </c>
      <c r="B47" s="2" t="str">
        <f>Penghasilan!B35</f>
        <v>3523151303180005</v>
      </c>
      <c r="C47" s="2" t="s">
        <v>98</v>
      </c>
      <c r="D47" s="11" t="s">
        <v>95</v>
      </c>
      <c r="E47" s="32" t="str">
        <f>'B.kriteria &amp; R.kecocokan'!$B$24</f>
        <v>Cukup</v>
      </c>
      <c r="F47" s="9" t="str">
        <f>'B.kriteria &amp; R.kecocokan'!$B$34</f>
        <v>Tinggi</v>
      </c>
      <c r="G47" s="191" t="str">
        <f>'B.kriteria &amp; R.kecocokan'!$B$41</f>
        <v>Rendah</v>
      </c>
      <c r="H47" s="191" t="str">
        <f>'B.kriteria &amp; R.kecocokan'!$B$72</f>
        <v>Rendah</v>
      </c>
      <c r="I47" s="191" t="str">
        <f>'B.kriteria &amp; R.kecocokan'!$B$95</f>
        <v>Rendah</v>
      </c>
      <c r="J47" s="9" t="str">
        <f>'B.kriteria &amp; R.kecocokan'!$B$81</f>
        <v>Tinggi</v>
      </c>
      <c r="K47" s="9" t="str">
        <f>'B.kriteria &amp; R.kecocokan'!$B$90</f>
        <v>Sangat Sedikit</v>
      </c>
      <c r="L47" s="191" t="str">
        <f>'B.kriteria &amp; R.kecocokan'!$B$49</f>
        <v>Rendah</v>
      </c>
      <c r="M47" s="191" t="str">
        <f>'B.kriteria &amp; R.kecocokan'!$B$57</f>
        <v>Rendah</v>
      </c>
      <c r="N47" s="51" t="str">
        <f>'B.kriteria &amp; R.kecocokan'!$B$65</f>
        <v>Rendah</v>
      </c>
      <c r="O47" s="52" t="s">
        <v>347</v>
      </c>
      <c r="P47" s="2" t="str">
        <f t="shared" si="8"/>
        <v>Tidak</v>
      </c>
      <c r="S47" s="43">
        <f t="shared" ref="S47:U47" si="14">SUM(S44:S46)</f>
        <v>93</v>
      </c>
      <c r="T47" s="43">
        <f t="shared" si="14"/>
        <v>22</v>
      </c>
      <c r="U47" s="43">
        <f t="shared" si="14"/>
        <v>71</v>
      </c>
    </row>
    <row r="48" spans="1:30" x14ac:dyDescent="0.35">
      <c r="A48" s="147">
        <v>46</v>
      </c>
      <c r="B48" s="2" t="str">
        <f>Penghasilan!B39</f>
        <v>3523151403060780</v>
      </c>
      <c r="C48" s="2" t="s">
        <v>100</v>
      </c>
      <c r="D48" s="11" t="s">
        <v>92</v>
      </c>
      <c r="E48" s="32" t="str">
        <f>'B.kriteria &amp; R.kecocokan'!$B$24</f>
        <v>Cukup</v>
      </c>
      <c r="F48" s="9" t="str">
        <f>'B.kriteria &amp; R.kecocokan'!$B$34</f>
        <v>Tinggi</v>
      </c>
      <c r="G48" s="191" t="str">
        <f>'B.kriteria &amp; R.kecocokan'!$B$41</f>
        <v>Rendah</v>
      </c>
      <c r="H48" s="191" t="str">
        <f>'B.kriteria &amp; R.kecocokan'!$B$72</f>
        <v>Rendah</v>
      </c>
      <c r="I48" s="191" t="str">
        <f>'B.kriteria &amp; R.kecocokan'!$B$95</f>
        <v>Rendah</v>
      </c>
      <c r="J48" s="191" t="str">
        <f>'B.kriteria &amp; R.kecocokan'!$B$80</f>
        <v>Rendah</v>
      </c>
      <c r="K48" s="9" t="str">
        <f>'B.kriteria &amp; R.kecocokan'!$B$88</f>
        <v>Sedang</v>
      </c>
      <c r="L48" s="191" t="str">
        <f>'B.kriteria &amp; R.kecocokan'!$B$49</f>
        <v>Rendah</v>
      </c>
      <c r="M48" s="191" t="str">
        <f>'B.kriteria &amp; R.kecocokan'!$B$57</f>
        <v>Rendah</v>
      </c>
      <c r="N48" s="51" t="str">
        <f>'B.kriteria &amp; R.kecocokan'!$B$65</f>
        <v>Rendah</v>
      </c>
      <c r="O48" s="52" t="s">
        <v>347</v>
      </c>
      <c r="P48" s="2" t="str">
        <f t="shared" si="8"/>
        <v>Tidak</v>
      </c>
      <c r="W48">
        <f>MAX(W4:W44)</f>
        <v>0.37264121871330541</v>
      </c>
    </row>
    <row r="49" spans="1:16" x14ac:dyDescent="0.35">
      <c r="A49" s="57">
        <v>47</v>
      </c>
      <c r="B49" s="2" t="str">
        <f>Penghasilan!B31</f>
        <v>3523151403060769</v>
      </c>
      <c r="C49" s="2" t="s">
        <v>101</v>
      </c>
      <c r="D49" s="11" t="s">
        <v>92</v>
      </c>
      <c r="E49" s="28" t="str">
        <f>'B.kriteria &amp; R.kecocokan'!$B$25</f>
        <v>Sedikit</v>
      </c>
      <c r="F49" s="9" t="str">
        <f>'B.kriteria &amp; R.kecocokan'!$B$34</f>
        <v>Tinggi</v>
      </c>
      <c r="G49" s="191" t="str">
        <f>'B.kriteria &amp; R.kecocokan'!$B$41</f>
        <v>Rendah</v>
      </c>
      <c r="H49" s="191" t="str">
        <f>'B.kriteria &amp; R.kecocokan'!$B$72</f>
        <v>Rendah</v>
      </c>
      <c r="I49" s="191" t="str">
        <f>'B.kriteria &amp; R.kecocokan'!$B$95</f>
        <v>Rendah</v>
      </c>
      <c r="J49" s="9" t="str">
        <f>'B.kriteria &amp; R.kecocokan'!$B$81</f>
        <v>Tinggi</v>
      </c>
      <c r="K49" s="9" t="str">
        <f>'B.kriteria &amp; R.kecocokan'!$B$90</f>
        <v>Sangat Sedikit</v>
      </c>
      <c r="L49" s="191" t="str">
        <f>'B.kriteria &amp; R.kecocokan'!$B$49</f>
        <v>Rendah</v>
      </c>
      <c r="M49" s="191" t="str">
        <f>'B.kriteria &amp; R.kecocokan'!$B$57</f>
        <v>Rendah</v>
      </c>
      <c r="N49" s="51" t="str">
        <f>'B.kriteria &amp; R.kecocokan'!$B$65</f>
        <v>Rendah</v>
      </c>
      <c r="O49" s="52" t="s">
        <v>347</v>
      </c>
      <c r="P49" s="2" t="str">
        <f t="shared" si="8"/>
        <v>Tidak</v>
      </c>
    </row>
    <row r="50" spans="1:16" x14ac:dyDescent="0.35">
      <c r="A50" s="147">
        <v>48</v>
      </c>
      <c r="B50" s="2" t="str">
        <f>Penghasilan!B37</f>
        <v>3523151403061466</v>
      </c>
      <c r="C50" s="2" t="s">
        <v>102</v>
      </c>
      <c r="D50" s="11" t="s">
        <v>95</v>
      </c>
      <c r="E50" s="32" t="str">
        <f>'B.kriteria &amp; R.kecocokan'!$B$24</f>
        <v>Cukup</v>
      </c>
      <c r="F50" s="9" t="str">
        <f>'B.kriteria &amp; R.kecocokan'!$B$34</f>
        <v>Tinggi</v>
      </c>
      <c r="G50" s="191" t="str">
        <f>'B.kriteria &amp; R.kecocokan'!$B$41</f>
        <v>Rendah</v>
      </c>
      <c r="H50" s="191" t="str">
        <f>'B.kriteria &amp; R.kecocokan'!$B$72</f>
        <v>Rendah</v>
      </c>
      <c r="I50" s="191" t="str">
        <f>'B.kriteria &amp; R.kecocokan'!$B$95</f>
        <v>Rendah</v>
      </c>
      <c r="J50" s="191" t="str">
        <f>'B.kriteria &amp; R.kecocokan'!$B$80</f>
        <v>Rendah</v>
      </c>
      <c r="K50" s="191" t="str">
        <f>'B.kriteria &amp; R.kecocokan'!$B$89</f>
        <v>Sedikit</v>
      </c>
      <c r="L50" s="191" t="str">
        <f>'B.kriteria &amp; R.kecocokan'!$B$49</f>
        <v>Rendah</v>
      </c>
      <c r="M50" s="191" t="str">
        <f>'B.kriteria &amp; R.kecocokan'!$B$57</f>
        <v>Rendah</v>
      </c>
      <c r="N50" s="51" t="str">
        <f>'B.kriteria &amp; R.kecocokan'!$B$65</f>
        <v>Rendah</v>
      </c>
      <c r="O50" s="52" t="s">
        <v>347</v>
      </c>
      <c r="P50" s="2" t="str">
        <f t="shared" si="8"/>
        <v>Tidak</v>
      </c>
    </row>
    <row r="51" spans="1:16" x14ac:dyDescent="0.35">
      <c r="A51" s="147">
        <v>49</v>
      </c>
      <c r="B51" s="2" t="str">
        <f>Penghasilan!B36</f>
        <v>3523151309090180</v>
      </c>
      <c r="C51" s="2" t="s">
        <v>104</v>
      </c>
      <c r="D51" s="11" t="s">
        <v>92</v>
      </c>
      <c r="E51" s="28" t="str">
        <f>'B.kriteria &amp; R.kecocokan'!$B$25</f>
        <v>Sedikit</v>
      </c>
      <c r="F51" s="9" t="str">
        <f>'B.kriteria &amp; R.kecocokan'!$B$35</f>
        <v>Sangat Tinggi</v>
      </c>
      <c r="G51" s="191" t="str">
        <f>'B.kriteria &amp; R.kecocokan'!$B$41</f>
        <v>Rendah</v>
      </c>
      <c r="H51" s="191" t="str">
        <f>'B.kriteria &amp; R.kecocokan'!$B$72</f>
        <v>Rendah</v>
      </c>
      <c r="I51" s="191" t="str">
        <f>'B.kriteria &amp; R.kecocokan'!$B$95</f>
        <v>Rendah</v>
      </c>
      <c r="J51" s="9" t="str">
        <f>'B.kriteria &amp; R.kecocokan'!$B$81</f>
        <v>Tinggi</v>
      </c>
      <c r="K51" s="9" t="str">
        <f>'B.kriteria &amp; R.kecocokan'!$B$90</f>
        <v>Sangat Sedikit</v>
      </c>
      <c r="L51" s="191" t="str">
        <f>'B.kriteria &amp; R.kecocokan'!$B$49</f>
        <v>Rendah</v>
      </c>
      <c r="M51" s="191" t="str">
        <f>'B.kriteria &amp; R.kecocokan'!$B$57</f>
        <v>Rendah</v>
      </c>
      <c r="N51" s="51" t="str">
        <f>'B.kriteria &amp; R.kecocokan'!$B$65</f>
        <v>Rendah</v>
      </c>
      <c r="O51" s="52" t="s">
        <v>349</v>
      </c>
      <c r="P51" s="2" t="str">
        <f t="shared" si="8"/>
        <v>Tidak</v>
      </c>
    </row>
    <row r="52" spans="1:16" x14ac:dyDescent="0.35">
      <c r="A52" s="57">
        <v>50</v>
      </c>
      <c r="B52" s="2" t="str">
        <f>Penghasilan!B27</f>
        <v>3523151403060779</v>
      </c>
      <c r="C52" s="2" t="s">
        <v>105</v>
      </c>
      <c r="D52" s="11" t="s">
        <v>92</v>
      </c>
      <c r="E52" s="28" t="str">
        <f>'B.kriteria &amp; R.kecocokan'!$B$25</f>
        <v>Sedikit</v>
      </c>
      <c r="F52" s="9" t="str">
        <f>'B.kriteria &amp; R.kecocokan'!$B$34</f>
        <v>Tinggi</v>
      </c>
      <c r="G52" s="191" t="str">
        <f>'B.kriteria &amp; R.kecocokan'!$B$41</f>
        <v>Rendah</v>
      </c>
      <c r="H52" s="191" t="str">
        <f>'B.kriteria &amp; R.kecocokan'!$B$72</f>
        <v>Rendah</v>
      </c>
      <c r="I52" s="191" t="str">
        <f>'B.kriteria &amp; R.kecocokan'!$B$95</f>
        <v>Rendah</v>
      </c>
      <c r="J52" s="191" t="str">
        <f>'B.kriteria &amp; R.kecocokan'!$B$80</f>
        <v>Rendah</v>
      </c>
      <c r="K52" s="9" t="str">
        <f>'B.kriteria &amp; R.kecocokan'!$B$88</f>
        <v>Sedang</v>
      </c>
      <c r="L52" s="9" t="str">
        <f>'B.kriteria &amp; R.kecocokan'!$B$50</f>
        <v>Sedang</v>
      </c>
      <c r="M52" s="9" t="str">
        <f>'B.kriteria &amp; R.kecocokan'!$B$59</f>
        <v>Tinggi</v>
      </c>
      <c r="N52" s="51" t="str">
        <f>'B.kriteria &amp; R.kecocokan'!$B$65</f>
        <v>Rendah</v>
      </c>
      <c r="O52" s="52" t="s">
        <v>349</v>
      </c>
      <c r="P52" s="2" t="str">
        <f t="shared" si="8"/>
        <v>Layak</v>
      </c>
    </row>
    <row r="53" spans="1:16" x14ac:dyDescent="0.35">
      <c r="A53" s="147">
        <v>51</v>
      </c>
      <c r="B53" s="2" t="str">
        <f>Penghasilan!B29</f>
        <v>3523153112090187</v>
      </c>
      <c r="C53" s="2" t="s">
        <v>106</v>
      </c>
      <c r="D53" s="11" t="s">
        <v>92</v>
      </c>
      <c r="E53" s="28" t="str">
        <f>'B.kriteria &amp; R.kecocokan'!$B$25</f>
        <v>Sedikit</v>
      </c>
      <c r="F53" s="9" t="str">
        <f>'B.kriteria &amp; R.kecocokan'!$B$34</f>
        <v>Tinggi</v>
      </c>
      <c r="G53" s="191" t="str">
        <f>'B.kriteria &amp; R.kecocokan'!$B$41</f>
        <v>Rendah</v>
      </c>
      <c r="H53" s="191" t="str">
        <f>'B.kriteria &amp; R.kecocokan'!$B$72</f>
        <v>Rendah</v>
      </c>
      <c r="I53" s="191" t="str">
        <f>'B.kriteria &amp; R.kecocokan'!$B$95</f>
        <v>Rendah</v>
      </c>
      <c r="J53" s="191" t="str">
        <f>'B.kriteria &amp; R.kecocokan'!$B$80</f>
        <v>Rendah</v>
      </c>
      <c r="K53" s="9" t="str">
        <f>'B.kriteria &amp; R.kecocokan'!$B$88</f>
        <v>Sedang</v>
      </c>
      <c r="L53" s="191" t="str">
        <f>'B.kriteria &amp; R.kecocokan'!$B$49</f>
        <v>Rendah</v>
      </c>
      <c r="M53" s="9" t="str">
        <f>'B.kriteria &amp; R.kecocokan'!$B$58</f>
        <v>Sedang</v>
      </c>
      <c r="N53" s="51" t="str">
        <f>'B.kriteria &amp; R.kecocokan'!$B$65</f>
        <v>Rendah</v>
      </c>
      <c r="O53" s="52" t="s">
        <v>347</v>
      </c>
      <c r="P53" s="2" t="str">
        <f t="shared" si="8"/>
        <v>Layak</v>
      </c>
    </row>
    <row r="54" spans="1:16" x14ac:dyDescent="0.35">
      <c r="A54" s="147">
        <v>52</v>
      </c>
      <c r="B54" s="2" t="str">
        <f>Penghasilan!B30</f>
        <v>3523151403061463</v>
      </c>
      <c r="C54" s="2" t="s">
        <v>107</v>
      </c>
      <c r="D54" s="11" t="s">
        <v>92</v>
      </c>
      <c r="E54" s="28" t="str">
        <f>'B.kriteria &amp; R.kecocokan'!$B$25</f>
        <v>Sedikit</v>
      </c>
      <c r="F54" s="9" t="str">
        <f>'B.kriteria &amp; R.kecocokan'!$B$34</f>
        <v>Tinggi</v>
      </c>
      <c r="G54" s="191" t="str">
        <f>'B.kriteria &amp; R.kecocokan'!$B$41</f>
        <v>Rendah</v>
      </c>
      <c r="H54" s="191" t="str">
        <f>'B.kriteria &amp; R.kecocokan'!$B$72</f>
        <v>Rendah</v>
      </c>
      <c r="I54" s="191" t="str">
        <f>'B.kriteria &amp; R.kecocokan'!$B$95</f>
        <v>Rendah</v>
      </c>
      <c r="J54" s="191" t="str">
        <f>'B.kriteria &amp; R.kecocokan'!$B$80</f>
        <v>Rendah</v>
      </c>
      <c r="K54" s="191" t="str">
        <f>'B.kriteria &amp; R.kecocokan'!$B$89</f>
        <v>Sedikit</v>
      </c>
      <c r="L54" s="191" t="str">
        <f>'B.kriteria &amp; R.kecocokan'!$B$49</f>
        <v>Rendah</v>
      </c>
      <c r="M54" s="191" t="str">
        <f>'B.kriteria &amp; R.kecocokan'!$B$57</f>
        <v>Rendah</v>
      </c>
      <c r="N54" s="51" t="str">
        <f>'B.kriteria &amp; R.kecocokan'!$B$65</f>
        <v>Rendah</v>
      </c>
      <c r="O54" s="52" t="s">
        <v>347</v>
      </c>
      <c r="P54" s="2" t="str">
        <f t="shared" si="8"/>
        <v>Tidak</v>
      </c>
    </row>
    <row r="55" spans="1:16" x14ac:dyDescent="0.35">
      <c r="A55" s="57">
        <v>53</v>
      </c>
      <c r="B55" s="2" t="str">
        <f>Penghasilan!B32</f>
        <v>3523151005110001</v>
      </c>
      <c r="C55" s="2" t="s">
        <v>109</v>
      </c>
      <c r="D55" s="11" t="s">
        <v>95</v>
      </c>
      <c r="E55" s="9" t="str">
        <f>'B.kriteria &amp; R.kecocokan'!$B$23</f>
        <v>Banyak</v>
      </c>
      <c r="F55" s="9" t="str">
        <f>'B.kriteria &amp; R.kecocokan'!$B$34</f>
        <v>Tinggi</v>
      </c>
      <c r="G55" s="191" t="str">
        <f>'B.kriteria &amp; R.kecocokan'!$B$41</f>
        <v>Rendah</v>
      </c>
      <c r="H55" s="191" t="str">
        <f>'B.kriteria &amp; R.kecocokan'!$B$72</f>
        <v>Rendah</v>
      </c>
      <c r="I55" s="191" t="str">
        <f>'B.kriteria &amp; R.kecocokan'!$B$95</f>
        <v>Rendah</v>
      </c>
      <c r="J55" s="191" t="str">
        <f>'B.kriteria &amp; R.kecocokan'!$B$80</f>
        <v>Rendah</v>
      </c>
      <c r="K55" s="9" t="str">
        <f>'B.kriteria &amp; R.kecocokan'!$B$88</f>
        <v>Sedang</v>
      </c>
      <c r="L55" s="191" t="str">
        <f>'B.kriteria &amp; R.kecocokan'!$B$49</f>
        <v>Rendah</v>
      </c>
      <c r="M55" s="191" t="str">
        <f>'B.kriteria &amp; R.kecocokan'!$B$57</f>
        <v>Rendah</v>
      </c>
      <c r="N55" s="51" t="str">
        <f>'B.kriteria &amp; R.kecocokan'!$B$65</f>
        <v>Rendah</v>
      </c>
      <c r="O55" s="52" t="s">
        <v>347</v>
      </c>
      <c r="P55" s="2" t="str">
        <f t="shared" si="8"/>
        <v>Tidak</v>
      </c>
    </row>
    <row r="56" spans="1:16" x14ac:dyDescent="0.35">
      <c r="A56" s="147">
        <v>54</v>
      </c>
      <c r="B56" s="2" t="str">
        <f>Penghasilan!B28</f>
        <v>3523152111210007</v>
      </c>
      <c r="C56" s="2" t="s">
        <v>111</v>
      </c>
      <c r="D56" s="11" t="s">
        <v>92</v>
      </c>
      <c r="E56" s="9" t="str">
        <f>'B.kriteria &amp; R.kecocokan'!$B$23</f>
        <v>Banyak</v>
      </c>
      <c r="F56" s="9" t="str">
        <f>'B.kriteria &amp; R.kecocokan'!$B$34</f>
        <v>Tinggi</v>
      </c>
      <c r="G56" s="191" t="str">
        <f>'B.kriteria &amp; R.kecocokan'!$B$41</f>
        <v>Rendah</v>
      </c>
      <c r="H56" s="191" t="str">
        <f>'B.kriteria &amp; R.kecocokan'!$B$72</f>
        <v>Rendah</v>
      </c>
      <c r="I56" s="191" t="str">
        <f>'B.kriteria &amp; R.kecocokan'!$B$95</f>
        <v>Rendah</v>
      </c>
      <c r="J56" s="191" t="str">
        <f>'B.kriteria &amp; R.kecocokan'!$B$80</f>
        <v>Rendah</v>
      </c>
      <c r="K56" s="191" t="str">
        <f>'B.kriteria &amp; R.kecocokan'!$B$89</f>
        <v>Sedikit</v>
      </c>
      <c r="L56" s="191" t="str">
        <f>'B.kriteria &amp; R.kecocokan'!$B$49</f>
        <v>Rendah</v>
      </c>
      <c r="M56" s="191" t="str">
        <f>'B.kriteria &amp; R.kecocokan'!$B$57</f>
        <v>Rendah</v>
      </c>
      <c r="N56" s="51" t="str">
        <f>'B.kriteria &amp; R.kecocokan'!$B$65</f>
        <v>Rendah</v>
      </c>
      <c r="O56" s="52" t="s">
        <v>347</v>
      </c>
      <c r="P56" s="2" t="str">
        <f t="shared" si="8"/>
        <v>Tidak</v>
      </c>
    </row>
    <row r="57" spans="1:16" x14ac:dyDescent="0.35">
      <c r="A57" s="147">
        <v>55</v>
      </c>
      <c r="B57" s="2" t="str">
        <f>Penghasilan!B40</f>
        <v>3523150209200001</v>
      </c>
      <c r="C57" s="2" t="s">
        <v>113</v>
      </c>
      <c r="D57" s="11" t="s">
        <v>92</v>
      </c>
      <c r="E57" s="28" t="str">
        <f>'B.kriteria &amp; R.kecocokan'!$B$25</f>
        <v>Sedikit</v>
      </c>
      <c r="F57" s="9" t="str">
        <f>'B.kriteria &amp; R.kecocokan'!$B$34</f>
        <v>Tinggi</v>
      </c>
      <c r="G57" s="9" t="str">
        <f>'B.kriteria &amp; R.kecocokan'!$B$43</f>
        <v>Tinggi</v>
      </c>
      <c r="H57" s="191" t="str">
        <f>'B.kriteria &amp; R.kecocokan'!$B$72</f>
        <v>Rendah</v>
      </c>
      <c r="I57" s="191" t="str">
        <f>'B.kriteria &amp; R.kecocokan'!$B$95</f>
        <v>Rendah</v>
      </c>
      <c r="J57" s="191" t="str">
        <f>'B.kriteria &amp; R.kecocokan'!$B$80</f>
        <v>Rendah</v>
      </c>
      <c r="K57" s="191" t="str">
        <f>'B.kriteria &amp; R.kecocokan'!$B$89</f>
        <v>Sedikit</v>
      </c>
      <c r="L57" s="191" t="str">
        <f>'B.kriteria &amp; R.kecocokan'!$B$49</f>
        <v>Rendah</v>
      </c>
      <c r="M57" s="191" t="str">
        <f>'B.kriteria &amp; R.kecocokan'!$B$57</f>
        <v>Rendah</v>
      </c>
      <c r="N57" s="51" t="str">
        <f>'B.kriteria &amp; R.kecocokan'!$B$65</f>
        <v>Rendah</v>
      </c>
      <c r="O57" s="52" t="s">
        <v>347</v>
      </c>
      <c r="P57" s="2" t="str">
        <f t="shared" si="8"/>
        <v>Tidak</v>
      </c>
    </row>
    <row r="58" spans="1:16" x14ac:dyDescent="0.35">
      <c r="A58" s="57">
        <v>56</v>
      </c>
      <c r="B58" s="2" t="str">
        <f>Penghasilan!B41</f>
        <v>3523153004190006</v>
      </c>
      <c r="C58" s="2" t="s">
        <v>114</v>
      </c>
      <c r="D58" s="11" t="s">
        <v>95</v>
      </c>
      <c r="E58" s="9" t="str">
        <f>'B.kriteria &amp; R.kecocokan'!$B$23</f>
        <v>Banyak</v>
      </c>
      <c r="F58" s="9" t="str">
        <f>'B.kriteria &amp; R.kecocokan'!$B$34</f>
        <v>Tinggi</v>
      </c>
      <c r="G58" s="191" t="str">
        <f>'B.kriteria &amp; R.kecocokan'!$B$41</f>
        <v>Rendah</v>
      </c>
      <c r="H58" s="191" t="str">
        <f>'B.kriteria &amp; R.kecocokan'!$B$72</f>
        <v>Rendah</v>
      </c>
      <c r="I58" s="191" t="str">
        <f>'B.kriteria &amp; R.kecocokan'!$B$95</f>
        <v>Rendah</v>
      </c>
      <c r="J58" s="9" t="str">
        <f>'B.kriteria &amp; R.kecocokan'!$B$81</f>
        <v>Tinggi</v>
      </c>
      <c r="K58" s="9" t="str">
        <f>'B.kriteria &amp; R.kecocokan'!$B$90</f>
        <v>Sangat Sedikit</v>
      </c>
      <c r="L58" s="191" t="str">
        <f>'B.kriteria &amp; R.kecocokan'!$B$49</f>
        <v>Rendah</v>
      </c>
      <c r="M58" s="191" t="str">
        <f>'B.kriteria &amp; R.kecocokan'!$B$57</f>
        <v>Rendah</v>
      </c>
      <c r="N58" s="51" t="str">
        <f>'B.kriteria &amp; R.kecocokan'!$B$65</f>
        <v>Rendah</v>
      </c>
      <c r="O58" s="52" t="s">
        <v>347</v>
      </c>
      <c r="P58" s="2" t="str">
        <f t="shared" si="8"/>
        <v>Tidak</v>
      </c>
    </row>
    <row r="59" spans="1:16" x14ac:dyDescent="0.35">
      <c r="A59" s="147">
        <v>57</v>
      </c>
      <c r="B59" s="2" t="str">
        <f>Penghasilan!B42</f>
        <v>3523151309090188</v>
      </c>
      <c r="C59" s="2" t="s">
        <v>116</v>
      </c>
      <c r="D59" s="11" t="s">
        <v>92</v>
      </c>
      <c r="E59" s="9" t="str">
        <f>'B.kriteria &amp; R.kecocokan'!$B$23</f>
        <v>Banyak</v>
      </c>
      <c r="F59" s="9" t="str">
        <f>'B.kriteria &amp; R.kecocokan'!$B$34</f>
        <v>Tinggi</v>
      </c>
      <c r="G59" s="191" t="str">
        <f>'B.kriteria &amp; R.kecocokan'!$B$41</f>
        <v>Rendah</v>
      </c>
      <c r="H59" s="191" t="str">
        <f>'B.kriteria &amp; R.kecocokan'!$B$72</f>
        <v>Rendah</v>
      </c>
      <c r="I59" s="191" t="str">
        <f>'B.kriteria &amp; R.kecocokan'!$B$95</f>
        <v>Rendah</v>
      </c>
      <c r="J59" s="191" t="str">
        <f>'B.kriteria &amp; R.kecocokan'!$B$80</f>
        <v>Rendah</v>
      </c>
      <c r="K59" s="9" t="str">
        <f>'B.kriteria &amp; R.kecocokan'!$B$88</f>
        <v>Sedang</v>
      </c>
      <c r="L59" s="191" t="str">
        <f>'B.kriteria &amp; R.kecocokan'!$B$49</f>
        <v>Rendah</v>
      </c>
      <c r="M59" s="191" t="str">
        <f>'B.kriteria &amp; R.kecocokan'!$B$57</f>
        <v>Rendah</v>
      </c>
      <c r="N59" s="51" t="str">
        <f>'B.kriteria &amp; R.kecocokan'!$B$65</f>
        <v>Rendah</v>
      </c>
      <c r="O59" s="52" t="s">
        <v>347</v>
      </c>
      <c r="P59" s="2" t="str">
        <f t="shared" si="8"/>
        <v>Tidak</v>
      </c>
    </row>
    <row r="60" spans="1:16" x14ac:dyDescent="0.35">
      <c r="A60" s="147">
        <v>58</v>
      </c>
      <c r="B60" s="2" t="str">
        <f>Penghasilan!B43</f>
        <v>3523152405190001</v>
      </c>
      <c r="C60" s="2" t="s">
        <v>230</v>
      </c>
      <c r="D60" s="11" t="s">
        <v>92</v>
      </c>
      <c r="E60" s="28" t="str">
        <f>'B.kriteria &amp; R.kecocokan'!$B$25</f>
        <v>Sedikit</v>
      </c>
      <c r="F60" s="9" t="str">
        <f>'B.kriteria &amp; R.kecocokan'!$B$34</f>
        <v>Tinggi</v>
      </c>
      <c r="G60" s="191" t="str">
        <f>'B.kriteria &amp; R.kecocokan'!$B$41</f>
        <v>Rendah</v>
      </c>
      <c r="H60" s="191" t="str">
        <f>'B.kriteria &amp; R.kecocokan'!$B$72</f>
        <v>Rendah</v>
      </c>
      <c r="I60" s="191" t="str">
        <f>'B.kriteria &amp; R.kecocokan'!$B$95</f>
        <v>Rendah</v>
      </c>
      <c r="J60" s="191" t="str">
        <f>'B.kriteria &amp; R.kecocokan'!$B$80</f>
        <v>Rendah</v>
      </c>
      <c r="K60" s="9" t="str">
        <f>'B.kriteria &amp; R.kecocokan'!$B$88</f>
        <v>Sedang</v>
      </c>
      <c r="L60" s="191" t="str">
        <f>'B.kriteria &amp; R.kecocokan'!$B$49</f>
        <v>Rendah</v>
      </c>
      <c r="M60" s="191" t="str">
        <f>'B.kriteria &amp; R.kecocokan'!$B$57</f>
        <v>Rendah</v>
      </c>
      <c r="N60" s="51" t="str">
        <f>'B.kriteria &amp; R.kecocokan'!$B$65</f>
        <v>Rendah</v>
      </c>
      <c r="O60" s="52" t="s">
        <v>347</v>
      </c>
      <c r="P60" s="2" t="str">
        <f t="shared" si="8"/>
        <v>Tidak</v>
      </c>
    </row>
    <row r="61" spans="1:16" x14ac:dyDescent="0.35">
      <c r="A61" s="57">
        <v>59</v>
      </c>
      <c r="B61" s="2" t="str">
        <f>Penghasilan!B44</f>
        <v>3523151403060777</v>
      </c>
      <c r="C61" s="2" t="s">
        <v>118</v>
      </c>
      <c r="D61" s="11" t="s">
        <v>92</v>
      </c>
      <c r="E61" s="9" t="str">
        <f>'B.kriteria &amp; R.kecocokan'!$B$23</f>
        <v>Banyak</v>
      </c>
      <c r="F61" s="9" t="str">
        <f>'B.kriteria &amp; R.kecocokan'!$B$34</f>
        <v>Tinggi</v>
      </c>
      <c r="G61" s="191" t="str">
        <f>'B.kriteria &amp; R.kecocokan'!$B$41</f>
        <v>Rendah</v>
      </c>
      <c r="H61" s="191" t="str">
        <f>'B.kriteria &amp; R.kecocokan'!$B$72</f>
        <v>Rendah</v>
      </c>
      <c r="I61" s="191" t="str">
        <f>'B.kriteria &amp; R.kecocokan'!$B$95</f>
        <v>Rendah</v>
      </c>
      <c r="J61" s="191" t="str">
        <f>'B.kriteria &amp; R.kecocokan'!$B$80</f>
        <v>Rendah</v>
      </c>
      <c r="K61" s="9" t="str">
        <f>'B.kriteria &amp; R.kecocokan'!$B$90</f>
        <v>Sangat Sedikit</v>
      </c>
      <c r="L61" s="191" t="str">
        <f>'B.kriteria &amp; R.kecocokan'!$B$49</f>
        <v>Rendah</v>
      </c>
      <c r="M61" s="191" t="str">
        <f>'B.kriteria &amp; R.kecocokan'!$B$57</f>
        <v>Rendah</v>
      </c>
      <c r="N61" s="51" t="str">
        <f>'B.kriteria &amp; R.kecocokan'!$B$65</f>
        <v>Rendah</v>
      </c>
      <c r="O61" s="52" t="s">
        <v>347</v>
      </c>
      <c r="P61" s="2" t="str">
        <f t="shared" si="8"/>
        <v>Tidak</v>
      </c>
    </row>
    <row r="62" spans="1:16" x14ac:dyDescent="0.35">
      <c r="A62" s="147">
        <v>60</v>
      </c>
      <c r="B62" s="2" t="str">
        <f>Penghasilan!B45</f>
        <v>3523151309090177</v>
      </c>
      <c r="C62" s="2" t="s">
        <v>203</v>
      </c>
      <c r="D62" s="11" t="s">
        <v>95</v>
      </c>
      <c r="E62" s="28" t="str">
        <f>'B.kriteria &amp; R.kecocokan'!$B$25</f>
        <v>Sedikit</v>
      </c>
      <c r="F62" s="9" t="str">
        <f>'B.kriteria &amp; R.kecocokan'!$B$34</f>
        <v>Tinggi</v>
      </c>
      <c r="G62" s="191" t="str">
        <f>'B.kriteria &amp; R.kecocokan'!$B$41</f>
        <v>Rendah</v>
      </c>
      <c r="H62" s="191" t="str">
        <f>'B.kriteria &amp; R.kecocokan'!$B$72</f>
        <v>Rendah</v>
      </c>
      <c r="I62" s="191" t="str">
        <f>'B.kriteria &amp; R.kecocokan'!$B$95</f>
        <v>Rendah</v>
      </c>
      <c r="J62" s="9" t="str">
        <f>'B.kriteria &amp; R.kecocokan'!$B$81</f>
        <v>Tinggi</v>
      </c>
      <c r="K62" s="9" t="str">
        <f>'B.kriteria &amp; R.kecocokan'!$B$90</f>
        <v>Sangat Sedikit</v>
      </c>
      <c r="L62" s="191" t="str">
        <f>'B.kriteria &amp; R.kecocokan'!$B$49</f>
        <v>Rendah</v>
      </c>
      <c r="M62" s="191" t="str">
        <f>'B.kriteria &amp; R.kecocokan'!$B$57</f>
        <v>Rendah</v>
      </c>
      <c r="N62" s="51" t="str">
        <f>'B.kriteria &amp; R.kecocokan'!$B$65</f>
        <v>Rendah</v>
      </c>
      <c r="O62" s="52" t="s">
        <v>347</v>
      </c>
      <c r="P62" s="2" t="str">
        <f t="shared" si="8"/>
        <v>Tidak</v>
      </c>
    </row>
    <row r="63" spans="1:16" x14ac:dyDescent="0.35">
      <c r="A63" s="147">
        <v>61</v>
      </c>
      <c r="B63" s="2" t="str">
        <f>Penghasilan!B5</f>
        <v>No KK</v>
      </c>
      <c r="C63" s="2" t="s">
        <v>123</v>
      </c>
      <c r="D63" s="11" t="s">
        <v>95</v>
      </c>
      <c r="E63" s="28" t="str">
        <f>'B.kriteria &amp; R.kecocokan'!$B$25</f>
        <v>Sedikit</v>
      </c>
      <c r="F63" s="9" t="str">
        <f>'B.kriteria &amp; R.kecocokan'!$B$34</f>
        <v>Tinggi</v>
      </c>
      <c r="G63" s="191" t="str">
        <f>'B.kriteria &amp; R.kecocokan'!$B$41</f>
        <v>Rendah</v>
      </c>
      <c r="H63" s="191" t="str">
        <f>'B.kriteria &amp; R.kecocokan'!$B$72</f>
        <v>Rendah</v>
      </c>
      <c r="I63" s="191" t="str">
        <f>'B.kriteria &amp; R.kecocokan'!$B$95</f>
        <v>Rendah</v>
      </c>
      <c r="J63" s="191" t="str">
        <f>'B.kriteria &amp; R.kecocokan'!$B$80</f>
        <v>Rendah</v>
      </c>
      <c r="K63" s="191" t="str">
        <f>'B.kriteria &amp; R.kecocokan'!$B$89</f>
        <v>Sedikit</v>
      </c>
      <c r="L63" s="191" t="str">
        <f>'B.kriteria &amp; R.kecocokan'!$B$49</f>
        <v>Rendah</v>
      </c>
      <c r="M63" s="191" t="str">
        <f>'B.kriteria &amp; R.kecocokan'!$B$57</f>
        <v>Rendah</v>
      </c>
      <c r="N63" s="51" t="str">
        <f>'B.kriteria &amp; R.kecocokan'!$B$65</f>
        <v>Rendah</v>
      </c>
      <c r="O63" s="52" t="s">
        <v>347</v>
      </c>
      <c r="P63" s="2" t="str">
        <f t="shared" si="8"/>
        <v>Tidak</v>
      </c>
    </row>
    <row r="64" spans="1:16" x14ac:dyDescent="0.35">
      <c r="A64" s="57">
        <v>62</v>
      </c>
      <c r="B64" s="2" t="str">
        <f>Penghasilan!B46</f>
        <v>3523151403060771</v>
      </c>
      <c r="C64" s="2" t="s">
        <v>233</v>
      </c>
      <c r="D64" s="11" t="s">
        <v>95</v>
      </c>
      <c r="E64" s="28" t="str">
        <f>'B.kriteria &amp; R.kecocokan'!$B$25</f>
        <v>Sedikit</v>
      </c>
      <c r="F64" s="9" t="str">
        <f>'B.kriteria &amp; R.kecocokan'!$B$34</f>
        <v>Tinggi</v>
      </c>
      <c r="G64" s="191" t="str">
        <f>'B.kriteria &amp; R.kecocokan'!$B$41</f>
        <v>Rendah</v>
      </c>
      <c r="H64" s="191" t="str">
        <f>'B.kriteria &amp; R.kecocokan'!$B$72</f>
        <v>Rendah</v>
      </c>
      <c r="I64" s="191" t="str">
        <f>'B.kriteria &amp; R.kecocokan'!$B$95</f>
        <v>Rendah</v>
      </c>
      <c r="J64" s="9" t="str">
        <f>'B.kriteria &amp; R.kecocokan'!$B$81</f>
        <v>Tinggi</v>
      </c>
      <c r="K64" s="9" t="str">
        <f>'B.kriteria &amp; R.kecocokan'!$B$90</f>
        <v>Sangat Sedikit</v>
      </c>
      <c r="L64" s="191" t="str">
        <f>'B.kriteria &amp; R.kecocokan'!$B$49</f>
        <v>Rendah</v>
      </c>
      <c r="M64" s="191" t="str">
        <f>'B.kriteria &amp; R.kecocokan'!$B$57</f>
        <v>Rendah</v>
      </c>
      <c r="N64" s="51" t="str">
        <f>'B.kriteria &amp; R.kecocokan'!$B$65</f>
        <v>Rendah</v>
      </c>
      <c r="O64" s="52" t="s">
        <v>349</v>
      </c>
      <c r="P64" s="2" t="str">
        <f t="shared" si="8"/>
        <v>Tidak</v>
      </c>
    </row>
    <row r="65" spans="1:16" x14ac:dyDescent="0.35">
      <c r="A65" s="147">
        <v>63</v>
      </c>
      <c r="B65" s="2" t="str">
        <f>Penghasilan!B49</f>
        <v>3523152101140003</v>
      </c>
      <c r="C65" s="2" t="s">
        <v>211</v>
      </c>
      <c r="D65" s="11" t="s">
        <v>95</v>
      </c>
      <c r="E65" s="9" t="str">
        <f>'B.kriteria &amp; R.kecocokan'!$B$23</f>
        <v>Banyak</v>
      </c>
      <c r="F65" s="9" t="str">
        <f>'B.kriteria &amp; R.kecocokan'!$B$34</f>
        <v>Tinggi</v>
      </c>
      <c r="G65" s="191" t="str">
        <f>'B.kriteria &amp; R.kecocokan'!$B$41</f>
        <v>Rendah</v>
      </c>
      <c r="H65" s="191" t="str">
        <f>'B.kriteria &amp; R.kecocokan'!$B$72</f>
        <v>Rendah</v>
      </c>
      <c r="I65" s="191" t="str">
        <f>'B.kriteria &amp; R.kecocokan'!$B$95</f>
        <v>Rendah</v>
      </c>
      <c r="J65" s="9" t="str">
        <f>'B.kriteria &amp; R.kecocokan'!$B$81</f>
        <v>Tinggi</v>
      </c>
      <c r="K65" s="9" t="str">
        <f>'B.kriteria &amp; R.kecocokan'!$B$90</f>
        <v>Sangat Sedikit</v>
      </c>
      <c r="L65" s="191" t="str">
        <f>'B.kriteria &amp; R.kecocokan'!$B$49</f>
        <v>Rendah</v>
      </c>
      <c r="M65" s="191" t="str">
        <f>'B.kriteria &amp; R.kecocokan'!$B$57</f>
        <v>Rendah</v>
      </c>
      <c r="N65" s="51" t="str">
        <f>'B.kriteria &amp; R.kecocokan'!$B$65</f>
        <v>Rendah</v>
      </c>
      <c r="O65" s="52" t="s">
        <v>347</v>
      </c>
      <c r="P65" s="2" t="str">
        <f t="shared" si="8"/>
        <v>Tidak</v>
      </c>
    </row>
    <row r="66" spans="1:16" x14ac:dyDescent="0.35">
      <c r="A66" s="147">
        <v>64</v>
      </c>
      <c r="B66" s="2" t="str">
        <f>Penghasilan!B47</f>
        <v>3523151309090182</v>
      </c>
      <c r="C66" s="2" t="s">
        <v>207</v>
      </c>
      <c r="D66" s="11" t="s">
        <v>235</v>
      </c>
      <c r="E66" s="28" t="str">
        <f>'B.kriteria &amp; R.kecocokan'!$B$25</f>
        <v>Sedikit</v>
      </c>
      <c r="F66" s="9" t="str">
        <f>'B.kriteria &amp; R.kecocokan'!$B$34</f>
        <v>Tinggi</v>
      </c>
      <c r="G66" s="191" t="str">
        <f>'B.kriteria &amp; R.kecocokan'!$B$41</f>
        <v>Rendah</v>
      </c>
      <c r="H66" s="191" t="str">
        <f>'B.kriteria &amp; R.kecocokan'!$B$72</f>
        <v>Rendah</v>
      </c>
      <c r="I66" s="191" t="str">
        <f>'B.kriteria &amp; R.kecocokan'!$B$95</f>
        <v>Rendah</v>
      </c>
      <c r="J66" s="9" t="str">
        <f>'B.kriteria &amp; R.kecocokan'!$B$81</f>
        <v>Tinggi</v>
      </c>
      <c r="K66" s="9" t="str">
        <f>'B.kriteria &amp; R.kecocokan'!$B$90</f>
        <v>Sangat Sedikit</v>
      </c>
      <c r="L66" s="191" t="str">
        <f>'B.kriteria &amp; R.kecocokan'!$B$49</f>
        <v>Rendah</v>
      </c>
      <c r="M66" s="191" t="str">
        <f>'B.kriteria &amp; R.kecocokan'!$B$57</f>
        <v>Rendah</v>
      </c>
      <c r="N66" s="51" t="str">
        <f>'B.kriteria &amp; R.kecocokan'!$B$65</f>
        <v>Rendah</v>
      </c>
      <c r="O66" s="52" t="s">
        <v>347</v>
      </c>
      <c r="P66" s="2" t="str">
        <f t="shared" si="8"/>
        <v>Tidak</v>
      </c>
    </row>
    <row r="67" spans="1:16" x14ac:dyDescent="0.35">
      <c r="A67" s="57">
        <v>65</v>
      </c>
      <c r="B67" s="2" t="str">
        <f>Penghasilan!B48</f>
        <v>3523151403060776</v>
      </c>
      <c r="C67" s="2" t="s">
        <v>209</v>
      </c>
      <c r="D67" s="11" t="s">
        <v>95</v>
      </c>
      <c r="E67" s="9" t="str">
        <f>'B.kriteria &amp; R.kecocokan'!$B$23</f>
        <v>Banyak</v>
      </c>
      <c r="F67" s="9" t="str">
        <f>'B.kriteria &amp; R.kecocokan'!$B$34</f>
        <v>Tinggi</v>
      </c>
      <c r="G67" s="191" t="str">
        <f>'B.kriteria &amp; R.kecocokan'!$B$41</f>
        <v>Rendah</v>
      </c>
      <c r="H67" s="191" t="str">
        <f>'B.kriteria &amp; R.kecocokan'!$B$72</f>
        <v>Rendah</v>
      </c>
      <c r="I67" s="191" t="str">
        <f>'B.kriteria &amp; R.kecocokan'!$B$95</f>
        <v>Rendah</v>
      </c>
      <c r="J67" s="191" t="str">
        <f>'B.kriteria &amp; R.kecocokan'!$B$80</f>
        <v>Rendah</v>
      </c>
      <c r="K67" s="191" t="str">
        <f>'B.kriteria &amp; R.kecocokan'!$B$89</f>
        <v>Sedikit</v>
      </c>
      <c r="L67" s="191" t="str">
        <f>'B.kriteria &amp; R.kecocokan'!$B$49</f>
        <v>Rendah</v>
      </c>
      <c r="M67" s="191" t="str">
        <f>'B.kriteria &amp; R.kecocokan'!$B$57</f>
        <v>Rendah</v>
      </c>
      <c r="N67" s="51" t="str">
        <f>'B.kriteria &amp; R.kecocokan'!$B$65</f>
        <v>Rendah</v>
      </c>
      <c r="O67" s="52" t="s">
        <v>347</v>
      </c>
      <c r="P67" s="2" t="str">
        <f t="shared" ref="P67:P95" si="15">_xlfn.IFS(M67="Rendah","Tidak",M67="Tinggi","Layak",M67="sedang",IF(OR(K67="Sedang",K67="Sangat Sedikit"),"Layak",IF(F67="Sangat Tinggi","Layak"," Tidak")))</f>
        <v>Tidak</v>
      </c>
    </row>
    <row r="68" spans="1:16" x14ac:dyDescent="0.35">
      <c r="A68" s="147">
        <v>66</v>
      </c>
      <c r="B68" s="2" t="str">
        <f>Penghasilan!B50</f>
        <v>3523152212160003</v>
      </c>
      <c r="C68" s="2" t="s">
        <v>213</v>
      </c>
      <c r="D68" s="11" t="s">
        <v>95</v>
      </c>
      <c r="E68" s="9" t="str">
        <f>'B.kriteria &amp; R.kecocokan'!$B$23</f>
        <v>Banyak</v>
      </c>
      <c r="F68" s="9" t="str">
        <f>'B.kriteria &amp; R.kecocokan'!$B$34</f>
        <v>Tinggi</v>
      </c>
      <c r="G68" s="191" t="str">
        <f>'B.kriteria &amp; R.kecocokan'!$B$41</f>
        <v>Rendah</v>
      </c>
      <c r="H68" s="191" t="str">
        <f>'B.kriteria &amp; R.kecocokan'!$B$72</f>
        <v>Rendah</v>
      </c>
      <c r="I68" s="191" t="str">
        <f>'B.kriteria &amp; R.kecocokan'!$B$95</f>
        <v>Rendah</v>
      </c>
      <c r="J68" s="191" t="str">
        <f>'B.kriteria &amp; R.kecocokan'!$B$80</f>
        <v>Rendah</v>
      </c>
      <c r="K68" s="191" t="str">
        <f>'B.kriteria &amp; R.kecocokan'!$B$89</f>
        <v>Sedikit</v>
      </c>
      <c r="L68" s="191" t="str">
        <f>'B.kriteria &amp; R.kecocokan'!$B$49</f>
        <v>Rendah</v>
      </c>
      <c r="M68" s="191" t="str">
        <f>'B.kriteria &amp; R.kecocokan'!$B$57</f>
        <v>Rendah</v>
      </c>
      <c r="N68" s="51" t="str">
        <f>'B.kriteria &amp; R.kecocokan'!$B$65</f>
        <v>Rendah</v>
      </c>
      <c r="O68" s="52" t="s">
        <v>347</v>
      </c>
      <c r="P68" s="2" t="str">
        <f t="shared" si="15"/>
        <v>Tidak</v>
      </c>
    </row>
    <row r="69" spans="1:16" x14ac:dyDescent="0.35">
      <c r="A69" s="147">
        <v>67</v>
      </c>
      <c r="B69" s="2" t="str">
        <f>Penghasilan!B51</f>
        <v>3523151403063105</v>
      </c>
      <c r="C69" s="2" t="s">
        <v>215</v>
      </c>
      <c r="D69" s="11" t="s">
        <v>95</v>
      </c>
      <c r="E69" s="32" t="str">
        <f>'B.kriteria &amp; R.kecocokan'!$B$24</f>
        <v>Cukup</v>
      </c>
      <c r="F69" s="9" t="str">
        <f>'B.kriteria &amp; R.kecocokan'!$B$34</f>
        <v>Tinggi</v>
      </c>
      <c r="G69" s="191" t="str">
        <f>'B.kriteria &amp; R.kecocokan'!$B$41</f>
        <v>Rendah</v>
      </c>
      <c r="H69" s="191" t="str">
        <f>'B.kriteria &amp; R.kecocokan'!$B$72</f>
        <v>Rendah</v>
      </c>
      <c r="I69" s="191" t="str">
        <f>'B.kriteria &amp; R.kecocokan'!$B$95</f>
        <v>Rendah</v>
      </c>
      <c r="J69" s="191" t="str">
        <f>'B.kriteria &amp; R.kecocokan'!$B$80</f>
        <v>Rendah</v>
      </c>
      <c r="K69" s="191" t="str">
        <f>'B.kriteria &amp; R.kecocokan'!$B$89</f>
        <v>Sedikit</v>
      </c>
      <c r="L69" s="191" t="str">
        <f>'B.kriteria &amp; R.kecocokan'!$B$49</f>
        <v>Rendah</v>
      </c>
      <c r="M69" s="191" t="str">
        <f>'B.kriteria &amp; R.kecocokan'!$B$57</f>
        <v>Rendah</v>
      </c>
      <c r="N69" s="51" t="str">
        <f>'B.kriteria &amp; R.kecocokan'!$B$65</f>
        <v>Rendah</v>
      </c>
      <c r="O69" s="52" t="s">
        <v>347</v>
      </c>
      <c r="P69" s="2" t="str">
        <f t="shared" si="15"/>
        <v>Tidak</v>
      </c>
    </row>
    <row r="70" spans="1:16" x14ac:dyDescent="0.35">
      <c r="A70" s="57">
        <v>68</v>
      </c>
      <c r="B70" s="2" t="str">
        <f>Penghasilan!B52</f>
        <v>3523152207170003</v>
      </c>
      <c r="C70" s="2" t="s">
        <v>239</v>
      </c>
      <c r="D70" s="11" t="s">
        <v>92</v>
      </c>
      <c r="E70" s="32" t="str">
        <f>'B.kriteria &amp; R.kecocokan'!$B$24</f>
        <v>Cukup</v>
      </c>
      <c r="F70" s="9" t="str">
        <f>'B.kriteria &amp; R.kecocokan'!$B$34</f>
        <v>Tinggi</v>
      </c>
      <c r="G70" s="191" t="str">
        <f>'B.kriteria &amp; R.kecocokan'!$B$41</f>
        <v>Rendah</v>
      </c>
      <c r="H70" s="191" t="str">
        <f>'B.kriteria &amp; R.kecocokan'!$B$72</f>
        <v>Rendah</v>
      </c>
      <c r="I70" s="191" t="str">
        <f>'B.kriteria &amp; R.kecocokan'!$B$95</f>
        <v>Rendah</v>
      </c>
      <c r="J70" s="191" t="str">
        <f>'B.kriteria &amp; R.kecocokan'!$B$80</f>
        <v>Rendah</v>
      </c>
      <c r="K70" s="191" t="str">
        <f>'B.kriteria &amp; R.kecocokan'!$B$89</f>
        <v>Sedikit</v>
      </c>
      <c r="L70" s="191" t="str">
        <f>'B.kriteria &amp; R.kecocokan'!$B$49</f>
        <v>Rendah</v>
      </c>
      <c r="M70" s="191" t="str">
        <f>'B.kriteria &amp; R.kecocokan'!$B$57</f>
        <v>Rendah</v>
      </c>
      <c r="N70" s="51" t="str">
        <f>'B.kriteria &amp; R.kecocokan'!$B$65</f>
        <v>Rendah</v>
      </c>
      <c r="O70" s="52" t="s">
        <v>347</v>
      </c>
      <c r="P70" s="2" t="str">
        <f t="shared" si="15"/>
        <v>Tidak</v>
      </c>
    </row>
    <row r="71" spans="1:16" x14ac:dyDescent="0.35">
      <c r="A71" s="147">
        <v>69</v>
      </c>
      <c r="B71" s="2" t="str">
        <f>Penghasilan!B54</f>
        <v>3523151403064641</v>
      </c>
      <c r="C71" s="2" t="s">
        <v>221</v>
      </c>
      <c r="D71" s="11" t="s">
        <v>240</v>
      </c>
      <c r="E71" s="28" t="str">
        <f>'B.kriteria &amp; R.kecocokan'!$B$25</f>
        <v>Sedikit</v>
      </c>
      <c r="F71" s="9" t="str">
        <f>'B.kriteria &amp; R.kecocokan'!$B$34</f>
        <v>Tinggi</v>
      </c>
      <c r="G71" s="191" t="str">
        <f>'B.kriteria &amp; R.kecocokan'!$B$41</f>
        <v>Rendah</v>
      </c>
      <c r="H71" s="191" t="str">
        <f>'B.kriteria &amp; R.kecocokan'!$B$72</f>
        <v>Rendah</v>
      </c>
      <c r="I71" s="191" t="str">
        <f>'B.kriteria &amp; R.kecocokan'!$B$95</f>
        <v>Rendah</v>
      </c>
      <c r="J71" s="9" t="str">
        <f>'B.kriteria &amp; R.kecocokan'!$B$81</f>
        <v>Tinggi</v>
      </c>
      <c r="K71" s="9" t="str">
        <f>'B.kriteria &amp; R.kecocokan'!$B$90</f>
        <v>Sangat Sedikit</v>
      </c>
      <c r="L71" s="191" t="str">
        <f>'B.kriteria &amp; R.kecocokan'!$B$49</f>
        <v>Rendah</v>
      </c>
      <c r="M71" s="191" t="str">
        <f>'B.kriteria &amp; R.kecocokan'!$B$57</f>
        <v>Rendah</v>
      </c>
      <c r="N71" s="51" t="str">
        <f>'B.kriteria &amp; R.kecocokan'!$B$65</f>
        <v>Rendah</v>
      </c>
      <c r="O71" s="52" t="s">
        <v>347</v>
      </c>
      <c r="P71" s="2" t="str">
        <f t="shared" si="15"/>
        <v>Tidak</v>
      </c>
    </row>
    <row r="72" spans="1:16" x14ac:dyDescent="0.35">
      <c r="A72" s="147">
        <v>70</v>
      </c>
      <c r="B72" s="2" t="str">
        <f>Penghasilan!B53</f>
        <v>3523151403060757</v>
      </c>
      <c r="C72" s="2" t="s">
        <v>219</v>
      </c>
      <c r="D72" s="11" t="s">
        <v>95</v>
      </c>
      <c r="E72" s="9" t="str">
        <f>'B.kriteria &amp; R.kecocokan'!$B$23</f>
        <v>Banyak</v>
      </c>
      <c r="F72" s="9" t="str">
        <f>'B.kriteria &amp; R.kecocokan'!$B$34</f>
        <v>Tinggi</v>
      </c>
      <c r="G72" s="191" t="str">
        <f>'B.kriteria &amp; R.kecocokan'!$B$41</f>
        <v>Rendah</v>
      </c>
      <c r="H72" s="191" t="str">
        <f>'B.kriteria &amp; R.kecocokan'!$B$72</f>
        <v>Rendah</v>
      </c>
      <c r="I72" s="191" t="str">
        <f>'B.kriteria &amp; R.kecocokan'!$B$95</f>
        <v>Rendah</v>
      </c>
      <c r="J72" s="191" t="str">
        <f>'B.kriteria &amp; R.kecocokan'!$B$80</f>
        <v>Rendah</v>
      </c>
      <c r="K72" s="9" t="str">
        <f>'B.kriteria &amp; R.kecocokan'!$B$88</f>
        <v>Sedang</v>
      </c>
      <c r="L72" s="191" t="str">
        <f>'B.kriteria &amp; R.kecocokan'!$B$49</f>
        <v>Rendah</v>
      </c>
      <c r="M72" s="191" t="str">
        <f>'B.kriteria &amp; R.kecocokan'!$B$57</f>
        <v>Rendah</v>
      </c>
      <c r="N72" s="51" t="str">
        <f>'B.kriteria &amp; R.kecocokan'!$B$65</f>
        <v>Rendah</v>
      </c>
      <c r="O72" s="52" t="s">
        <v>347</v>
      </c>
      <c r="P72" s="2" t="str">
        <f t="shared" si="15"/>
        <v>Tidak</v>
      </c>
    </row>
    <row r="73" spans="1:16" x14ac:dyDescent="0.35">
      <c r="A73" s="57">
        <v>71</v>
      </c>
      <c r="B73" s="2" t="str">
        <f>Penghasilan!B55</f>
        <v>3523151309090179</v>
      </c>
      <c r="C73" s="2" t="s">
        <v>241</v>
      </c>
      <c r="D73" s="11" t="s">
        <v>95</v>
      </c>
      <c r="E73" s="9" t="str">
        <f>'B.kriteria &amp; R.kecocokan'!$B$23</f>
        <v>Banyak</v>
      </c>
      <c r="F73" s="9" t="str">
        <f>'B.kriteria &amp; R.kecocokan'!$B$34</f>
        <v>Tinggi</v>
      </c>
      <c r="G73" s="191" t="str">
        <f>'B.kriteria &amp; R.kecocokan'!$B$41</f>
        <v>Rendah</v>
      </c>
      <c r="H73" s="191" t="str">
        <f>'B.kriteria &amp; R.kecocokan'!$B$72</f>
        <v>Rendah</v>
      </c>
      <c r="I73" s="191" t="str">
        <f>'B.kriteria &amp; R.kecocokan'!$B$95</f>
        <v>Rendah</v>
      </c>
      <c r="J73" s="191" t="str">
        <f>'B.kriteria &amp; R.kecocokan'!$B$80</f>
        <v>Rendah</v>
      </c>
      <c r="K73" s="9" t="str">
        <f>'B.kriteria &amp; R.kecocokan'!$B$88</f>
        <v>Sedang</v>
      </c>
      <c r="L73" s="191" t="str">
        <f>'B.kriteria &amp; R.kecocokan'!$B$49</f>
        <v>Rendah</v>
      </c>
      <c r="M73" s="191" t="str">
        <f>'B.kriteria &amp; R.kecocokan'!$B$57</f>
        <v>Rendah</v>
      </c>
      <c r="N73" s="51" t="str">
        <f>'B.kriteria &amp; R.kecocokan'!$B$65</f>
        <v>Rendah</v>
      </c>
      <c r="O73" s="52" t="s">
        <v>347</v>
      </c>
      <c r="P73" s="2" t="str">
        <f t="shared" si="15"/>
        <v>Tidak</v>
      </c>
    </row>
    <row r="74" spans="1:16" x14ac:dyDescent="0.35">
      <c r="A74" s="147">
        <v>72</v>
      </c>
      <c r="B74" s="2" t="str">
        <f>Penghasilan!B56</f>
        <v>3523151309090183</v>
      </c>
      <c r="C74" s="2" t="s">
        <v>225</v>
      </c>
      <c r="D74" s="11" t="s">
        <v>95</v>
      </c>
      <c r="E74" s="9" t="str">
        <f>'B.kriteria &amp; R.kecocokan'!$B$23</f>
        <v>Banyak</v>
      </c>
      <c r="F74" s="9" t="str">
        <f>'B.kriteria &amp; R.kecocokan'!$B$34</f>
        <v>Tinggi</v>
      </c>
      <c r="G74" s="191" t="str">
        <f>'B.kriteria &amp; R.kecocokan'!$B$41</f>
        <v>Rendah</v>
      </c>
      <c r="H74" s="191" t="str">
        <f>'B.kriteria &amp; R.kecocokan'!$B$72</f>
        <v>Rendah</v>
      </c>
      <c r="I74" s="191" t="str">
        <f>'B.kriteria &amp; R.kecocokan'!$B$95</f>
        <v>Rendah</v>
      </c>
      <c r="J74" s="9" t="str">
        <f>'B.kriteria &amp; R.kecocokan'!$B$81</f>
        <v>Tinggi</v>
      </c>
      <c r="K74" s="9" t="str">
        <f>'B.kriteria &amp; R.kecocokan'!$B$90</f>
        <v>Sangat Sedikit</v>
      </c>
      <c r="L74" s="191" t="str">
        <f>'B.kriteria &amp; R.kecocokan'!$B$49</f>
        <v>Rendah</v>
      </c>
      <c r="M74" s="191" t="str">
        <f>'B.kriteria &amp; R.kecocokan'!$B$57</f>
        <v>Rendah</v>
      </c>
      <c r="N74" s="51" t="str">
        <f>'B.kriteria &amp; R.kecocokan'!$B$65</f>
        <v>Rendah</v>
      </c>
      <c r="O74" s="52" t="s">
        <v>347</v>
      </c>
      <c r="P74" s="2" t="str">
        <f t="shared" si="15"/>
        <v>Tidak</v>
      </c>
    </row>
    <row r="75" spans="1:16" x14ac:dyDescent="0.35">
      <c r="A75" s="147">
        <v>73</v>
      </c>
      <c r="B75" s="2" t="str">
        <f>Penghasilan!B57</f>
        <v>3523152310180005</v>
      </c>
      <c r="C75" s="2" t="s">
        <v>227</v>
      </c>
      <c r="D75" s="11" t="s">
        <v>95</v>
      </c>
      <c r="E75" s="9" t="str">
        <f>'B.kriteria &amp; R.kecocokan'!$B$23</f>
        <v>Banyak</v>
      </c>
      <c r="F75" s="9" t="str">
        <f>'B.kriteria &amp; R.kecocokan'!$B$35</f>
        <v>Sangat Tinggi</v>
      </c>
      <c r="G75" s="191" t="str">
        <f>'B.kriteria &amp; R.kecocokan'!$B$41</f>
        <v>Rendah</v>
      </c>
      <c r="H75" s="191" t="str">
        <f>'B.kriteria &amp; R.kecocokan'!$B$72</f>
        <v>Rendah</v>
      </c>
      <c r="I75" s="191" t="str">
        <f>'B.kriteria &amp; R.kecocokan'!$B$95</f>
        <v>Rendah</v>
      </c>
      <c r="J75" s="191" t="str">
        <f>'B.kriteria &amp; R.kecocokan'!$B$80</f>
        <v>Rendah</v>
      </c>
      <c r="K75" s="9" t="str">
        <f>'B.kriteria &amp; R.kecocokan'!$B$90</f>
        <v>Sangat Sedikit</v>
      </c>
      <c r="L75" s="9" t="str">
        <f>'B.kriteria &amp; R.kecocokan'!$B$51</f>
        <v>Tinggi</v>
      </c>
      <c r="M75" s="191" t="str">
        <f>'B.kriteria &amp; R.kecocokan'!$B$57</f>
        <v>Rendah</v>
      </c>
      <c r="N75" s="51" t="str">
        <f>'B.kriteria &amp; R.kecocokan'!$B$65</f>
        <v>Rendah</v>
      </c>
      <c r="O75" s="52" t="s">
        <v>347</v>
      </c>
      <c r="P75" s="2" t="str">
        <f t="shared" si="15"/>
        <v>Tidak</v>
      </c>
    </row>
    <row r="76" spans="1:16" x14ac:dyDescent="0.35">
      <c r="A76" s="57">
        <v>74</v>
      </c>
      <c r="B76" s="2" t="str">
        <f>Penghasilan!B58</f>
        <v>3523151403060766</v>
      </c>
      <c r="C76" s="2" t="s">
        <v>245</v>
      </c>
      <c r="D76" s="11" t="s">
        <v>95</v>
      </c>
      <c r="E76" s="32" t="str">
        <f>'B.kriteria &amp; R.kecocokan'!$B$24</f>
        <v>Cukup</v>
      </c>
      <c r="F76" s="9" t="str">
        <f>'B.kriteria &amp; R.kecocokan'!$B$34</f>
        <v>Tinggi</v>
      </c>
      <c r="G76" s="191" t="str">
        <f>'B.kriteria &amp; R.kecocokan'!$B$41</f>
        <v>Rendah</v>
      </c>
      <c r="H76" s="191" t="str">
        <f>'B.kriteria &amp; R.kecocokan'!$B$72</f>
        <v>Rendah</v>
      </c>
      <c r="I76" s="191" t="str">
        <f>'B.kriteria &amp; R.kecocokan'!$B$95</f>
        <v>Rendah</v>
      </c>
      <c r="J76" s="191" t="str">
        <f>'B.kriteria &amp; R.kecocokan'!$B$80</f>
        <v>Rendah</v>
      </c>
      <c r="K76" s="191" t="str">
        <f>'B.kriteria &amp; R.kecocokan'!$B$89</f>
        <v>Sedikit</v>
      </c>
      <c r="L76" s="191" t="str">
        <f>'B.kriteria &amp; R.kecocokan'!$B$49</f>
        <v>Rendah</v>
      </c>
      <c r="M76" s="191" t="str">
        <f>'B.kriteria &amp; R.kecocokan'!$B$57</f>
        <v>Rendah</v>
      </c>
      <c r="N76" s="51" t="str">
        <f>'B.kriteria &amp; R.kecocokan'!$B$65</f>
        <v>Rendah</v>
      </c>
      <c r="O76" s="52" t="s">
        <v>347</v>
      </c>
      <c r="P76" s="2" t="str">
        <f t="shared" si="15"/>
        <v>Tidak</v>
      </c>
    </row>
    <row r="77" spans="1:16" x14ac:dyDescent="0.35">
      <c r="A77" s="147">
        <v>75</v>
      </c>
      <c r="B77" s="2" t="str">
        <f>Penghasilan!B15</f>
        <v>3523151403060759</v>
      </c>
      <c r="C77" s="2" t="s">
        <v>155</v>
      </c>
      <c r="D77" s="11" t="s">
        <v>95</v>
      </c>
      <c r="E77" s="32" t="str">
        <f>'B.kriteria &amp; R.kecocokan'!$B$24</f>
        <v>Cukup</v>
      </c>
      <c r="F77" s="9" t="str">
        <f>'B.kriteria &amp; R.kecocokan'!$B$34</f>
        <v>Tinggi</v>
      </c>
      <c r="G77" s="9" t="str">
        <f>'B.kriteria &amp; R.kecocokan'!$B$43</f>
        <v>Tinggi</v>
      </c>
      <c r="H77" s="191" t="str">
        <f>'B.kriteria &amp; R.kecocokan'!$B$72</f>
        <v>Rendah</v>
      </c>
      <c r="I77" s="191" t="str">
        <f>'B.kriteria &amp; R.kecocokan'!$B$95</f>
        <v>Rendah</v>
      </c>
      <c r="J77" s="191" t="str">
        <f>'B.kriteria &amp; R.kecocokan'!$B$80</f>
        <v>Rendah</v>
      </c>
      <c r="K77" s="9" t="str">
        <f>'B.kriteria &amp; R.kecocokan'!$B$88</f>
        <v>Sedang</v>
      </c>
      <c r="L77" s="191" t="str">
        <f>'B.kriteria &amp; R.kecocokan'!$B$49</f>
        <v>Rendah</v>
      </c>
      <c r="M77" s="191" t="str">
        <f>'B.kriteria &amp; R.kecocokan'!$B$57</f>
        <v>Rendah</v>
      </c>
      <c r="N77" s="51" t="str">
        <f>'B.kriteria &amp; R.kecocokan'!$B$65</f>
        <v>Rendah</v>
      </c>
      <c r="O77" s="52" t="s">
        <v>347</v>
      </c>
      <c r="P77" s="2" t="str">
        <f t="shared" si="15"/>
        <v>Tidak</v>
      </c>
    </row>
    <row r="78" spans="1:16" x14ac:dyDescent="0.35">
      <c r="A78" s="147">
        <v>76</v>
      </c>
      <c r="B78" s="2" t="str">
        <f>Penghasilan!B14</f>
        <v>3523152110200008</v>
      </c>
      <c r="C78" s="2" t="s">
        <v>152</v>
      </c>
      <c r="D78" s="11" t="s">
        <v>95</v>
      </c>
      <c r="E78" s="9" t="str">
        <f>'B.kriteria &amp; R.kecocokan'!$B$23</f>
        <v>Banyak</v>
      </c>
      <c r="F78" s="9" t="str">
        <f>'B.kriteria &amp; R.kecocokan'!$B$34</f>
        <v>Tinggi</v>
      </c>
      <c r="G78" s="191" t="str">
        <f>'B.kriteria &amp; R.kecocokan'!$B$41</f>
        <v>Rendah</v>
      </c>
      <c r="H78" s="191" t="str">
        <f>'B.kriteria &amp; R.kecocokan'!$B$72</f>
        <v>Rendah</v>
      </c>
      <c r="I78" s="191" t="str">
        <f>'B.kriteria &amp; R.kecocokan'!$B$95</f>
        <v>Rendah</v>
      </c>
      <c r="J78" s="9" t="str">
        <f>'B.kriteria &amp; R.kecocokan'!$B$81</f>
        <v>Tinggi</v>
      </c>
      <c r="K78" s="9" t="str">
        <f>'B.kriteria &amp; R.kecocokan'!$B$88</f>
        <v>Sedang</v>
      </c>
      <c r="L78" s="191" t="str">
        <f>'B.kriteria &amp; R.kecocokan'!$B$49</f>
        <v>Rendah</v>
      </c>
      <c r="M78" s="191" t="str">
        <f>'B.kriteria &amp; R.kecocokan'!$B$57</f>
        <v>Rendah</v>
      </c>
      <c r="N78" s="51" t="str">
        <f>'B.kriteria &amp; R.kecocokan'!$B$65</f>
        <v>Rendah</v>
      </c>
      <c r="O78" s="52" t="s">
        <v>347</v>
      </c>
      <c r="P78" s="2" t="str">
        <f t="shared" si="15"/>
        <v>Tidak</v>
      </c>
    </row>
    <row r="79" spans="1:16" x14ac:dyDescent="0.35">
      <c r="A79" s="57">
        <v>77</v>
      </c>
      <c r="B79" s="2" t="str">
        <f>Penghasilan!B16</f>
        <v>3523150508150003</v>
      </c>
      <c r="C79" s="2" t="s">
        <v>157</v>
      </c>
      <c r="D79" s="11" t="s">
        <v>95</v>
      </c>
      <c r="E79" s="32" t="str">
        <f>'B.kriteria &amp; R.kecocokan'!$B$24</f>
        <v>Cukup</v>
      </c>
      <c r="F79" s="9" t="str">
        <f>'B.kriteria &amp; R.kecocokan'!$B$34</f>
        <v>Tinggi</v>
      </c>
      <c r="G79" s="191" t="str">
        <f>'B.kriteria &amp; R.kecocokan'!$B$41</f>
        <v>Rendah</v>
      </c>
      <c r="H79" s="191" t="str">
        <f>'B.kriteria &amp; R.kecocokan'!$B$72</f>
        <v>Rendah</v>
      </c>
      <c r="I79" s="191" t="str">
        <f>'B.kriteria &amp; R.kecocokan'!$B$95</f>
        <v>Rendah</v>
      </c>
      <c r="J79" s="9" t="str">
        <f>'B.kriteria &amp; R.kecocokan'!$B$81</f>
        <v>Tinggi</v>
      </c>
      <c r="K79" s="9" t="str">
        <f>'B.kriteria &amp; R.kecocokan'!$B$90</f>
        <v>Sangat Sedikit</v>
      </c>
      <c r="L79" s="191" t="str">
        <f>'B.kriteria &amp; R.kecocokan'!$B$49</f>
        <v>Rendah</v>
      </c>
      <c r="M79" s="191" t="str">
        <f>'B.kriteria &amp; R.kecocokan'!$B$57</f>
        <v>Rendah</v>
      </c>
      <c r="N79" s="51" t="str">
        <f>'B.kriteria &amp; R.kecocokan'!$B$65</f>
        <v>Rendah</v>
      </c>
      <c r="O79" s="52" t="s">
        <v>347</v>
      </c>
      <c r="P79" s="2" t="str">
        <f t="shared" si="15"/>
        <v>Tidak</v>
      </c>
    </row>
    <row r="80" spans="1:16" x14ac:dyDescent="0.35">
      <c r="A80" s="147">
        <v>78</v>
      </c>
      <c r="B80" s="2" t="str">
        <f>Penghasilan!B11</f>
        <v>3523151403061497</v>
      </c>
      <c r="C80" s="2" t="s">
        <v>146</v>
      </c>
      <c r="D80" s="11" t="s">
        <v>235</v>
      </c>
      <c r="E80" s="32" t="str">
        <f>'B.kriteria &amp; R.kecocokan'!$B$24</f>
        <v>Cukup</v>
      </c>
      <c r="F80" s="9" t="str">
        <f>'B.kriteria &amp; R.kecocokan'!$B$34</f>
        <v>Tinggi</v>
      </c>
      <c r="G80" s="9" t="str">
        <f>'B.kriteria &amp; R.kecocokan'!$B$43</f>
        <v>Tinggi</v>
      </c>
      <c r="H80" s="191" t="str">
        <f>'B.kriteria &amp; R.kecocokan'!$B$72</f>
        <v>Rendah</v>
      </c>
      <c r="I80" s="191" t="str">
        <f>'B.kriteria &amp; R.kecocokan'!$B$95</f>
        <v>Rendah</v>
      </c>
      <c r="J80" s="191" t="str">
        <f>'B.kriteria &amp; R.kecocokan'!$B$80</f>
        <v>Rendah</v>
      </c>
      <c r="K80" s="9" t="str">
        <f>'B.kriteria &amp; R.kecocokan'!$B$90</f>
        <v>Sangat Sedikit</v>
      </c>
      <c r="L80" s="191" t="str">
        <f>'B.kriteria &amp; R.kecocokan'!$B$49</f>
        <v>Rendah</v>
      </c>
      <c r="M80" s="191" t="str">
        <f>'B.kriteria &amp; R.kecocokan'!$B$57</f>
        <v>Rendah</v>
      </c>
      <c r="N80" s="51" t="str">
        <f>'B.kriteria &amp; R.kecocokan'!$B$65</f>
        <v>Rendah</v>
      </c>
      <c r="O80" s="52" t="s">
        <v>347</v>
      </c>
      <c r="P80" s="2" t="str">
        <f t="shared" si="15"/>
        <v>Tidak</v>
      </c>
    </row>
    <row r="81" spans="1:16" x14ac:dyDescent="0.35">
      <c r="A81" s="147">
        <v>79</v>
      </c>
      <c r="B81" s="2" t="str">
        <f>Penghasilan!B24</f>
        <v>3523151403061467</v>
      </c>
      <c r="C81" s="2" t="s">
        <v>173</v>
      </c>
      <c r="D81" s="11" t="s">
        <v>95</v>
      </c>
      <c r="E81" s="28" t="str">
        <f>'B.kriteria &amp; R.kecocokan'!$B$25</f>
        <v>Sedikit</v>
      </c>
      <c r="F81" s="9" t="str">
        <f>'B.kriteria &amp; R.kecocokan'!$B$34</f>
        <v>Tinggi</v>
      </c>
      <c r="G81" s="191" t="str">
        <f>'B.kriteria &amp; R.kecocokan'!$B$41</f>
        <v>Rendah</v>
      </c>
      <c r="H81" s="191" t="str">
        <f>'B.kriteria &amp; R.kecocokan'!$B$72</f>
        <v>Rendah</v>
      </c>
      <c r="I81" s="191" t="str">
        <f>'B.kriteria &amp; R.kecocokan'!$B$95</f>
        <v>Rendah</v>
      </c>
      <c r="J81" s="9" t="str">
        <f>'B.kriteria &amp; R.kecocokan'!$B$81</f>
        <v>Tinggi</v>
      </c>
      <c r="K81" s="9" t="str">
        <f>'B.kriteria &amp; R.kecocokan'!$B$90</f>
        <v>Sangat Sedikit</v>
      </c>
      <c r="L81" s="191" t="str">
        <f>'B.kriteria &amp; R.kecocokan'!$B$49</f>
        <v>Rendah</v>
      </c>
      <c r="M81" s="9" t="str">
        <f>'B.kriteria &amp; R.kecocokan'!$B$58</f>
        <v>Sedang</v>
      </c>
      <c r="N81" s="51" t="str">
        <f>'B.kriteria &amp; R.kecocokan'!$B$65</f>
        <v>Rendah</v>
      </c>
      <c r="O81" s="52" t="s">
        <v>349</v>
      </c>
      <c r="P81" s="2" t="str">
        <f t="shared" si="15"/>
        <v>Layak</v>
      </c>
    </row>
    <row r="82" spans="1:16" x14ac:dyDescent="0.35">
      <c r="A82" s="57">
        <v>80</v>
      </c>
      <c r="B82" s="2" t="str">
        <f>Penghasilan!B13</f>
        <v>3523151008120009</v>
      </c>
      <c r="C82" s="2" t="s">
        <v>150</v>
      </c>
      <c r="D82" s="11" t="s">
        <v>95</v>
      </c>
      <c r="E82" s="28" t="str">
        <f>'B.kriteria &amp; R.kecocokan'!$B$25</f>
        <v>Sedikit</v>
      </c>
      <c r="F82" s="9" t="str">
        <f>'B.kriteria &amp; R.kecocokan'!$B$34</f>
        <v>Tinggi</v>
      </c>
      <c r="G82" s="9" t="str">
        <f>'B.kriteria &amp; R.kecocokan'!$B$43</f>
        <v>Tinggi</v>
      </c>
      <c r="H82" s="191" t="str">
        <f>'B.kriteria &amp; R.kecocokan'!$B$72</f>
        <v>Rendah</v>
      </c>
      <c r="I82" s="9" t="str">
        <f>'B.kriteria &amp; R.kecocokan'!$B$96</f>
        <v>Tinggi</v>
      </c>
      <c r="J82" s="191" t="str">
        <f>'B.kriteria &amp; R.kecocokan'!$B$80</f>
        <v>Rendah</v>
      </c>
      <c r="K82" s="191" t="str">
        <f>'B.kriteria &amp; R.kecocokan'!$B$89</f>
        <v>Sedikit</v>
      </c>
      <c r="L82" s="191" t="str">
        <f>'B.kriteria &amp; R.kecocokan'!$B$49</f>
        <v>Rendah</v>
      </c>
      <c r="M82" s="191" t="str">
        <f>'B.kriteria &amp; R.kecocokan'!$B$57</f>
        <v>Rendah</v>
      </c>
      <c r="N82" s="51" t="str">
        <f>'B.kriteria &amp; R.kecocokan'!$B$65</f>
        <v>Rendah</v>
      </c>
      <c r="O82" s="52" t="s">
        <v>347</v>
      </c>
      <c r="P82" s="2" t="str">
        <f t="shared" si="15"/>
        <v>Tidak</v>
      </c>
    </row>
    <row r="83" spans="1:16" x14ac:dyDescent="0.35">
      <c r="A83" s="147">
        <v>81</v>
      </c>
      <c r="B83" s="2" t="str">
        <f>Penghasilan!B12</f>
        <v>3523151403061490</v>
      </c>
      <c r="C83" s="2" t="s">
        <v>147</v>
      </c>
      <c r="D83" s="11" t="s">
        <v>95</v>
      </c>
      <c r="E83" s="28" t="str">
        <f>'B.kriteria &amp; R.kecocokan'!$B$25</f>
        <v>Sedikit</v>
      </c>
      <c r="F83" s="9" t="str">
        <f>'B.kriteria &amp; R.kecocokan'!$B$34</f>
        <v>Tinggi</v>
      </c>
      <c r="G83" s="191" t="str">
        <f>'B.kriteria &amp; R.kecocokan'!$B$41</f>
        <v>Rendah</v>
      </c>
      <c r="H83" s="191" t="str">
        <f>'B.kriteria &amp; R.kecocokan'!$B$72</f>
        <v>Rendah</v>
      </c>
      <c r="I83" s="191" t="str">
        <f>'B.kriteria &amp; R.kecocokan'!$B$95</f>
        <v>Rendah</v>
      </c>
      <c r="J83" s="9" t="str">
        <f>'B.kriteria &amp; R.kecocokan'!$B$81</f>
        <v>Tinggi</v>
      </c>
      <c r="K83" s="9" t="str">
        <f>'B.kriteria &amp; R.kecocokan'!$B$90</f>
        <v>Sangat Sedikit</v>
      </c>
      <c r="L83" s="191" t="str">
        <f>'B.kriteria &amp; R.kecocokan'!$B$49</f>
        <v>Rendah</v>
      </c>
      <c r="M83" s="191" t="str">
        <f>'B.kriteria &amp; R.kecocokan'!$B$57</f>
        <v>Rendah</v>
      </c>
      <c r="N83" s="51" t="str">
        <f>'B.kriteria &amp; R.kecocokan'!$B$65</f>
        <v>Rendah</v>
      </c>
      <c r="O83" s="52" t="s">
        <v>347</v>
      </c>
      <c r="P83" s="2" t="str">
        <f t="shared" si="15"/>
        <v>Tidak</v>
      </c>
    </row>
    <row r="84" spans="1:16" x14ac:dyDescent="0.35">
      <c r="A84" s="147">
        <v>82</v>
      </c>
      <c r="B84" s="2" t="str">
        <f>Penghasilan!B6</f>
        <v>3523151309090184</v>
      </c>
      <c r="C84" s="2" t="s">
        <v>126</v>
      </c>
      <c r="D84" s="11" t="s">
        <v>95</v>
      </c>
      <c r="E84" s="28" t="str">
        <f>'B.kriteria &amp; R.kecocokan'!$B$25</f>
        <v>Sedikit</v>
      </c>
      <c r="F84" s="9" t="str">
        <f>'B.kriteria &amp; R.kecocokan'!$B$34</f>
        <v>Tinggi</v>
      </c>
      <c r="G84" s="191" t="str">
        <f>'B.kriteria &amp; R.kecocokan'!$B$41</f>
        <v>Rendah</v>
      </c>
      <c r="H84" s="191" t="str">
        <f>'B.kriteria &amp; R.kecocokan'!$B$72</f>
        <v>Rendah</v>
      </c>
      <c r="I84" s="191" t="str">
        <f>'B.kriteria &amp; R.kecocokan'!$B$95</f>
        <v>Rendah</v>
      </c>
      <c r="J84" s="191" t="str">
        <f>'B.kriteria &amp; R.kecocokan'!$B$80</f>
        <v>Rendah</v>
      </c>
      <c r="K84" s="9" t="str">
        <f>'B.kriteria &amp; R.kecocokan'!$B$88</f>
        <v>Sedang</v>
      </c>
      <c r="L84" s="191" t="str">
        <f>'B.kriteria &amp; R.kecocokan'!$B$49</f>
        <v>Rendah</v>
      </c>
      <c r="M84" s="191" t="str">
        <f>'B.kriteria &amp; R.kecocokan'!$B$57</f>
        <v>Rendah</v>
      </c>
      <c r="N84" s="51" t="str">
        <f>'B.kriteria &amp; R.kecocokan'!$B$65</f>
        <v>Rendah</v>
      </c>
      <c r="O84" s="52" t="s">
        <v>347</v>
      </c>
      <c r="P84" s="2" t="str">
        <f t="shared" si="15"/>
        <v>Tidak</v>
      </c>
    </row>
    <row r="85" spans="1:16" x14ac:dyDescent="0.35">
      <c r="A85" s="57">
        <v>83</v>
      </c>
      <c r="B85" s="2" t="str">
        <f>Penghasilan!B26</f>
        <v>3523151309090126</v>
      </c>
      <c r="C85" s="2" t="s">
        <v>178</v>
      </c>
      <c r="D85" s="11" t="s">
        <v>95</v>
      </c>
      <c r="E85" s="32" t="str">
        <f>'B.kriteria &amp; R.kecocokan'!$B$24</f>
        <v>Cukup</v>
      </c>
      <c r="F85" s="9" t="str">
        <f>'B.kriteria &amp; R.kecocokan'!$B$34</f>
        <v>Tinggi</v>
      </c>
      <c r="G85" s="191" t="str">
        <f>'B.kriteria &amp; R.kecocokan'!$B$41</f>
        <v>Rendah</v>
      </c>
      <c r="H85" s="191" t="str">
        <f>'B.kriteria &amp; R.kecocokan'!$B$72</f>
        <v>Rendah</v>
      </c>
      <c r="I85" s="191" t="str">
        <f>'B.kriteria &amp; R.kecocokan'!$B$95</f>
        <v>Rendah</v>
      </c>
      <c r="J85" s="191" t="str">
        <f>'B.kriteria &amp; R.kecocokan'!$B$80</f>
        <v>Rendah</v>
      </c>
      <c r="K85" s="191" t="str">
        <f>'B.kriteria &amp; R.kecocokan'!$B$89</f>
        <v>Sedikit</v>
      </c>
      <c r="L85" s="191" t="str">
        <f>'B.kriteria &amp; R.kecocokan'!$B$49</f>
        <v>Rendah</v>
      </c>
      <c r="M85" s="9" t="str">
        <f>'B.kriteria &amp; R.kecocokan'!$B$58</f>
        <v>Sedang</v>
      </c>
      <c r="N85" s="51" t="str">
        <f>'B.kriteria &amp; R.kecocokan'!$B$65</f>
        <v>Rendah</v>
      </c>
      <c r="O85" s="52" t="s">
        <v>349</v>
      </c>
      <c r="P85" s="2" t="str">
        <f t="shared" si="15"/>
        <v xml:space="preserve"> Tidak</v>
      </c>
    </row>
    <row r="86" spans="1:16" x14ac:dyDescent="0.35">
      <c r="A86" s="147">
        <v>84</v>
      </c>
      <c r="B86" s="2" t="str">
        <f>Penghasilan!B6</f>
        <v>3523151309090184</v>
      </c>
      <c r="C86" s="2" t="s">
        <v>133</v>
      </c>
      <c r="D86" s="11" t="s">
        <v>95</v>
      </c>
      <c r="E86" s="32" t="str">
        <f>'B.kriteria &amp; R.kecocokan'!$B$24</f>
        <v>Cukup</v>
      </c>
      <c r="F86" s="9" t="str">
        <f>'B.kriteria &amp; R.kecocokan'!$B$34</f>
        <v>Tinggi</v>
      </c>
      <c r="G86" s="191" t="str">
        <f>'B.kriteria &amp; R.kecocokan'!$B$41</f>
        <v>Rendah</v>
      </c>
      <c r="H86" s="191" t="str">
        <f>'B.kriteria &amp; R.kecocokan'!$B$72</f>
        <v>Rendah</v>
      </c>
      <c r="I86" s="191" t="str">
        <f>'B.kriteria &amp; R.kecocokan'!$B$95</f>
        <v>Rendah</v>
      </c>
      <c r="J86" s="191" t="str">
        <f>'B.kriteria &amp; R.kecocokan'!$B$80</f>
        <v>Rendah</v>
      </c>
      <c r="K86" s="9" t="str">
        <f>'B.kriteria &amp; R.kecocokan'!$B$90</f>
        <v>Sangat Sedikit</v>
      </c>
      <c r="L86" s="191" t="str">
        <f>'B.kriteria &amp; R.kecocokan'!$B$49</f>
        <v>Rendah</v>
      </c>
      <c r="M86" s="191" t="str">
        <f>'B.kriteria &amp; R.kecocokan'!$B$57</f>
        <v>Rendah</v>
      </c>
      <c r="N86" s="51" t="str">
        <f>'B.kriteria &amp; R.kecocokan'!$B$65</f>
        <v>Rendah</v>
      </c>
      <c r="O86" s="52" t="s">
        <v>347</v>
      </c>
      <c r="P86" s="2" t="str">
        <f t="shared" si="15"/>
        <v>Tidak</v>
      </c>
    </row>
    <row r="87" spans="1:16" x14ac:dyDescent="0.35">
      <c r="A87" s="147">
        <v>85</v>
      </c>
      <c r="B87" s="2" t="str">
        <f>Penghasilan!B17</f>
        <v>3523151403060761</v>
      </c>
      <c r="C87" s="2" t="s">
        <v>159</v>
      </c>
      <c r="D87" s="11" t="s">
        <v>95</v>
      </c>
      <c r="E87" s="9" t="str">
        <f>'B.kriteria &amp; R.kecocokan'!$B$23</f>
        <v>Banyak</v>
      </c>
      <c r="F87" s="9" t="str">
        <f>'B.kriteria &amp; R.kecocokan'!$B$34</f>
        <v>Tinggi</v>
      </c>
      <c r="G87" s="191" t="str">
        <f>'B.kriteria &amp; R.kecocokan'!$B$41</f>
        <v>Rendah</v>
      </c>
      <c r="H87" s="191" t="str">
        <f>'B.kriteria &amp; R.kecocokan'!$B$72</f>
        <v>Rendah</v>
      </c>
      <c r="I87" s="9" t="str">
        <f>'B.kriteria &amp; R.kecocokan'!$B$96</f>
        <v>Tinggi</v>
      </c>
      <c r="J87" s="191" t="str">
        <f>'B.kriteria &amp; R.kecocokan'!$B$80</f>
        <v>Rendah</v>
      </c>
      <c r="K87" s="9" t="str">
        <f>'B.kriteria &amp; R.kecocokan'!$B$90</f>
        <v>Sangat Sedikit</v>
      </c>
      <c r="L87" s="191" t="str">
        <f>'B.kriteria &amp; R.kecocokan'!$B$49</f>
        <v>Rendah</v>
      </c>
      <c r="M87" s="191" t="str">
        <f>'B.kriteria &amp; R.kecocokan'!$B$57</f>
        <v>Rendah</v>
      </c>
      <c r="N87" s="51" t="str">
        <f>'B.kriteria &amp; R.kecocokan'!$B$65</f>
        <v>Rendah</v>
      </c>
      <c r="O87" s="52" t="s">
        <v>347</v>
      </c>
      <c r="P87" s="2" t="str">
        <f t="shared" si="15"/>
        <v>Tidak</v>
      </c>
    </row>
    <row r="88" spans="1:16" x14ac:dyDescent="0.35">
      <c r="A88" s="57">
        <v>86</v>
      </c>
      <c r="B88" s="2" t="str">
        <f>Penghasilan!B20</f>
        <v>3523151409180003</v>
      </c>
      <c r="C88" s="2" t="s">
        <v>165</v>
      </c>
      <c r="D88" s="11" t="s">
        <v>95</v>
      </c>
      <c r="E88" s="28" t="str">
        <f>'B.kriteria &amp; R.kecocokan'!$B$25</f>
        <v>Sedikit</v>
      </c>
      <c r="F88" s="9" t="str">
        <f>'B.kriteria &amp; R.kecocokan'!$B$34</f>
        <v>Tinggi</v>
      </c>
      <c r="G88" s="191" t="str">
        <f>'B.kriteria &amp; R.kecocokan'!$B$41</f>
        <v>Rendah</v>
      </c>
      <c r="H88" s="191" t="str">
        <f>'B.kriteria &amp; R.kecocokan'!$B$72</f>
        <v>Rendah</v>
      </c>
      <c r="I88" s="191" t="str">
        <f>'B.kriteria &amp; R.kecocokan'!$B$95</f>
        <v>Rendah</v>
      </c>
      <c r="J88" s="9" t="str">
        <f>'B.kriteria &amp; R.kecocokan'!$B$81</f>
        <v>Tinggi</v>
      </c>
      <c r="K88" s="9" t="str">
        <f>'B.kriteria &amp; R.kecocokan'!$B$90</f>
        <v>Sangat Sedikit</v>
      </c>
      <c r="L88" s="191" t="str">
        <f>'B.kriteria &amp; R.kecocokan'!$B$49</f>
        <v>Rendah</v>
      </c>
      <c r="M88" s="191" t="str">
        <f>'B.kriteria &amp; R.kecocokan'!$B$57</f>
        <v>Rendah</v>
      </c>
      <c r="N88" s="51" t="str">
        <f>'B.kriteria &amp; R.kecocokan'!$B$65</f>
        <v>Rendah</v>
      </c>
      <c r="O88" s="52" t="s">
        <v>349</v>
      </c>
      <c r="P88" s="2" t="str">
        <f t="shared" si="15"/>
        <v>Tidak</v>
      </c>
    </row>
    <row r="89" spans="1:16" x14ac:dyDescent="0.35">
      <c r="A89" s="147">
        <v>87</v>
      </c>
      <c r="B89" s="2" t="str">
        <f>Penghasilan!B19</f>
        <v>3523152901190003</v>
      </c>
      <c r="C89" s="2" t="s">
        <v>163</v>
      </c>
      <c r="D89" s="11" t="s">
        <v>248</v>
      </c>
      <c r="E89" s="28" t="str">
        <f>'B.kriteria &amp; R.kecocokan'!$B$25</f>
        <v>Sedikit</v>
      </c>
      <c r="F89" s="9" t="str">
        <f>'B.kriteria &amp; R.kecocokan'!$B$35</f>
        <v>Sangat Tinggi</v>
      </c>
      <c r="G89" s="9" t="str">
        <f>'B.kriteria &amp; R.kecocokan'!$B$43</f>
        <v>Tinggi</v>
      </c>
      <c r="H89" s="191" t="str">
        <f>'B.kriteria &amp; R.kecocokan'!$B$72</f>
        <v>Rendah</v>
      </c>
      <c r="I89" s="191" t="str">
        <f>'B.kriteria &amp; R.kecocokan'!$B$95</f>
        <v>Rendah</v>
      </c>
      <c r="J89" s="191" t="str">
        <f>'B.kriteria &amp; R.kecocokan'!$B$80</f>
        <v>Rendah</v>
      </c>
      <c r="K89" s="191" t="str">
        <f>'B.kriteria &amp; R.kecocokan'!$B$89</f>
        <v>Sedikit</v>
      </c>
      <c r="L89" s="191" t="str">
        <f>'B.kriteria &amp; R.kecocokan'!$B$49</f>
        <v>Rendah</v>
      </c>
      <c r="M89" s="191" t="str">
        <f>'B.kriteria &amp; R.kecocokan'!$B$57</f>
        <v>Rendah</v>
      </c>
      <c r="N89" s="51" t="str">
        <f>'B.kriteria &amp; R.kecocokan'!$B$65</f>
        <v>Rendah</v>
      </c>
      <c r="O89" s="52" t="s">
        <v>347</v>
      </c>
      <c r="P89" s="2" t="str">
        <f t="shared" si="15"/>
        <v>Tidak</v>
      </c>
    </row>
    <row r="90" spans="1:16" x14ac:dyDescent="0.35">
      <c r="A90" s="147">
        <v>88</v>
      </c>
      <c r="B90" s="30" t="str">
        <f>Penghasilan!B7</f>
        <v>3523152906120006</v>
      </c>
      <c r="C90" s="30" t="s">
        <v>24</v>
      </c>
      <c r="D90" s="11" t="s">
        <v>248</v>
      </c>
      <c r="E90" s="28" t="str">
        <f>'B.kriteria &amp; R.kecocokan'!$B$25</f>
        <v>Sedikit</v>
      </c>
      <c r="F90" s="9" t="str">
        <f>'B.kriteria &amp; R.kecocokan'!$B$35</f>
        <v>Sangat Tinggi</v>
      </c>
      <c r="G90" s="191" t="str">
        <f>'B.kriteria &amp; R.kecocokan'!$B$41</f>
        <v>Rendah</v>
      </c>
      <c r="H90" s="191" t="str">
        <f>'B.kriteria &amp; R.kecocokan'!$B$72</f>
        <v>Rendah</v>
      </c>
      <c r="I90" s="191" t="str">
        <f>'B.kriteria &amp; R.kecocokan'!$B$95</f>
        <v>Rendah</v>
      </c>
      <c r="J90" s="9" t="str">
        <f>'B.kriteria &amp; R.kecocokan'!$B$81</f>
        <v>Tinggi</v>
      </c>
      <c r="K90" s="9" t="str">
        <f>'B.kriteria &amp; R.kecocokan'!$B$90</f>
        <v>Sangat Sedikit</v>
      </c>
      <c r="L90" s="9" t="str">
        <f>'B.kriteria &amp; R.kecocokan'!$B$51</f>
        <v>Tinggi</v>
      </c>
      <c r="M90" s="9" t="str">
        <f>'B.kriteria &amp; R.kecocokan'!$B$59</f>
        <v>Tinggi</v>
      </c>
      <c r="N90" s="51" t="str">
        <f>'B.kriteria &amp; R.kecocokan'!$B$65</f>
        <v>Rendah</v>
      </c>
      <c r="O90" s="52" t="s">
        <v>349</v>
      </c>
      <c r="P90" s="2" t="str">
        <f t="shared" si="15"/>
        <v>Layak</v>
      </c>
    </row>
    <row r="91" spans="1:16" x14ac:dyDescent="0.35">
      <c r="A91" s="57">
        <v>89</v>
      </c>
      <c r="B91" s="2" t="str">
        <f>Penghasilan!B5</f>
        <v>No KK</v>
      </c>
      <c r="C91" s="2" t="s">
        <v>128</v>
      </c>
      <c r="D91" s="11" t="s">
        <v>95</v>
      </c>
      <c r="E91" s="32" t="str">
        <f>'B.kriteria &amp; R.kecocokan'!$B$24</f>
        <v>Cukup</v>
      </c>
      <c r="F91" s="9" t="str">
        <f>'B.kriteria &amp; R.kecocokan'!$B$34</f>
        <v>Tinggi</v>
      </c>
      <c r="G91" s="191" t="str">
        <f>'B.kriteria &amp; R.kecocokan'!$B$41</f>
        <v>Rendah</v>
      </c>
      <c r="H91" s="191" t="str">
        <f>'B.kriteria &amp; R.kecocokan'!$B$72</f>
        <v>Rendah</v>
      </c>
      <c r="I91" s="191" t="str">
        <f>'B.kriteria &amp; R.kecocokan'!$B$95</f>
        <v>Rendah</v>
      </c>
      <c r="J91" s="9" t="str">
        <f>'B.kriteria &amp; R.kecocokan'!$B$81</f>
        <v>Tinggi</v>
      </c>
      <c r="K91" s="9" t="str">
        <f>'B.kriteria &amp; R.kecocokan'!$B$90</f>
        <v>Sangat Sedikit</v>
      </c>
      <c r="L91" s="191" t="str">
        <f>'B.kriteria &amp; R.kecocokan'!$B$49</f>
        <v>Rendah</v>
      </c>
      <c r="M91" s="191" t="str">
        <f>'B.kriteria &amp; R.kecocokan'!$B$57</f>
        <v>Rendah</v>
      </c>
      <c r="N91" s="51" t="str">
        <f>'B.kriteria &amp; R.kecocokan'!$B$65</f>
        <v>Rendah</v>
      </c>
      <c r="O91" s="52" t="s">
        <v>347</v>
      </c>
      <c r="P91" s="2" t="str">
        <f t="shared" si="15"/>
        <v>Tidak</v>
      </c>
    </row>
    <row r="92" spans="1:16" x14ac:dyDescent="0.35">
      <c r="A92" s="147">
        <v>90</v>
      </c>
      <c r="B92" s="30" t="str">
        <f>Penghasilan!B8</f>
        <v>3523151403061499</v>
      </c>
      <c r="C92" s="30" t="s">
        <v>136</v>
      </c>
      <c r="D92" s="11" t="s">
        <v>95</v>
      </c>
      <c r="E92" s="28" t="str">
        <f>'B.kriteria &amp; R.kecocokan'!$B$25</f>
        <v>Sedikit</v>
      </c>
      <c r="F92" s="9" t="str">
        <f>'B.kriteria &amp; R.kecocokan'!$B$35</f>
        <v>Sangat Tinggi</v>
      </c>
      <c r="G92" s="191" t="str">
        <f>'B.kriteria &amp; R.kecocokan'!$B$41</f>
        <v>Rendah</v>
      </c>
      <c r="H92" s="191" t="str">
        <f>'B.kriteria &amp; R.kecocokan'!$B$72</f>
        <v>Rendah</v>
      </c>
      <c r="I92" s="191" t="str">
        <f>'B.kriteria &amp; R.kecocokan'!$B$95</f>
        <v>Rendah</v>
      </c>
      <c r="J92" s="9" t="str">
        <f>'B.kriteria &amp; R.kecocokan'!$B$81</f>
        <v>Tinggi</v>
      </c>
      <c r="K92" s="9" t="str">
        <f>'B.kriteria &amp; R.kecocokan'!$B$90</f>
        <v>Sangat Sedikit</v>
      </c>
      <c r="L92" s="9" t="str">
        <f>'B.kriteria &amp; R.kecocokan'!$B$51</f>
        <v>Tinggi</v>
      </c>
      <c r="M92" s="9" t="str">
        <f>'B.kriteria &amp; R.kecocokan'!$B$59</f>
        <v>Tinggi</v>
      </c>
      <c r="N92" s="51" t="str">
        <f>'B.kriteria &amp; R.kecocokan'!$B$65</f>
        <v>Rendah</v>
      </c>
      <c r="O92" s="52" t="s">
        <v>349</v>
      </c>
      <c r="P92" s="2" t="str">
        <f t="shared" si="15"/>
        <v>Layak</v>
      </c>
    </row>
    <row r="93" spans="1:16" x14ac:dyDescent="0.35">
      <c r="A93" s="147">
        <v>91</v>
      </c>
      <c r="B93" s="2" t="str">
        <f>Penghasilan!B9</f>
        <v>3523151403061502</v>
      </c>
      <c r="C93" s="2" t="s">
        <v>140</v>
      </c>
      <c r="D93" s="11" t="s">
        <v>95</v>
      </c>
      <c r="E93" s="28" t="str">
        <f>'B.kriteria &amp; R.kecocokan'!$B$25</f>
        <v>Sedikit</v>
      </c>
      <c r="F93" s="9" t="str">
        <f>'B.kriteria &amp; R.kecocokan'!$B$34</f>
        <v>Tinggi</v>
      </c>
      <c r="G93" s="191" t="str">
        <f>'B.kriteria &amp; R.kecocokan'!$B$41</f>
        <v>Rendah</v>
      </c>
      <c r="H93" s="191" t="str">
        <f>'B.kriteria &amp; R.kecocokan'!$B$72</f>
        <v>Rendah</v>
      </c>
      <c r="I93" s="191" t="str">
        <f>'B.kriteria &amp; R.kecocokan'!$B$95</f>
        <v>Rendah</v>
      </c>
      <c r="J93" s="9" t="str">
        <f>'B.kriteria &amp; R.kecocokan'!$B$81</f>
        <v>Tinggi</v>
      </c>
      <c r="K93" s="9" t="str">
        <f>'B.kriteria &amp; R.kecocokan'!$B$90</f>
        <v>Sangat Sedikit</v>
      </c>
      <c r="L93" s="191" t="str">
        <f>'B.kriteria &amp; R.kecocokan'!$B$49</f>
        <v>Rendah</v>
      </c>
      <c r="M93" s="9" t="str">
        <f>'B.kriteria &amp; R.kecocokan'!$B$58</f>
        <v>Sedang</v>
      </c>
      <c r="N93" s="51" t="str">
        <f>'B.kriteria &amp; R.kecocokan'!$B$65</f>
        <v>Rendah</v>
      </c>
      <c r="O93" s="52" t="s">
        <v>349</v>
      </c>
      <c r="P93" s="2" t="str">
        <f t="shared" si="15"/>
        <v>Layak</v>
      </c>
    </row>
    <row r="94" spans="1:16" x14ac:dyDescent="0.35">
      <c r="A94" s="57">
        <v>92</v>
      </c>
      <c r="B94" s="2" t="str">
        <f>Penghasilan!B10</f>
        <v>3523151403061500</v>
      </c>
      <c r="C94" s="2" t="s">
        <v>251</v>
      </c>
      <c r="D94" s="11" t="s">
        <v>95</v>
      </c>
      <c r="E94" s="28" t="str">
        <f>'B.kriteria &amp; R.kecocokan'!$B$25</f>
        <v>Sedikit</v>
      </c>
      <c r="F94" s="9" t="str">
        <f>'B.kriteria &amp; R.kecocokan'!$B$34</f>
        <v>Tinggi</v>
      </c>
      <c r="G94" s="191" t="str">
        <f>'B.kriteria &amp; R.kecocokan'!$B$41</f>
        <v>Rendah</v>
      </c>
      <c r="H94" s="191" t="str">
        <f>'B.kriteria &amp; R.kecocokan'!$B$72</f>
        <v>Rendah</v>
      </c>
      <c r="I94" s="191" t="str">
        <f>'B.kriteria &amp; R.kecocokan'!$B$95</f>
        <v>Rendah</v>
      </c>
      <c r="J94" s="191" t="str">
        <f>'B.kriteria &amp; R.kecocokan'!$B$80</f>
        <v>Rendah</v>
      </c>
      <c r="K94" s="9" t="str">
        <f>'B.kriteria &amp; R.kecocokan'!$B$88</f>
        <v>Sedang</v>
      </c>
      <c r="L94" s="191" t="str">
        <f>'B.kriteria &amp; R.kecocokan'!$B$49</f>
        <v>Rendah</v>
      </c>
      <c r="M94" s="9" t="str">
        <f>'B.kriteria &amp; R.kecocokan'!$B$58</f>
        <v>Sedang</v>
      </c>
      <c r="N94" s="51" t="str">
        <f>'B.kriteria &amp; R.kecocokan'!$B$65</f>
        <v>Rendah</v>
      </c>
      <c r="O94" s="52" t="s">
        <v>349</v>
      </c>
      <c r="P94" s="2" t="str">
        <f t="shared" si="15"/>
        <v>Layak</v>
      </c>
    </row>
    <row r="95" spans="1:16" x14ac:dyDescent="0.35">
      <c r="A95" s="202">
        <v>93</v>
      </c>
      <c r="B95" s="38" t="str">
        <f>Penghasilan!B23</f>
        <v>3523151503061503</v>
      </c>
      <c r="C95" s="38" t="s">
        <v>252</v>
      </c>
      <c r="D95" s="203" t="s">
        <v>95</v>
      </c>
      <c r="E95" s="190" t="str">
        <f>'B.kriteria &amp; R.kecocokan'!$B$23</f>
        <v>Banyak</v>
      </c>
      <c r="F95" s="190" t="str">
        <f>'B.kriteria &amp; R.kecocokan'!$B$34</f>
        <v>Tinggi</v>
      </c>
      <c r="G95" s="204" t="str">
        <f>'B.kriteria &amp; R.kecocokan'!$B$41</f>
        <v>Rendah</v>
      </c>
      <c r="H95" s="204" t="str">
        <f>'B.kriteria &amp; R.kecocokan'!$B$72</f>
        <v>Rendah</v>
      </c>
      <c r="I95" s="204" t="str">
        <f>'B.kriteria &amp; R.kecocokan'!$B$95</f>
        <v>Rendah</v>
      </c>
      <c r="J95" s="204" t="str">
        <f>'B.kriteria &amp; R.kecocokan'!$B$80</f>
        <v>Rendah</v>
      </c>
      <c r="K95" s="190" t="str">
        <f>'B.kriteria &amp; R.kecocokan'!$B$88</f>
        <v>Sedang</v>
      </c>
      <c r="L95" s="204" t="str">
        <f>'B.kriteria &amp; R.kecocokan'!$B$49</f>
        <v>Rendah</v>
      </c>
      <c r="M95" s="204" t="str">
        <f>'B.kriteria &amp; R.kecocokan'!$B$57</f>
        <v>Rendah</v>
      </c>
      <c r="N95" s="205" t="str">
        <f>'B.kriteria &amp; R.kecocokan'!$B$65</f>
        <v>Rendah</v>
      </c>
      <c r="O95" s="154" t="s">
        <v>347</v>
      </c>
      <c r="P95" s="2" t="str">
        <f t="shared" si="15"/>
        <v>Tidak</v>
      </c>
    </row>
    <row r="98" spans="1:23" ht="29.5" thickBot="1" x14ac:dyDescent="0.4">
      <c r="A98" s="192" t="s">
        <v>0</v>
      </c>
      <c r="B98" s="193" t="s">
        <v>1</v>
      </c>
      <c r="C98" s="194" t="s">
        <v>2</v>
      </c>
      <c r="D98" s="193" t="s">
        <v>3</v>
      </c>
      <c r="E98" s="193" t="s">
        <v>4</v>
      </c>
      <c r="F98" s="194" t="s">
        <v>5</v>
      </c>
      <c r="G98" s="194" t="s">
        <v>6</v>
      </c>
      <c r="H98" s="194" t="s">
        <v>21</v>
      </c>
      <c r="I98" s="194" t="s">
        <v>7</v>
      </c>
      <c r="J98" s="194" t="s">
        <v>8</v>
      </c>
      <c r="K98" s="194" t="s">
        <v>25</v>
      </c>
      <c r="L98" s="194" t="s">
        <v>9</v>
      </c>
      <c r="M98" s="194" t="s">
        <v>10</v>
      </c>
      <c r="N98" s="195" t="s">
        <v>11</v>
      </c>
      <c r="O98" s="196" t="s">
        <v>346</v>
      </c>
      <c r="Q98" t="s">
        <v>376</v>
      </c>
      <c r="S98" s="197" t="s">
        <v>356</v>
      </c>
      <c r="T98" s="197" t="s">
        <v>357</v>
      </c>
      <c r="U98" s="198" t="s">
        <v>358</v>
      </c>
      <c r="V98" s="197" t="s">
        <v>359</v>
      </c>
      <c r="W98" s="197" t="s">
        <v>360</v>
      </c>
    </row>
    <row r="99" spans="1:23" ht="15" hidden="1" thickTop="1" x14ac:dyDescent="0.35">
      <c r="A99" s="147">
        <v>1</v>
      </c>
      <c r="B99" s="33" t="s">
        <v>284</v>
      </c>
      <c r="C99" s="6" t="s">
        <v>12</v>
      </c>
      <c r="D99" s="7" t="s">
        <v>13</v>
      </c>
      <c r="E99" s="32" t="str">
        <f>'B.kriteria &amp; R.kecocokan'!$B$24</f>
        <v>Cukup</v>
      </c>
      <c r="F99" s="191" t="str">
        <f>'B.kriteria &amp; R.kecocokan'!$B$34</f>
        <v>Tinggi</v>
      </c>
      <c r="G99" s="191" t="str">
        <f>'B.kriteria &amp; R.kecocokan'!$B$41</f>
        <v>Rendah</v>
      </c>
      <c r="H99" s="191" t="str">
        <f>'B.kriteria &amp; R.kecocokan'!$B$72</f>
        <v>Rendah</v>
      </c>
      <c r="I99" s="191" t="str">
        <f>'B.kriteria &amp; R.kecocokan'!$B$95</f>
        <v>Rendah</v>
      </c>
      <c r="J99" s="191" t="str">
        <f>'B.kriteria &amp; R.kecocokan'!$B$80</f>
        <v>Rendah</v>
      </c>
      <c r="K99" s="191" t="str">
        <f>'B.kriteria &amp; R.kecocokan'!$B$89</f>
        <v>Sedikit</v>
      </c>
      <c r="L99" s="191" t="str">
        <f>'B.kriteria &amp; R.kecocokan'!$B$49</f>
        <v>Rendah</v>
      </c>
      <c r="M99" s="191" t="str">
        <f>'B.kriteria &amp; R.kecocokan'!$B$57</f>
        <v>Rendah</v>
      </c>
      <c r="N99" s="51" t="str">
        <f>'B.kriteria &amp; R.kecocokan'!$B$65</f>
        <v>Rendah</v>
      </c>
      <c r="O99" s="199" t="s">
        <v>347</v>
      </c>
    </row>
    <row r="100" spans="1:23" ht="15" hidden="1" thickTop="1" x14ac:dyDescent="0.35">
      <c r="A100" s="57">
        <v>2</v>
      </c>
      <c r="B100" s="16" t="s">
        <v>279</v>
      </c>
      <c r="C100" s="2" t="s">
        <v>24</v>
      </c>
      <c r="D100" s="11" t="s">
        <v>13</v>
      </c>
      <c r="E100" s="32" t="str">
        <f>'B.kriteria &amp; R.kecocokan'!$B$24</f>
        <v>Cukup</v>
      </c>
      <c r="F100" s="9" t="str">
        <f>'B.kriteria &amp; R.kecocokan'!$B$34</f>
        <v>Tinggi</v>
      </c>
      <c r="G100" s="191" t="str">
        <f>'B.kriteria &amp; R.kecocokan'!$B$41</f>
        <v>Rendah</v>
      </c>
      <c r="H100" s="191" t="str">
        <f>'B.kriteria &amp; R.kecocokan'!$B$72</f>
        <v>Rendah</v>
      </c>
      <c r="I100" s="191" t="str">
        <f>'B.kriteria &amp; R.kecocokan'!$B$95</f>
        <v>Rendah</v>
      </c>
      <c r="J100" s="9" t="str">
        <f>'B.kriteria &amp; R.kecocokan'!$B$81</f>
        <v>Tinggi</v>
      </c>
      <c r="K100" s="9" t="str">
        <f>'B.kriteria &amp; R.kecocokan'!$B$90</f>
        <v>Sangat Sedikit</v>
      </c>
      <c r="L100" s="191" t="str">
        <f>'B.kriteria &amp; R.kecocokan'!$B$49</f>
        <v>Rendah</v>
      </c>
      <c r="M100" s="191" t="str">
        <f>'B.kriteria &amp; R.kecocokan'!$B$57</f>
        <v>Rendah</v>
      </c>
      <c r="N100" s="51" t="str">
        <f>'B.kriteria &amp; R.kecocokan'!$B$65</f>
        <v>Rendah</v>
      </c>
      <c r="O100" s="52" t="s">
        <v>347</v>
      </c>
    </row>
    <row r="101" spans="1:23" ht="15" hidden="1" thickTop="1" x14ac:dyDescent="0.35">
      <c r="A101" s="147">
        <v>3</v>
      </c>
      <c r="B101" s="16" t="s">
        <v>285</v>
      </c>
      <c r="C101" s="2" t="s">
        <v>26</v>
      </c>
      <c r="D101" s="11" t="s">
        <v>13</v>
      </c>
      <c r="E101" s="9" t="str">
        <f>'B.kriteria &amp; R.kecocokan'!$B$23</f>
        <v>Banyak</v>
      </c>
      <c r="F101" s="9" t="str">
        <f>'B.kriteria &amp; R.kecocokan'!$B$34</f>
        <v>Tinggi</v>
      </c>
      <c r="G101" s="191" t="str">
        <f>'B.kriteria &amp; R.kecocokan'!$B$41</f>
        <v>Rendah</v>
      </c>
      <c r="H101" s="191" t="str">
        <f>'B.kriteria &amp; R.kecocokan'!$B$72</f>
        <v>Rendah</v>
      </c>
      <c r="I101" s="191" t="str">
        <f>'B.kriteria &amp; R.kecocokan'!$B$95</f>
        <v>Rendah</v>
      </c>
      <c r="J101" s="191" t="str">
        <f>'B.kriteria &amp; R.kecocokan'!$B$80</f>
        <v>Rendah</v>
      </c>
      <c r="K101" s="9" t="str">
        <f>'B.kriteria &amp; R.kecocokan'!$B$90</f>
        <v>Sangat Sedikit</v>
      </c>
      <c r="L101" s="191" t="str">
        <f>'B.kriteria &amp; R.kecocokan'!$B$49</f>
        <v>Rendah</v>
      </c>
      <c r="M101" s="191" t="str">
        <f>'B.kriteria &amp; R.kecocokan'!$B$57</f>
        <v>Rendah</v>
      </c>
      <c r="N101" s="51" t="str">
        <f>'B.kriteria &amp; R.kecocokan'!$B$65</f>
        <v>Rendah</v>
      </c>
      <c r="O101" s="52" t="s">
        <v>347</v>
      </c>
    </row>
    <row r="102" spans="1:23" ht="15" hidden="1" thickTop="1" x14ac:dyDescent="0.35">
      <c r="A102" s="147">
        <v>4</v>
      </c>
      <c r="B102" s="16" t="s">
        <v>256</v>
      </c>
      <c r="C102" s="2" t="s">
        <v>27</v>
      </c>
      <c r="D102" s="11" t="s">
        <v>13</v>
      </c>
      <c r="E102" s="32" t="str">
        <f>'B.kriteria &amp; R.kecocokan'!$B$24</f>
        <v>Cukup</v>
      </c>
      <c r="F102" s="9" t="str">
        <f>'B.kriteria &amp; R.kecocokan'!$B$34</f>
        <v>Tinggi</v>
      </c>
      <c r="G102" s="191" t="str">
        <f>'B.kriteria &amp; R.kecocokan'!$B$41</f>
        <v>Rendah</v>
      </c>
      <c r="H102" s="191" t="str">
        <f>'B.kriteria &amp; R.kecocokan'!$B$72</f>
        <v>Rendah</v>
      </c>
      <c r="I102" s="191" t="str">
        <f>'B.kriteria &amp; R.kecocokan'!$B$95</f>
        <v>Rendah</v>
      </c>
      <c r="J102" s="191" t="str">
        <f>'B.kriteria &amp; R.kecocokan'!$B$80</f>
        <v>Rendah</v>
      </c>
      <c r="K102" s="191" t="str">
        <f>'B.kriteria &amp; R.kecocokan'!$B$89</f>
        <v>Sedikit</v>
      </c>
      <c r="L102" s="191" t="str">
        <f>'B.kriteria &amp; R.kecocokan'!$B$49</f>
        <v>Rendah</v>
      </c>
      <c r="M102" s="191" t="str">
        <f>'B.kriteria &amp; R.kecocokan'!$B$57</f>
        <v>Rendah</v>
      </c>
      <c r="N102" s="51" t="str">
        <f>'B.kriteria &amp; R.kecocokan'!$B$65</f>
        <v>Rendah</v>
      </c>
      <c r="O102" s="52" t="s">
        <v>347</v>
      </c>
    </row>
    <row r="103" spans="1:23" ht="15" hidden="1" thickTop="1" x14ac:dyDescent="0.35">
      <c r="A103" s="57">
        <v>5</v>
      </c>
      <c r="B103" s="2">
        <f>Penghasilan!B114</f>
        <v>0</v>
      </c>
      <c r="C103" s="2" t="s">
        <v>31</v>
      </c>
      <c r="D103" s="11" t="s">
        <v>95</v>
      </c>
      <c r="E103" s="32" t="str">
        <f>'B.kriteria &amp; R.kecocokan'!$B$24</f>
        <v>Cukup</v>
      </c>
      <c r="F103" s="9" t="str">
        <f>'B.kriteria &amp; R.kecocokan'!$B$34</f>
        <v>Tinggi</v>
      </c>
      <c r="G103" s="191" t="str">
        <f>'B.kriteria &amp; R.kecocokan'!$B$41</f>
        <v>Rendah</v>
      </c>
      <c r="H103" s="191" t="str">
        <f>'B.kriteria &amp; R.kecocokan'!$B$72</f>
        <v>Rendah</v>
      </c>
      <c r="I103" s="191" t="str">
        <f>'B.kriteria &amp; R.kecocokan'!$B$95</f>
        <v>Rendah</v>
      </c>
      <c r="J103" s="191" t="str">
        <f>'B.kriteria &amp; R.kecocokan'!$B$80</f>
        <v>Rendah</v>
      </c>
      <c r="K103" s="9" t="str">
        <f>'B.kriteria &amp; R.kecocokan'!$B$88</f>
        <v>Sedang</v>
      </c>
      <c r="L103" s="191" t="str">
        <f>'B.kriteria &amp; R.kecocokan'!$B$49</f>
        <v>Rendah</v>
      </c>
      <c r="M103" s="191" t="str">
        <f>'B.kriteria &amp; R.kecocokan'!$B$57</f>
        <v>Rendah</v>
      </c>
      <c r="N103" s="51" t="str">
        <f>'B.kriteria &amp; R.kecocokan'!$B$65</f>
        <v>Rendah</v>
      </c>
      <c r="O103" s="52" t="s">
        <v>347</v>
      </c>
    </row>
    <row r="104" spans="1:23" ht="15" hidden="1" thickTop="1" x14ac:dyDescent="0.35">
      <c r="A104" s="147">
        <v>6</v>
      </c>
      <c r="B104" s="16" t="s">
        <v>275</v>
      </c>
      <c r="C104" s="2" t="s">
        <v>32</v>
      </c>
      <c r="D104" s="11" t="s">
        <v>13</v>
      </c>
      <c r="E104" s="9" t="str">
        <f>'B.kriteria &amp; R.kecocokan'!$B$23</f>
        <v>Banyak</v>
      </c>
      <c r="F104" s="9" t="str">
        <f>'B.kriteria &amp; R.kecocokan'!$B$34</f>
        <v>Tinggi</v>
      </c>
      <c r="G104" s="191" t="str">
        <f>'B.kriteria &amp; R.kecocokan'!$B$41</f>
        <v>Rendah</v>
      </c>
      <c r="H104" s="191" t="str">
        <f>'B.kriteria &amp; R.kecocokan'!$B$72</f>
        <v>Rendah</v>
      </c>
      <c r="I104" s="191" t="str">
        <f>'B.kriteria &amp; R.kecocokan'!$B$95</f>
        <v>Rendah</v>
      </c>
      <c r="J104" s="191" t="str">
        <f>'B.kriteria &amp; R.kecocokan'!$B$80</f>
        <v>Rendah</v>
      </c>
      <c r="K104" s="191" t="str">
        <f>'B.kriteria &amp; R.kecocokan'!$B$89</f>
        <v>Sedikit</v>
      </c>
      <c r="L104" s="191" t="str">
        <f>'B.kriteria &amp; R.kecocokan'!$B$49</f>
        <v>Rendah</v>
      </c>
      <c r="M104" s="191" t="str">
        <f>'B.kriteria &amp; R.kecocokan'!$B$57</f>
        <v>Rendah</v>
      </c>
      <c r="N104" s="51" t="str">
        <f>'B.kriteria &amp; R.kecocokan'!$B$65</f>
        <v>Rendah</v>
      </c>
      <c r="O104" s="52" t="s">
        <v>347</v>
      </c>
    </row>
    <row r="105" spans="1:23" ht="15" hidden="1" thickTop="1" x14ac:dyDescent="0.35">
      <c r="A105" s="147">
        <v>7</v>
      </c>
      <c r="B105" s="16" t="s">
        <v>286</v>
      </c>
      <c r="C105" s="2" t="s">
        <v>34</v>
      </c>
      <c r="D105" s="11" t="s">
        <v>13</v>
      </c>
      <c r="E105" s="9" t="str">
        <f>'B.kriteria &amp; R.kecocokan'!$B$23</f>
        <v>Banyak</v>
      </c>
      <c r="F105" s="9" t="str">
        <f>'B.kriteria &amp; R.kecocokan'!$B$34</f>
        <v>Tinggi</v>
      </c>
      <c r="G105" s="191" t="str">
        <f>'B.kriteria &amp; R.kecocokan'!$B$41</f>
        <v>Rendah</v>
      </c>
      <c r="H105" s="191" t="str">
        <f>'B.kriteria &amp; R.kecocokan'!$B$72</f>
        <v>Rendah</v>
      </c>
      <c r="I105" s="191" t="str">
        <f>'B.kriteria &amp; R.kecocokan'!$B$95</f>
        <v>Rendah</v>
      </c>
      <c r="J105" s="9" t="str">
        <f>'B.kriteria &amp; R.kecocokan'!$B$81</f>
        <v>Tinggi</v>
      </c>
      <c r="K105" s="9" t="str">
        <f>'B.kriteria &amp; R.kecocokan'!$B$88</f>
        <v>Sedang</v>
      </c>
      <c r="L105" s="191" t="str">
        <f>'B.kriteria &amp; R.kecocokan'!$B$49</f>
        <v>Rendah</v>
      </c>
      <c r="M105" s="191" t="str">
        <f>'B.kriteria &amp; R.kecocokan'!$B$57</f>
        <v>Rendah</v>
      </c>
      <c r="N105" s="51" t="str">
        <f>'B.kriteria &amp; R.kecocokan'!$B$65</f>
        <v>Rendah</v>
      </c>
      <c r="O105" s="52" t="s">
        <v>347</v>
      </c>
    </row>
    <row r="106" spans="1:23" ht="15" hidden="1" thickTop="1" x14ac:dyDescent="0.35">
      <c r="A106" s="57">
        <v>8</v>
      </c>
      <c r="B106" s="16" t="s">
        <v>287</v>
      </c>
      <c r="C106" s="2" t="s">
        <v>35</v>
      </c>
      <c r="D106" s="12" t="s">
        <v>13</v>
      </c>
      <c r="E106" s="32" t="str">
        <f>'B.kriteria &amp; R.kecocokan'!$B$24</f>
        <v>Cukup</v>
      </c>
      <c r="F106" s="9" t="str">
        <f>'B.kriteria &amp; R.kecocokan'!$B$34</f>
        <v>Tinggi</v>
      </c>
      <c r="G106" s="191" t="str">
        <f>'B.kriteria &amp; R.kecocokan'!$B$41</f>
        <v>Rendah</v>
      </c>
      <c r="H106" s="191" t="str">
        <f>'B.kriteria &amp; R.kecocokan'!$B$72</f>
        <v>Rendah</v>
      </c>
      <c r="I106" s="191" t="str">
        <f>'B.kriteria &amp; R.kecocokan'!$B$95</f>
        <v>Rendah</v>
      </c>
      <c r="J106" s="191" t="str">
        <f>'B.kriteria &amp; R.kecocokan'!$B$80</f>
        <v>Rendah</v>
      </c>
      <c r="K106" s="191" t="str">
        <f>'B.kriteria &amp; R.kecocokan'!$B$89</f>
        <v>Sedikit</v>
      </c>
      <c r="L106" s="191" t="str">
        <f>'B.kriteria &amp; R.kecocokan'!$B$49</f>
        <v>Rendah</v>
      </c>
      <c r="M106" s="191" t="str">
        <f>'B.kriteria &amp; R.kecocokan'!$B$57</f>
        <v>Rendah</v>
      </c>
      <c r="N106" s="51" t="str">
        <f>'B.kriteria &amp; R.kecocokan'!$B$65</f>
        <v>Rendah</v>
      </c>
      <c r="O106" s="52" t="s">
        <v>347</v>
      </c>
    </row>
    <row r="107" spans="1:23" ht="15" hidden="1" thickTop="1" x14ac:dyDescent="0.35">
      <c r="A107" s="147">
        <v>9</v>
      </c>
      <c r="B107" s="2">
        <f>Penghasilan!B162</f>
        <v>0</v>
      </c>
      <c r="C107" s="2" t="s">
        <v>36</v>
      </c>
      <c r="D107" s="11" t="s">
        <v>13</v>
      </c>
      <c r="E107" s="32" t="str">
        <f>'B.kriteria &amp; R.kecocokan'!$B$24</f>
        <v>Cukup</v>
      </c>
      <c r="F107" s="9" t="str">
        <f>'B.kriteria &amp; R.kecocokan'!$B$34</f>
        <v>Tinggi</v>
      </c>
      <c r="G107" s="9" t="str">
        <f>'B.kriteria &amp; R.kecocokan'!$B$43</f>
        <v>Tinggi</v>
      </c>
      <c r="H107" s="191" t="str">
        <f>'B.kriteria &amp; R.kecocokan'!$B$72</f>
        <v>Rendah</v>
      </c>
      <c r="I107" s="191" t="str">
        <f>'B.kriteria &amp; R.kecocokan'!$B$95</f>
        <v>Rendah</v>
      </c>
      <c r="J107" s="191" t="str">
        <f>'B.kriteria &amp; R.kecocokan'!$B$80</f>
        <v>Rendah</v>
      </c>
      <c r="K107" s="9" t="str">
        <f>'B.kriteria &amp; R.kecocokan'!$B$88</f>
        <v>Sedang</v>
      </c>
      <c r="L107" s="191" t="str">
        <f>'B.kriteria &amp; R.kecocokan'!$B$49</f>
        <v>Rendah</v>
      </c>
      <c r="M107" s="191" t="str">
        <f>'B.kriteria &amp; R.kecocokan'!$B$57</f>
        <v>Rendah</v>
      </c>
      <c r="N107" s="51" t="str">
        <f>'B.kriteria &amp; R.kecocokan'!$B$65</f>
        <v>Rendah</v>
      </c>
      <c r="O107" s="52" t="s">
        <v>347</v>
      </c>
    </row>
    <row r="108" spans="1:23" ht="15" hidden="1" thickTop="1" x14ac:dyDescent="0.35">
      <c r="A108" s="147">
        <v>10</v>
      </c>
      <c r="B108" s="16" t="s">
        <v>266</v>
      </c>
      <c r="C108" s="2" t="s">
        <v>39</v>
      </c>
      <c r="D108" s="12" t="s">
        <v>13</v>
      </c>
      <c r="E108" s="32" t="str">
        <f>'B.kriteria &amp; R.kecocokan'!$B$24</f>
        <v>Cukup</v>
      </c>
      <c r="F108" s="9" t="str">
        <f>'B.kriteria &amp; R.kecocokan'!$B$34</f>
        <v>Tinggi</v>
      </c>
      <c r="G108" s="191" t="str">
        <f>'B.kriteria &amp; R.kecocokan'!$B$41</f>
        <v>Rendah</v>
      </c>
      <c r="H108" s="191" t="str">
        <f>'B.kriteria &amp; R.kecocokan'!$B$72</f>
        <v>Rendah</v>
      </c>
      <c r="I108" s="191" t="str">
        <f>'B.kriteria &amp; R.kecocokan'!$B$95</f>
        <v>Rendah</v>
      </c>
      <c r="J108" s="9" t="str">
        <f>'B.kriteria &amp; R.kecocokan'!$B$81</f>
        <v>Tinggi</v>
      </c>
      <c r="K108" s="9" t="str">
        <f>'B.kriteria &amp; R.kecocokan'!$B$90</f>
        <v>Sangat Sedikit</v>
      </c>
      <c r="L108" s="191" t="str">
        <f>'B.kriteria &amp; R.kecocokan'!$B$49</f>
        <v>Rendah</v>
      </c>
      <c r="M108" s="191" t="str">
        <f>'B.kriteria &amp; R.kecocokan'!$B$57</f>
        <v>Rendah</v>
      </c>
      <c r="N108" s="51" t="str">
        <f>'B.kriteria &amp; R.kecocokan'!$B$65</f>
        <v>Rendah</v>
      </c>
      <c r="O108" s="52" t="s">
        <v>349</v>
      </c>
    </row>
    <row r="109" spans="1:23" ht="15" thickTop="1" x14ac:dyDescent="0.35">
      <c r="A109" s="57">
        <v>11</v>
      </c>
      <c r="B109" s="16" t="s">
        <v>139</v>
      </c>
      <c r="C109" s="2" t="s">
        <v>40</v>
      </c>
      <c r="D109" s="11" t="s">
        <v>13</v>
      </c>
      <c r="E109" s="9" t="str">
        <f>'B.kriteria &amp; R.kecocokan'!$B$25</f>
        <v>Sedikit</v>
      </c>
      <c r="F109" s="9" t="str">
        <f>'B.kriteria &amp; R.kecocokan'!$B$34</f>
        <v>Tinggi</v>
      </c>
      <c r="G109" s="191" t="str">
        <f>'B.kriteria &amp; R.kecocokan'!$B$41</f>
        <v>Rendah</v>
      </c>
      <c r="H109" s="191" t="str">
        <f>'B.kriteria &amp; R.kecocokan'!$B$72</f>
        <v>Rendah</v>
      </c>
      <c r="I109" s="191" t="str">
        <f>'B.kriteria &amp; R.kecocokan'!$B$95</f>
        <v>Rendah</v>
      </c>
      <c r="J109" s="9" t="str">
        <f>'B.kriteria &amp; R.kecocokan'!$B$81</f>
        <v>Tinggi</v>
      </c>
      <c r="K109" s="9" t="str">
        <f>'B.kriteria &amp; R.kecocokan'!$B$90</f>
        <v>Sangat Sedikit</v>
      </c>
      <c r="L109" s="9" t="str">
        <f>'B.kriteria &amp; R.kecocokan'!$B$50</f>
        <v>Sedang</v>
      </c>
      <c r="M109" s="9" t="str">
        <f>'B.kriteria &amp; R.kecocokan'!$B$58</f>
        <v>Sedang</v>
      </c>
      <c r="N109" s="52" t="str">
        <f>'B.kriteria &amp; R.kecocokan'!$B$66</f>
        <v>Sedang</v>
      </c>
      <c r="O109" s="52" t="s">
        <v>349</v>
      </c>
      <c r="Q109" s="43" t="s">
        <v>433</v>
      </c>
      <c r="S109">
        <f>S41</f>
        <v>15</v>
      </c>
      <c r="T109">
        <f>T41</f>
        <v>11</v>
      </c>
      <c r="U109">
        <f>U41</f>
        <v>4</v>
      </c>
      <c r="V109">
        <f>((-T109/S109)*IMLOG2(T109/S109))+((-U109/S109)*IMLOG2(U109/S109))</f>
        <v>0.83664074194116733</v>
      </c>
    </row>
    <row r="110" spans="1:23" hidden="1" x14ac:dyDescent="0.35">
      <c r="A110" s="147">
        <v>12</v>
      </c>
      <c r="B110" s="16" t="s">
        <v>274</v>
      </c>
      <c r="C110" s="2" t="s">
        <v>44</v>
      </c>
      <c r="D110" s="11" t="s">
        <v>13</v>
      </c>
      <c r="E110" s="32" t="str">
        <f>'B.kriteria &amp; R.kecocokan'!$B$24</f>
        <v>Cukup</v>
      </c>
      <c r="F110" s="9" t="str">
        <f>'B.kriteria &amp; R.kecocokan'!$B$34</f>
        <v>Tinggi</v>
      </c>
      <c r="G110" s="191" t="str">
        <f>'B.kriteria &amp; R.kecocokan'!$B$41</f>
        <v>Rendah</v>
      </c>
      <c r="H110" s="191" t="str">
        <f>'B.kriteria &amp; R.kecocokan'!$B$72</f>
        <v>Rendah</v>
      </c>
      <c r="I110" s="191" t="str">
        <f>'B.kriteria &amp; R.kecocokan'!$B$95</f>
        <v>Rendah</v>
      </c>
      <c r="J110" s="9" t="str">
        <f>'B.kriteria &amp; R.kecocokan'!$B$81</f>
        <v>Tinggi</v>
      </c>
      <c r="K110" s="9" t="str">
        <f>'B.kriteria &amp; R.kecocokan'!$B$90</f>
        <v>Sangat Sedikit</v>
      </c>
      <c r="L110" s="191" t="str">
        <f>'B.kriteria &amp; R.kecocokan'!$B$49</f>
        <v>Rendah</v>
      </c>
      <c r="M110" s="191" t="str">
        <f>'B.kriteria &amp; R.kecocokan'!$B$57</f>
        <v>Rendah</v>
      </c>
      <c r="N110" s="51" t="str">
        <f>'B.kriteria &amp; R.kecocokan'!$B$65</f>
        <v>Rendah</v>
      </c>
      <c r="O110" s="52" t="s">
        <v>347</v>
      </c>
    </row>
    <row r="111" spans="1:23" hidden="1" x14ac:dyDescent="0.35">
      <c r="A111" s="147">
        <v>13</v>
      </c>
      <c r="B111" s="16" t="s">
        <v>273</v>
      </c>
      <c r="C111" s="2" t="s">
        <v>45</v>
      </c>
      <c r="D111" s="11" t="s">
        <v>13</v>
      </c>
      <c r="E111" s="32" t="str">
        <f>'B.kriteria &amp; R.kecocokan'!$B$24</f>
        <v>Cukup</v>
      </c>
      <c r="F111" s="9" t="str">
        <f>'B.kriteria &amp; R.kecocokan'!$B$34</f>
        <v>Tinggi</v>
      </c>
      <c r="G111" s="9" t="str">
        <f>'B.kriteria &amp; R.kecocokan'!$B$43</f>
        <v>Tinggi</v>
      </c>
      <c r="H111" s="191" t="str">
        <f>'B.kriteria &amp; R.kecocokan'!$B$72</f>
        <v>Rendah</v>
      </c>
      <c r="I111" s="191" t="str">
        <f>'B.kriteria &amp; R.kecocokan'!$B$95</f>
        <v>Rendah</v>
      </c>
      <c r="J111" s="191" t="str">
        <f>'B.kriteria &amp; R.kecocokan'!$B$80</f>
        <v>Rendah</v>
      </c>
      <c r="K111" s="9" t="str">
        <f>'B.kriteria &amp; R.kecocokan'!$B$88</f>
        <v>Sedang</v>
      </c>
      <c r="L111" s="191" t="str">
        <f>'B.kriteria &amp; R.kecocokan'!$B$49</f>
        <v>Rendah</v>
      </c>
      <c r="M111" s="191" t="str">
        <f>'B.kriteria &amp; R.kecocokan'!$B$57</f>
        <v>Rendah</v>
      </c>
      <c r="N111" s="51" t="str">
        <f>'B.kriteria &amp; R.kecocokan'!$B$65</f>
        <v>Rendah</v>
      </c>
      <c r="O111" s="52" t="s">
        <v>347</v>
      </c>
    </row>
    <row r="112" spans="1:23" x14ac:dyDescent="0.35">
      <c r="A112" s="57">
        <v>14</v>
      </c>
      <c r="B112" s="16" t="s">
        <v>283</v>
      </c>
      <c r="C112" s="2" t="s">
        <v>46</v>
      </c>
      <c r="D112" s="11" t="s">
        <v>13</v>
      </c>
      <c r="E112" s="32" t="str">
        <f>'B.kriteria &amp; R.kecocokan'!$B$24</f>
        <v>Cukup</v>
      </c>
      <c r="F112" s="9" t="str">
        <f>'B.kriteria &amp; R.kecocokan'!$B$35</f>
        <v>Sangat Tinggi</v>
      </c>
      <c r="G112" s="191" t="str">
        <f>'B.kriteria &amp; R.kecocokan'!$B$41</f>
        <v>Rendah</v>
      </c>
      <c r="H112" s="191" t="str">
        <f>'B.kriteria &amp; R.kecocokan'!$B$72</f>
        <v>Rendah</v>
      </c>
      <c r="I112" s="191" t="str">
        <f>'B.kriteria &amp; R.kecocokan'!$B$95</f>
        <v>Rendah</v>
      </c>
      <c r="J112" s="191" t="str">
        <f>'B.kriteria &amp; R.kecocokan'!$B$80</f>
        <v>Rendah</v>
      </c>
      <c r="K112" s="191" t="str">
        <f>'B.kriteria &amp; R.kecocokan'!$B$89</f>
        <v>Sedikit</v>
      </c>
      <c r="L112" s="191" t="str">
        <f>'B.kriteria &amp; R.kecocokan'!$B$49</f>
        <v>Rendah</v>
      </c>
      <c r="M112" s="9" t="str">
        <f>'B.kriteria &amp; R.kecocokan'!$B$58</f>
        <v>Sedang</v>
      </c>
      <c r="N112" s="51" t="str">
        <f>'B.kriteria &amp; R.kecocokan'!$B$65</f>
        <v>Rendah</v>
      </c>
      <c r="O112" s="52" t="s">
        <v>347</v>
      </c>
      <c r="Q112" t="s">
        <v>4</v>
      </c>
      <c r="W112">
        <f>$V$109-((S115/$S$109*V115)+(S116/$S$109*V116)+(S117/$S$109*V117))</f>
        <v>8.6966575418731429E-2</v>
      </c>
    </row>
    <row r="113" spans="1:23" hidden="1" x14ac:dyDescent="0.35">
      <c r="A113" s="147">
        <v>15</v>
      </c>
      <c r="B113" s="16" t="s">
        <v>276</v>
      </c>
      <c r="C113" s="2" t="s">
        <v>48</v>
      </c>
      <c r="D113" s="11" t="s">
        <v>13</v>
      </c>
      <c r="E113" s="9" t="str">
        <f>'B.kriteria &amp; R.kecocokan'!$B$23</f>
        <v>Banyak</v>
      </c>
      <c r="F113" s="9" t="str">
        <f>'B.kriteria &amp; R.kecocokan'!$B$35</f>
        <v>Sangat Tinggi</v>
      </c>
      <c r="G113" s="191" t="str">
        <f>'B.kriteria &amp; R.kecocokan'!$B$41</f>
        <v>Rendah</v>
      </c>
      <c r="H113" s="191" t="str">
        <f>'B.kriteria &amp; R.kecocokan'!$B$72</f>
        <v>Rendah</v>
      </c>
      <c r="I113" s="191" t="str">
        <f>'B.kriteria &amp; R.kecocokan'!$B$95</f>
        <v>Rendah</v>
      </c>
      <c r="J113" s="191" t="str">
        <f>'B.kriteria &amp; R.kecocokan'!$B$80</f>
        <v>Rendah</v>
      </c>
      <c r="K113" s="9" t="str">
        <f>'B.kriteria &amp; R.kecocokan'!$B$88</f>
        <v>Sedang</v>
      </c>
      <c r="L113" s="191" t="str">
        <f>'B.kriteria &amp; R.kecocokan'!$B$49</f>
        <v>Rendah</v>
      </c>
      <c r="M113" s="191" t="str">
        <f>'B.kriteria &amp; R.kecocokan'!$B$57</f>
        <v>Rendah</v>
      </c>
      <c r="N113" s="51" t="str">
        <f>'B.kriteria &amp; R.kecocokan'!$B$65</f>
        <v>Rendah</v>
      </c>
      <c r="O113" s="52" t="s">
        <v>347</v>
      </c>
    </row>
    <row r="114" spans="1:23" hidden="1" x14ac:dyDescent="0.35">
      <c r="A114" s="147">
        <v>16</v>
      </c>
      <c r="B114" s="16" t="s">
        <v>280</v>
      </c>
      <c r="C114" s="2" t="s">
        <v>49</v>
      </c>
      <c r="D114" s="11" t="s">
        <v>13</v>
      </c>
      <c r="E114" s="32" t="str">
        <f>'B.kriteria &amp; R.kecocokan'!$B$24</f>
        <v>Cukup</v>
      </c>
      <c r="F114" s="9" t="str">
        <f>'B.kriteria &amp; R.kecocokan'!$B$34</f>
        <v>Tinggi</v>
      </c>
      <c r="G114" s="191" t="str">
        <f>'B.kriteria &amp; R.kecocokan'!$B$41</f>
        <v>Rendah</v>
      </c>
      <c r="H114" s="191" t="str">
        <f>'B.kriteria &amp; R.kecocokan'!$B$72</f>
        <v>Rendah</v>
      </c>
      <c r="I114" s="191" t="str">
        <f>'B.kriteria &amp; R.kecocokan'!$B$95</f>
        <v>Rendah</v>
      </c>
      <c r="J114" s="9" t="str">
        <f>'B.kriteria &amp; R.kecocokan'!$B$81</f>
        <v>Tinggi</v>
      </c>
      <c r="K114" s="9" t="str">
        <f>'B.kriteria &amp; R.kecocokan'!$B$90</f>
        <v>Sangat Sedikit</v>
      </c>
      <c r="L114" s="191" t="str">
        <f>'B.kriteria &amp; R.kecocokan'!$B$49</f>
        <v>Rendah</v>
      </c>
      <c r="M114" s="191" t="str">
        <f>'B.kriteria &amp; R.kecocokan'!$B$57</f>
        <v>Rendah</v>
      </c>
      <c r="N114" s="51" t="str">
        <f>'B.kriteria &amp; R.kecocokan'!$B$65</f>
        <v>Rendah</v>
      </c>
      <c r="O114" s="52" t="s">
        <v>347</v>
      </c>
    </row>
    <row r="115" spans="1:23" x14ac:dyDescent="0.35">
      <c r="A115" s="57">
        <v>17</v>
      </c>
      <c r="B115" s="16" t="s">
        <v>277</v>
      </c>
      <c r="C115" s="2" t="s">
        <v>257</v>
      </c>
      <c r="D115" s="11" t="s">
        <v>13</v>
      </c>
      <c r="E115" s="32" t="str">
        <f>'B.kriteria &amp; R.kecocokan'!$B$24</f>
        <v>Cukup</v>
      </c>
      <c r="F115" s="9" t="str">
        <f>'B.kriteria &amp; R.kecocokan'!$B$35</f>
        <v>Sangat Tinggi</v>
      </c>
      <c r="G115" s="191" t="str">
        <f>'B.kriteria &amp; R.kecocokan'!$B$41</f>
        <v>Rendah</v>
      </c>
      <c r="H115" s="191" t="str">
        <f>'B.kriteria &amp; R.kecocokan'!$B$72</f>
        <v>Rendah</v>
      </c>
      <c r="I115" s="191" t="str">
        <f>'B.kriteria &amp; R.kecocokan'!$B$95</f>
        <v>Rendah</v>
      </c>
      <c r="J115" s="191" t="str">
        <f>'B.kriteria &amp; R.kecocokan'!$B$80</f>
        <v>Rendah</v>
      </c>
      <c r="K115" s="9" t="str">
        <f>'B.kriteria &amp; R.kecocokan'!$B$88</f>
        <v>Sedang</v>
      </c>
      <c r="L115" s="9" t="str">
        <f>'B.kriteria &amp; R.kecocokan'!$B$51</f>
        <v>Tinggi</v>
      </c>
      <c r="M115" s="9" t="str">
        <f>'B.kriteria &amp; R.kecocokan'!$B$58</f>
        <v>Sedang</v>
      </c>
      <c r="N115" s="51" t="str">
        <f>'B.kriteria &amp; R.kecocokan'!$B$65</f>
        <v>Rendah</v>
      </c>
      <c r="O115" s="52" t="s">
        <v>349</v>
      </c>
      <c r="R115" t="s">
        <v>434</v>
      </c>
      <c r="S115">
        <v>0</v>
      </c>
      <c r="T115">
        <v>0</v>
      </c>
      <c r="U115">
        <v>0</v>
      </c>
      <c r="V115">
        <v>0</v>
      </c>
    </row>
    <row r="116" spans="1:23" x14ac:dyDescent="0.35">
      <c r="A116" s="147">
        <v>18</v>
      </c>
      <c r="B116" s="16" t="s">
        <v>271</v>
      </c>
      <c r="C116" s="2" t="s">
        <v>52</v>
      </c>
      <c r="D116" s="11" t="s">
        <v>13</v>
      </c>
      <c r="E116" s="32" t="str">
        <f>'B.kriteria &amp; R.kecocokan'!$B$24</f>
        <v>Cukup</v>
      </c>
      <c r="F116" s="9" t="str">
        <f>'B.kriteria &amp; R.kecocokan'!$B$35</f>
        <v>Sangat Tinggi</v>
      </c>
      <c r="G116" s="191" t="str">
        <f>'B.kriteria &amp; R.kecocokan'!$B$41</f>
        <v>Rendah</v>
      </c>
      <c r="H116" s="191" t="str">
        <f>'B.kriteria &amp; R.kecocokan'!$B$72</f>
        <v>Rendah</v>
      </c>
      <c r="I116" s="191" t="str">
        <f>'B.kriteria &amp; R.kecocokan'!$B$95</f>
        <v>Rendah</v>
      </c>
      <c r="J116" s="191" t="str">
        <f>'B.kriteria &amp; R.kecocokan'!$B$80</f>
        <v>Rendah</v>
      </c>
      <c r="K116" s="9" t="str">
        <f>'B.kriteria &amp; R.kecocokan'!$B$88</f>
        <v>Sedang</v>
      </c>
      <c r="L116" s="9" t="str">
        <f>'B.kriteria &amp; R.kecocokan'!$B$50</f>
        <v>Sedang</v>
      </c>
      <c r="M116" s="9" t="str">
        <f>'B.kriteria &amp; R.kecocokan'!$B$58</f>
        <v>Sedang</v>
      </c>
      <c r="N116" s="51" t="str">
        <f>'B.kriteria &amp; R.kecocokan'!$B$65</f>
        <v>Rendah</v>
      </c>
      <c r="O116" s="52" t="s">
        <v>349</v>
      </c>
      <c r="R116" t="s">
        <v>435</v>
      </c>
      <c r="S116">
        <v>7</v>
      </c>
      <c r="T116">
        <f>COUNTIFS($E$109:$E$190,$E$115,$M$109:$M$190,$M$117,$O$109:$O$190,$O$109)</f>
        <v>4</v>
      </c>
      <c r="U116">
        <f>COUNTIFS($E$109:$E$190,$E$115,$M$109:$M$190,$M$117,$O$109:$O$190,$O$112)</f>
        <v>3</v>
      </c>
      <c r="V116">
        <f t="shared" ref="V116:V117" si="16">((-T116/S116)*IMLOG2(T116/S116))+((-U116/S116)*IMLOG2(U116/S116))</f>
        <v>0.9852281360342523</v>
      </c>
    </row>
    <row r="117" spans="1:23" x14ac:dyDescent="0.35">
      <c r="A117" s="147">
        <v>19</v>
      </c>
      <c r="B117" s="16" t="s">
        <v>281</v>
      </c>
      <c r="C117" s="2" t="s">
        <v>55</v>
      </c>
      <c r="D117" s="11" t="s">
        <v>13</v>
      </c>
      <c r="E117" s="9" t="str">
        <f>'B.kriteria &amp; R.kecocokan'!$B$25</f>
        <v>Sedikit</v>
      </c>
      <c r="F117" s="9" t="str">
        <f>'B.kriteria &amp; R.kecocokan'!$B$34</f>
        <v>Tinggi</v>
      </c>
      <c r="G117" s="191" t="str">
        <f>'B.kriteria &amp; R.kecocokan'!$B$41</f>
        <v>Rendah</v>
      </c>
      <c r="H117" s="191" t="str">
        <f>'B.kriteria &amp; R.kecocokan'!$B$72</f>
        <v>Rendah</v>
      </c>
      <c r="I117" s="191" t="str">
        <f>'B.kriteria &amp; R.kecocokan'!$B$95</f>
        <v>Rendah</v>
      </c>
      <c r="J117" s="9" t="str">
        <f>'B.kriteria &amp; R.kecocokan'!$B$81</f>
        <v>Tinggi</v>
      </c>
      <c r="K117" s="9" t="str">
        <f>'B.kriteria &amp; R.kecocokan'!$B$90</f>
        <v>Sangat Sedikit</v>
      </c>
      <c r="L117" s="191" t="str">
        <f>'B.kriteria &amp; R.kecocokan'!$B$49</f>
        <v>Rendah</v>
      </c>
      <c r="M117" s="9" t="str">
        <f>'B.kriteria &amp; R.kecocokan'!$B$58</f>
        <v>Sedang</v>
      </c>
      <c r="N117" s="51" t="str">
        <f>'B.kriteria &amp; R.kecocokan'!$B$65</f>
        <v>Rendah</v>
      </c>
      <c r="O117" s="52" t="s">
        <v>349</v>
      </c>
      <c r="R117" t="s">
        <v>313</v>
      </c>
      <c r="S117">
        <v>8</v>
      </c>
      <c r="T117">
        <f>COUNTIFS($E$109:$E$190,$E$149,$M$109:$M$190,$M$109,$O$109:$O$190,$O$109)</f>
        <v>7</v>
      </c>
      <c r="U117">
        <f>COUNTIFS($E$109:$E$190,$E$149,$M$109:$M$190,$M$109,$O$109:$O$190,$O$112)</f>
        <v>1</v>
      </c>
      <c r="V117">
        <f t="shared" si="16"/>
        <v>0.54356444319959651</v>
      </c>
    </row>
    <row r="118" spans="1:23" x14ac:dyDescent="0.35">
      <c r="A118" s="57">
        <v>20</v>
      </c>
      <c r="B118" s="16" t="s">
        <v>288</v>
      </c>
      <c r="C118" s="2" t="s">
        <v>56</v>
      </c>
      <c r="D118" s="11" t="s">
        <v>13</v>
      </c>
      <c r="E118" s="32" t="str">
        <f>'B.kriteria &amp; R.kecocokan'!$B$24</f>
        <v>Cukup</v>
      </c>
      <c r="F118" s="9" t="str">
        <f>'B.kriteria &amp; R.kecocokan'!$B$34</f>
        <v>Tinggi</v>
      </c>
      <c r="G118" s="191" t="str">
        <f>'B.kriteria &amp; R.kecocokan'!$B$41</f>
        <v>Rendah</v>
      </c>
      <c r="H118" s="191" t="str">
        <f>'B.kriteria &amp; R.kecocokan'!$B$72</f>
        <v>Rendah</v>
      </c>
      <c r="I118" s="191" t="str">
        <f>'B.kriteria &amp; R.kecocokan'!$B$95</f>
        <v>Rendah</v>
      </c>
      <c r="J118" s="191" t="str">
        <f>'B.kriteria &amp; R.kecocokan'!$B$80</f>
        <v>Rendah</v>
      </c>
      <c r="K118" s="191" t="str">
        <f>'B.kriteria &amp; R.kecocokan'!$B$89</f>
        <v>Sedikit</v>
      </c>
      <c r="L118" s="191" t="str">
        <f>'B.kriteria &amp; R.kecocokan'!$B$49</f>
        <v>Rendah</v>
      </c>
      <c r="M118" s="9" t="str">
        <f>'B.kriteria &amp; R.kecocokan'!$B$58</f>
        <v>Sedang</v>
      </c>
      <c r="N118" s="51" t="str">
        <f>'B.kriteria &amp; R.kecocokan'!$B$65</f>
        <v>Rendah</v>
      </c>
      <c r="O118" s="52" t="s">
        <v>347</v>
      </c>
    </row>
    <row r="119" spans="1:23" x14ac:dyDescent="0.35">
      <c r="A119" s="147">
        <v>21</v>
      </c>
      <c r="B119" s="16" t="s">
        <v>282</v>
      </c>
      <c r="C119" s="2" t="s">
        <v>57</v>
      </c>
      <c r="D119" s="11" t="s">
        <v>13</v>
      </c>
      <c r="E119" s="9" t="str">
        <f>'B.kriteria &amp; R.kecocokan'!$B$25</f>
        <v>Sedikit</v>
      </c>
      <c r="F119" s="9" t="str">
        <f>'B.kriteria &amp; R.kecocokan'!$B$35</f>
        <v>Sangat Tinggi</v>
      </c>
      <c r="G119" s="191" t="str">
        <f>'B.kriteria &amp; R.kecocokan'!$B$41</f>
        <v>Rendah</v>
      </c>
      <c r="H119" s="191" t="str">
        <f>'B.kriteria &amp; R.kecocokan'!$B$72</f>
        <v>Rendah</v>
      </c>
      <c r="I119" s="191" t="str">
        <f>'B.kriteria &amp; R.kecocokan'!$B$95</f>
        <v>Rendah</v>
      </c>
      <c r="J119" s="9" t="str">
        <f>'B.kriteria &amp; R.kecocokan'!$B$81</f>
        <v>Tinggi</v>
      </c>
      <c r="K119" s="9" t="str">
        <f>'B.kriteria &amp; R.kecocokan'!$B$90</f>
        <v>Sangat Sedikit</v>
      </c>
      <c r="L119" s="191" t="str">
        <f>'B.kriteria &amp; R.kecocokan'!$B$49</f>
        <v>Rendah</v>
      </c>
      <c r="M119" s="9" t="str">
        <f>'B.kriteria &amp; R.kecocokan'!$B$58</f>
        <v>Sedang</v>
      </c>
      <c r="N119" s="51" t="str">
        <f>'B.kriteria &amp; R.kecocokan'!$B$65</f>
        <v>Rendah</v>
      </c>
      <c r="O119" s="52" t="s">
        <v>349</v>
      </c>
      <c r="Q119" t="s">
        <v>5</v>
      </c>
      <c r="W119">
        <f>$V$109-((S123/$S$109*V123)+(S126/$S$109*V126))</f>
        <v>2.5654272849131021E-2</v>
      </c>
    </row>
    <row r="120" spans="1:23" hidden="1" x14ac:dyDescent="0.35">
      <c r="A120" s="147">
        <v>22</v>
      </c>
      <c r="B120" s="16" t="s">
        <v>270</v>
      </c>
      <c r="C120" s="2" t="s">
        <v>59</v>
      </c>
      <c r="D120" s="11" t="s">
        <v>13</v>
      </c>
      <c r="E120" s="9" t="str">
        <f>'B.kriteria &amp; R.kecocokan'!$B$23</f>
        <v>Banyak</v>
      </c>
      <c r="F120" s="9" t="str">
        <f>'B.kriteria &amp; R.kecocokan'!$B$34</f>
        <v>Tinggi</v>
      </c>
      <c r="G120" s="191" t="str">
        <f>'B.kriteria &amp; R.kecocokan'!$B$41</f>
        <v>Rendah</v>
      </c>
      <c r="H120" s="191" t="str">
        <f>'B.kriteria &amp; R.kecocokan'!$B$72</f>
        <v>Rendah</v>
      </c>
      <c r="I120" s="191" t="str">
        <f>'B.kriteria &amp; R.kecocokan'!$B$95</f>
        <v>Rendah</v>
      </c>
      <c r="J120" s="191" t="str">
        <f>'B.kriteria &amp; R.kecocokan'!$B$80</f>
        <v>Rendah</v>
      </c>
      <c r="K120" s="9" t="str">
        <f>'B.kriteria &amp; R.kecocokan'!$B$88</f>
        <v>Sedang</v>
      </c>
      <c r="L120" s="191" t="str">
        <f>'B.kriteria &amp; R.kecocokan'!$B$49</f>
        <v>Rendah</v>
      </c>
      <c r="M120" s="191" t="str">
        <f>'B.kriteria &amp; R.kecocokan'!$B$57</f>
        <v>Rendah</v>
      </c>
      <c r="N120" s="51" t="str">
        <f>'B.kriteria &amp; R.kecocokan'!$B$65</f>
        <v>Rendah</v>
      </c>
      <c r="O120" s="52" t="s">
        <v>347</v>
      </c>
    </row>
    <row r="121" spans="1:23" hidden="1" x14ac:dyDescent="0.35">
      <c r="A121" s="57">
        <v>23</v>
      </c>
      <c r="B121" s="16" t="s">
        <v>265</v>
      </c>
      <c r="C121" s="2" t="s">
        <v>61</v>
      </c>
      <c r="D121" s="11" t="s">
        <v>13</v>
      </c>
      <c r="E121" s="32" t="str">
        <f>'B.kriteria &amp; R.kecocokan'!$B$24</f>
        <v>Cukup</v>
      </c>
      <c r="F121" s="9" t="str">
        <f>'B.kriteria &amp; R.kecocokan'!$B$34</f>
        <v>Tinggi</v>
      </c>
      <c r="G121" s="191" t="str">
        <f>'B.kriteria &amp; R.kecocokan'!$B$41</f>
        <v>Rendah</v>
      </c>
      <c r="H121" s="191" t="str">
        <f>'B.kriteria &amp; R.kecocokan'!$B$72</f>
        <v>Rendah</v>
      </c>
      <c r="I121" s="191" t="str">
        <f>'B.kriteria &amp; R.kecocokan'!$B$95</f>
        <v>Rendah</v>
      </c>
      <c r="J121" s="191" t="str">
        <f>'B.kriteria &amp; R.kecocokan'!$B$80</f>
        <v>Rendah</v>
      </c>
      <c r="K121" s="9" t="str">
        <f>'B.kriteria &amp; R.kecocokan'!$B$88</f>
        <v>Sedang</v>
      </c>
      <c r="L121" s="191" t="str">
        <f>'B.kriteria &amp; R.kecocokan'!$B$49</f>
        <v>Rendah</v>
      </c>
      <c r="M121" s="191" t="str">
        <f>'B.kriteria &amp; R.kecocokan'!$B$57</f>
        <v>Rendah</v>
      </c>
      <c r="N121" s="51" t="str">
        <f>'B.kriteria &amp; R.kecocokan'!$B$65</f>
        <v>Rendah</v>
      </c>
      <c r="O121" s="52" t="s">
        <v>347</v>
      </c>
    </row>
    <row r="122" spans="1:23" hidden="1" x14ac:dyDescent="0.35">
      <c r="A122" s="147">
        <v>24</v>
      </c>
      <c r="B122" s="16" t="s">
        <v>258</v>
      </c>
      <c r="C122" s="2" t="s">
        <v>62</v>
      </c>
      <c r="D122" s="11" t="s">
        <v>13</v>
      </c>
      <c r="E122" s="32" t="str">
        <f>'B.kriteria &amp; R.kecocokan'!$B$24</f>
        <v>Cukup</v>
      </c>
      <c r="F122" s="9" t="str">
        <f>'B.kriteria &amp; R.kecocokan'!$B$35</f>
        <v>Sangat Tinggi</v>
      </c>
      <c r="G122" s="191" t="str">
        <f>'B.kriteria &amp; R.kecocokan'!$B$41</f>
        <v>Rendah</v>
      </c>
      <c r="H122" s="191" t="str">
        <f>'B.kriteria &amp; R.kecocokan'!$B$72</f>
        <v>Rendah</v>
      </c>
      <c r="I122" s="191" t="str">
        <f>'B.kriteria &amp; R.kecocokan'!$B$95</f>
        <v>Rendah</v>
      </c>
      <c r="J122" s="191" t="str">
        <f>'B.kriteria &amp; R.kecocokan'!$B$80</f>
        <v>Rendah</v>
      </c>
      <c r="K122" s="9" t="str">
        <f>'B.kriteria &amp; R.kecocokan'!$B$88</f>
        <v>Sedang</v>
      </c>
      <c r="L122" s="191" t="str">
        <f>'B.kriteria &amp; R.kecocokan'!$B$49</f>
        <v>Rendah</v>
      </c>
      <c r="M122" s="191" t="str">
        <f>'B.kriteria &amp; R.kecocokan'!$B$57</f>
        <v>Rendah</v>
      </c>
      <c r="N122" s="51" t="str">
        <f>'B.kriteria &amp; R.kecocokan'!$B$65</f>
        <v>Rendah</v>
      </c>
      <c r="O122" s="52" t="s">
        <v>347</v>
      </c>
    </row>
    <row r="123" spans="1:23" x14ac:dyDescent="0.35">
      <c r="A123" s="147">
        <v>25</v>
      </c>
      <c r="B123" s="16" t="s">
        <v>261</v>
      </c>
      <c r="C123" s="2" t="s">
        <v>64</v>
      </c>
      <c r="D123" s="11" t="s">
        <v>13</v>
      </c>
      <c r="E123" s="9" t="str">
        <f>'B.kriteria &amp; R.kecocokan'!$B$25</f>
        <v>Sedikit</v>
      </c>
      <c r="F123" s="9" t="str">
        <f>'B.kriteria &amp; R.kecocokan'!$B$35</f>
        <v>Sangat Tinggi</v>
      </c>
      <c r="G123" s="191" t="str">
        <f>'B.kriteria &amp; R.kecocokan'!$B$41</f>
        <v>Rendah</v>
      </c>
      <c r="H123" s="191" t="str">
        <f>'B.kriteria &amp; R.kecocokan'!$B$72</f>
        <v>Rendah</v>
      </c>
      <c r="I123" s="191" t="str">
        <f>'B.kriteria &amp; R.kecocokan'!$B$95</f>
        <v>Rendah</v>
      </c>
      <c r="J123" s="9" t="str">
        <f>'B.kriteria &amp; R.kecocokan'!$B$81</f>
        <v>Tinggi</v>
      </c>
      <c r="K123" s="9" t="str">
        <f>'B.kriteria &amp; R.kecocokan'!$B$90</f>
        <v>Sangat Sedikit</v>
      </c>
      <c r="L123" s="191" t="str">
        <f>'B.kriteria &amp; R.kecocokan'!$B$49</f>
        <v>Rendah</v>
      </c>
      <c r="M123" s="9" t="str">
        <f>'B.kriteria &amp; R.kecocokan'!$B$58</f>
        <v>Sedang</v>
      </c>
      <c r="N123" s="51" t="str">
        <f>'B.kriteria &amp; R.kecocokan'!$B$65</f>
        <v>Rendah</v>
      </c>
      <c r="O123" s="52" t="s">
        <v>349</v>
      </c>
      <c r="R123" t="s">
        <v>323</v>
      </c>
      <c r="S123">
        <f>COUNTIFS($F$109:$F$190,$F$109,$M$109:$M$190,$M$117)</f>
        <v>9</v>
      </c>
      <c r="T123">
        <f>COUNTIFS($F$109:$F$190,$F$109,$M$109:$M$190,$M$117,$O$109:$O$190,$O$109)</f>
        <v>6</v>
      </c>
      <c r="U123">
        <f>COUNTIFS($F$109:$F$190,$F$109,$M$109:$M$190,$M$109,$O$109:$O$190,$O$112)</f>
        <v>3</v>
      </c>
      <c r="V123">
        <f t="shared" ref="V123:V126" si="17">((-T123/S123)*IMLOG2(T123/S123))+((-U123/S123)*IMLOG2(U123/S123))</f>
        <v>0.91829583405449056</v>
      </c>
    </row>
    <row r="124" spans="1:23" hidden="1" x14ac:dyDescent="0.35">
      <c r="A124" s="57">
        <v>26</v>
      </c>
      <c r="B124" s="16" t="s">
        <v>263</v>
      </c>
      <c r="C124" s="2" t="s">
        <v>66</v>
      </c>
      <c r="D124" s="11" t="s">
        <v>13</v>
      </c>
      <c r="E124" s="9" t="str">
        <f>'B.kriteria &amp; R.kecocokan'!$B$25</f>
        <v>Sedikit</v>
      </c>
      <c r="F124" s="9" t="str">
        <f>'B.kriteria &amp; R.kecocokan'!$B$34</f>
        <v>Tinggi</v>
      </c>
      <c r="G124" s="191" t="str">
        <f>'B.kriteria &amp; R.kecocokan'!$B$41</f>
        <v>Rendah</v>
      </c>
      <c r="H124" s="191" t="str">
        <f>'B.kriteria &amp; R.kecocokan'!$B$72</f>
        <v>Rendah</v>
      </c>
      <c r="I124" s="191" t="str">
        <f>'B.kriteria &amp; R.kecocokan'!$B$95</f>
        <v>Rendah</v>
      </c>
      <c r="J124" s="9" t="str">
        <f>'B.kriteria &amp; R.kecocokan'!$B$81</f>
        <v>Tinggi</v>
      </c>
      <c r="K124" s="9" t="str">
        <f>'B.kriteria &amp; R.kecocokan'!$B$90</f>
        <v>Sangat Sedikit</v>
      </c>
      <c r="L124" s="191" t="str">
        <f>'B.kriteria &amp; R.kecocokan'!$B$49</f>
        <v>Rendah</v>
      </c>
      <c r="M124" s="191" t="str">
        <f>'B.kriteria &amp; R.kecocokan'!$B$57</f>
        <v>Rendah</v>
      </c>
      <c r="N124" s="51" t="str">
        <f>'B.kriteria &amp; R.kecocokan'!$B$65</f>
        <v>Rendah</v>
      </c>
      <c r="O124" s="52" t="s">
        <v>347</v>
      </c>
      <c r="V124" t="e">
        <f t="shared" si="17"/>
        <v>#DIV/0!</v>
      </c>
    </row>
    <row r="125" spans="1:23" hidden="1" x14ac:dyDescent="0.35">
      <c r="A125" s="147">
        <v>27</v>
      </c>
      <c r="B125" s="16" t="s">
        <v>264</v>
      </c>
      <c r="C125" s="2" t="s">
        <v>68</v>
      </c>
      <c r="D125" s="11" t="s">
        <v>13</v>
      </c>
      <c r="E125" s="32" t="str">
        <f>'B.kriteria &amp; R.kecocokan'!$B$24</f>
        <v>Cukup</v>
      </c>
      <c r="F125" s="9" t="str">
        <f>'B.kriteria &amp; R.kecocokan'!$B$34</f>
        <v>Tinggi</v>
      </c>
      <c r="G125" s="9" t="str">
        <f>'B.kriteria &amp; R.kecocokan'!$B$43</f>
        <v>Tinggi</v>
      </c>
      <c r="H125" s="191" t="str">
        <f>'B.kriteria &amp; R.kecocokan'!$B$72</f>
        <v>Rendah</v>
      </c>
      <c r="I125" s="191" t="str">
        <f>'B.kriteria &amp; R.kecocokan'!$B$95</f>
        <v>Rendah</v>
      </c>
      <c r="J125" s="191" t="str">
        <f>'B.kriteria &amp; R.kecocokan'!$B$80</f>
        <v>Rendah</v>
      </c>
      <c r="K125" s="9" t="str">
        <f>'B.kriteria &amp; R.kecocokan'!$B$88</f>
        <v>Sedang</v>
      </c>
      <c r="L125" s="191" t="str">
        <f>'B.kriteria &amp; R.kecocokan'!$B$49</f>
        <v>Rendah</v>
      </c>
      <c r="M125" s="191" t="str">
        <f>'B.kriteria &amp; R.kecocokan'!$B$57</f>
        <v>Rendah</v>
      </c>
      <c r="N125" s="51" t="str">
        <f>'B.kriteria &amp; R.kecocokan'!$B$65</f>
        <v>Rendah</v>
      </c>
      <c r="O125" s="52" t="s">
        <v>347</v>
      </c>
      <c r="V125" t="e">
        <f t="shared" si="17"/>
        <v>#DIV/0!</v>
      </c>
    </row>
    <row r="126" spans="1:23" x14ac:dyDescent="0.35">
      <c r="A126" s="147">
        <v>28</v>
      </c>
      <c r="B126" s="16" t="s">
        <v>262</v>
      </c>
      <c r="C126" s="2" t="s">
        <v>69</v>
      </c>
      <c r="D126" s="11" t="s">
        <v>13</v>
      </c>
      <c r="E126" s="32" t="str">
        <f>'B.kriteria &amp; R.kecocokan'!$B$24</f>
        <v>Cukup</v>
      </c>
      <c r="F126" s="9" t="str">
        <f>'B.kriteria &amp; R.kecocokan'!$B$34</f>
        <v>Tinggi</v>
      </c>
      <c r="G126" s="191" t="str">
        <f>'B.kriteria &amp; R.kecocokan'!$B$41</f>
        <v>Rendah</v>
      </c>
      <c r="H126" s="191" t="str">
        <f>'B.kriteria &amp; R.kecocokan'!$B$72</f>
        <v>Rendah</v>
      </c>
      <c r="I126" s="191" t="str">
        <f>'B.kriteria &amp; R.kecocokan'!$B$95</f>
        <v>Rendah</v>
      </c>
      <c r="J126" s="191" t="str">
        <f>'B.kriteria &amp; R.kecocokan'!$B$80</f>
        <v>Rendah</v>
      </c>
      <c r="K126" s="191" t="str">
        <f>'B.kriteria &amp; R.kecocokan'!$B$89</f>
        <v>Sedikit</v>
      </c>
      <c r="L126" s="191" t="str">
        <f>'B.kriteria &amp; R.kecocokan'!$B$49</f>
        <v>Rendah</v>
      </c>
      <c r="M126" s="9" t="str">
        <f>'B.kriteria &amp; R.kecocokan'!$B$58</f>
        <v>Sedang</v>
      </c>
      <c r="N126" s="51" t="str">
        <f>'B.kriteria &amp; R.kecocokan'!$B$65</f>
        <v>Rendah</v>
      </c>
      <c r="O126" s="52" t="s">
        <v>347</v>
      </c>
      <c r="R126" t="s">
        <v>325</v>
      </c>
      <c r="S126">
        <f>COUNTIFS($F$109:$F$190,$F$119,$M$109:$M$190,$M$112)</f>
        <v>6</v>
      </c>
      <c r="T126">
        <f>COUNTIFS($F$109:$F$190,$F$119,$M$109:$M$190,$M$112,$O$109:$O$190,$O$109)</f>
        <v>5</v>
      </c>
      <c r="U126">
        <f>COUNTIFS($F$109:$F$190,$F$119,$M$109:$M$190,$M$112,$O$109:$O$190,$O$112)</f>
        <v>1</v>
      </c>
      <c r="V126">
        <f t="shared" si="17"/>
        <v>0.650022421648355</v>
      </c>
    </row>
    <row r="127" spans="1:23" hidden="1" x14ac:dyDescent="0.35">
      <c r="A127" s="57">
        <v>29</v>
      </c>
      <c r="B127" s="16" t="s">
        <v>272</v>
      </c>
      <c r="C127" s="2" t="s">
        <v>70</v>
      </c>
      <c r="D127" s="11" t="s">
        <v>13</v>
      </c>
      <c r="E127" s="9" t="str">
        <f>'B.kriteria &amp; R.kecocokan'!$B$23</f>
        <v>Banyak</v>
      </c>
      <c r="F127" s="9" t="str">
        <f>'B.kriteria &amp; R.kecocokan'!$B$35</f>
        <v>Sangat Tinggi</v>
      </c>
      <c r="G127" s="191" t="str">
        <f>'B.kriteria &amp; R.kecocokan'!$B$41</f>
        <v>Rendah</v>
      </c>
      <c r="H127" s="191" t="str">
        <f>'B.kriteria &amp; R.kecocokan'!$B$72</f>
        <v>Rendah</v>
      </c>
      <c r="I127" s="191" t="str">
        <f>'B.kriteria &amp; R.kecocokan'!$B$95</f>
        <v>Rendah</v>
      </c>
      <c r="J127" s="191" t="str">
        <f>'B.kriteria &amp; R.kecocokan'!$B$80</f>
        <v>Rendah</v>
      </c>
      <c r="K127" s="9" t="str">
        <f>'B.kriteria &amp; R.kecocokan'!$B$90</f>
        <v>Sangat Sedikit</v>
      </c>
      <c r="L127" s="191" t="str">
        <f>'B.kriteria &amp; R.kecocokan'!$B$49</f>
        <v>Rendah</v>
      </c>
      <c r="M127" s="191" t="str">
        <f>'B.kriteria &amp; R.kecocokan'!$B$57</f>
        <v>Rendah</v>
      </c>
      <c r="N127" s="51" t="str">
        <f>'B.kriteria &amp; R.kecocokan'!$B$65</f>
        <v>Rendah</v>
      </c>
      <c r="O127" s="52" t="s">
        <v>347</v>
      </c>
    </row>
    <row r="128" spans="1:23" hidden="1" x14ac:dyDescent="0.35">
      <c r="A128" s="147">
        <v>30</v>
      </c>
      <c r="B128" s="16" t="s">
        <v>259</v>
      </c>
      <c r="C128" s="2" t="s">
        <v>71</v>
      </c>
      <c r="D128" s="11" t="s">
        <v>13</v>
      </c>
      <c r="E128" s="9" t="str">
        <f>'B.kriteria &amp; R.kecocokan'!$B$25</f>
        <v>Sedikit</v>
      </c>
      <c r="F128" s="9" t="str">
        <f>'B.kriteria &amp; R.kecocokan'!$B$35</f>
        <v>Sangat Tinggi</v>
      </c>
      <c r="G128" s="191" t="str">
        <f>'B.kriteria &amp; R.kecocokan'!$B$41</f>
        <v>Rendah</v>
      </c>
      <c r="H128" s="191" t="str">
        <f>'B.kriteria &amp; R.kecocokan'!$B$72</f>
        <v>Rendah</v>
      </c>
      <c r="I128" s="191" t="str">
        <f>'B.kriteria &amp; R.kecocokan'!$B$95</f>
        <v>Rendah</v>
      </c>
      <c r="J128" s="9" t="str">
        <f>'B.kriteria &amp; R.kecocokan'!$B$81</f>
        <v>Tinggi</v>
      </c>
      <c r="K128" s="9" t="str">
        <f>'B.kriteria &amp; R.kecocokan'!$B$88</f>
        <v>Sedang</v>
      </c>
      <c r="L128" s="9" t="str">
        <f>'B.kriteria &amp; R.kecocokan'!$B$51</f>
        <v>Tinggi</v>
      </c>
      <c r="M128" s="9" t="str">
        <f>'B.kriteria &amp; R.kecocokan'!$B$59</f>
        <v>Tinggi</v>
      </c>
      <c r="N128" s="51" t="str">
        <f>'B.kriteria &amp; R.kecocokan'!$B$65</f>
        <v>Rendah</v>
      </c>
      <c r="O128" s="52" t="s">
        <v>349</v>
      </c>
    </row>
    <row r="129" spans="1:15" x14ac:dyDescent="0.35">
      <c r="A129" s="147">
        <v>31</v>
      </c>
      <c r="B129" s="16" t="s">
        <v>260</v>
      </c>
      <c r="C129" s="2" t="s">
        <v>74</v>
      </c>
      <c r="D129" s="11" t="s">
        <v>13</v>
      </c>
      <c r="E129" s="32" t="str">
        <f>'B.kriteria &amp; R.kecocokan'!$B$24</f>
        <v>Cukup</v>
      </c>
      <c r="F129" s="9" t="str">
        <f>'B.kriteria &amp; R.kecocokan'!$B$35</f>
        <v>Sangat Tinggi</v>
      </c>
      <c r="G129" s="191" t="str">
        <f>'B.kriteria &amp; R.kecocokan'!$B$41</f>
        <v>Rendah</v>
      </c>
      <c r="H129" s="191" t="str">
        <f>'B.kriteria &amp; R.kecocokan'!$B$72</f>
        <v>Rendah</v>
      </c>
      <c r="I129" s="191" t="str">
        <f>'B.kriteria &amp; R.kecocokan'!$B$95</f>
        <v>Rendah</v>
      </c>
      <c r="J129" s="191" t="str">
        <f>'B.kriteria &amp; R.kecocokan'!$B$80</f>
        <v>Rendah</v>
      </c>
      <c r="K129" s="191" t="str">
        <f>'B.kriteria &amp; R.kecocokan'!$B$89</f>
        <v>Sedikit</v>
      </c>
      <c r="L129" s="191" t="str">
        <f>'B.kriteria &amp; R.kecocokan'!$B$49</f>
        <v>Rendah</v>
      </c>
      <c r="M129" s="9" t="str">
        <f>'B.kriteria &amp; R.kecocokan'!$B$58</f>
        <v>Sedang</v>
      </c>
      <c r="N129" s="51" t="str">
        <f>'B.kriteria &amp; R.kecocokan'!$B$65</f>
        <v>Rendah</v>
      </c>
      <c r="O129" s="52" t="s">
        <v>349</v>
      </c>
    </row>
    <row r="130" spans="1:15" hidden="1" x14ac:dyDescent="0.35">
      <c r="A130" s="57">
        <v>32</v>
      </c>
      <c r="B130" s="16" t="s">
        <v>289</v>
      </c>
      <c r="C130" s="2" t="s">
        <v>76</v>
      </c>
      <c r="D130" s="11" t="s">
        <v>13</v>
      </c>
      <c r="E130" s="32" t="str">
        <f>'B.kriteria &amp; R.kecocokan'!$B$24</f>
        <v>Cukup</v>
      </c>
      <c r="F130" s="9" t="str">
        <f>'B.kriteria &amp; R.kecocokan'!$B$34</f>
        <v>Tinggi</v>
      </c>
      <c r="G130" s="191" t="str">
        <f>'B.kriteria &amp; R.kecocokan'!$B$41</f>
        <v>Rendah</v>
      </c>
      <c r="H130" s="191" t="str">
        <f>'B.kriteria &amp; R.kecocokan'!$B$72</f>
        <v>Rendah</v>
      </c>
      <c r="I130" s="191" t="str">
        <f>'B.kriteria &amp; R.kecocokan'!$B$95</f>
        <v>Rendah</v>
      </c>
      <c r="J130" s="191" t="str">
        <f>'B.kriteria &amp; R.kecocokan'!$B$80</f>
        <v>Rendah</v>
      </c>
      <c r="K130" s="9" t="str">
        <f>'B.kriteria &amp; R.kecocokan'!$B$88</f>
        <v>Sedang</v>
      </c>
      <c r="L130" s="191" t="str">
        <f>'B.kriteria &amp; R.kecocokan'!$B$49</f>
        <v>Rendah</v>
      </c>
      <c r="M130" s="191" t="str">
        <f>'B.kriteria &amp; R.kecocokan'!$B$57</f>
        <v>Rendah</v>
      </c>
      <c r="N130" s="51" t="str">
        <f>'B.kriteria &amp; R.kecocokan'!$B$65</f>
        <v>Rendah</v>
      </c>
      <c r="O130" s="52" t="s">
        <v>347</v>
      </c>
    </row>
    <row r="131" spans="1:15" hidden="1" x14ac:dyDescent="0.35">
      <c r="A131" s="147">
        <v>33</v>
      </c>
      <c r="B131" s="16" t="s">
        <v>290</v>
      </c>
      <c r="C131" s="2" t="s">
        <v>79</v>
      </c>
      <c r="D131" s="11" t="s">
        <v>13</v>
      </c>
      <c r="E131" s="9" t="str">
        <f>'B.kriteria &amp; R.kecocokan'!$B$25</f>
        <v>Sedikit</v>
      </c>
      <c r="F131" s="9" t="str">
        <f>'B.kriteria &amp; R.kecocokan'!$B$34</f>
        <v>Tinggi</v>
      </c>
      <c r="G131" s="9" t="str">
        <f>'B.kriteria &amp; R.kecocokan'!$B$43</f>
        <v>Tinggi</v>
      </c>
      <c r="H131" s="191" t="str">
        <f>'B.kriteria &amp; R.kecocokan'!$B$72</f>
        <v>Rendah</v>
      </c>
      <c r="I131" s="191" t="str">
        <f>'B.kriteria &amp; R.kecocokan'!$B$95</f>
        <v>Rendah</v>
      </c>
      <c r="J131" s="9" t="str">
        <f>'B.kriteria &amp; R.kecocokan'!$B$81</f>
        <v>Tinggi</v>
      </c>
      <c r="K131" s="9" t="str">
        <f>'B.kriteria &amp; R.kecocokan'!$B$90</f>
        <v>Sangat Sedikit</v>
      </c>
      <c r="L131" s="191" t="str">
        <f>'B.kriteria &amp; R.kecocokan'!$B$49</f>
        <v>Rendah</v>
      </c>
      <c r="M131" s="191" t="str">
        <f>'B.kriteria &amp; R.kecocokan'!$B$57</f>
        <v>Rendah</v>
      </c>
      <c r="N131" s="51" t="str">
        <f>'B.kriteria &amp; R.kecocokan'!$B$65</f>
        <v>Rendah</v>
      </c>
      <c r="O131" s="52" t="s">
        <v>347</v>
      </c>
    </row>
    <row r="132" spans="1:15" hidden="1" x14ac:dyDescent="0.35">
      <c r="A132" s="147">
        <v>34</v>
      </c>
      <c r="B132" s="16" t="s">
        <v>291</v>
      </c>
      <c r="C132" s="2" t="s">
        <v>81</v>
      </c>
      <c r="D132" s="11" t="s">
        <v>13</v>
      </c>
      <c r="E132" s="9" t="str">
        <f>'B.kriteria &amp; R.kecocokan'!$B$23</f>
        <v>Banyak</v>
      </c>
      <c r="F132" s="9" t="str">
        <f>'B.kriteria &amp; R.kecocokan'!$B$34</f>
        <v>Tinggi</v>
      </c>
      <c r="G132" s="191" t="str">
        <f>'B.kriteria &amp; R.kecocokan'!$B$41</f>
        <v>Rendah</v>
      </c>
      <c r="H132" s="191" t="str">
        <f>'B.kriteria &amp; R.kecocokan'!$B$72</f>
        <v>Rendah</v>
      </c>
      <c r="I132" s="191" t="str">
        <f>'B.kriteria &amp; R.kecocokan'!$B$95</f>
        <v>Rendah</v>
      </c>
      <c r="J132" s="9" t="str">
        <f>'B.kriteria &amp; R.kecocokan'!$B$81</f>
        <v>Tinggi</v>
      </c>
      <c r="K132" s="9" t="str">
        <f>'B.kriteria &amp; R.kecocokan'!$B$90</f>
        <v>Sangat Sedikit</v>
      </c>
      <c r="L132" s="191" t="str">
        <f>'B.kriteria &amp; R.kecocokan'!$B$49</f>
        <v>Rendah</v>
      </c>
      <c r="M132" s="191" t="str">
        <f>'B.kriteria &amp; R.kecocokan'!$B$57</f>
        <v>Rendah</v>
      </c>
      <c r="N132" s="51" t="str">
        <f>'B.kriteria &amp; R.kecocokan'!$B$65</f>
        <v>Rendah</v>
      </c>
      <c r="O132" s="52" t="s">
        <v>347</v>
      </c>
    </row>
    <row r="133" spans="1:15" hidden="1" x14ac:dyDescent="0.35">
      <c r="A133" s="57">
        <v>35</v>
      </c>
      <c r="B133" s="16" t="s">
        <v>292</v>
      </c>
      <c r="C133" s="2" t="s">
        <v>83</v>
      </c>
      <c r="D133" s="11" t="s">
        <v>13</v>
      </c>
      <c r="E133" s="9" t="str">
        <f>'B.kriteria &amp; R.kecocokan'!$B$25</f>
        <v>Sedikit</v>
      </c>
      <c r="F133" s="9" t="str">
        <f>'B.kriteria &amp; R.kecocokan'!$B$34</f>
        <v>Tinggi</v>
      </c>
      <c r="G133" s="191" t="str">
        <f>'B.kriteria &amp; R.kecocokan'!$B$41</f>
        <v>Rendah</v>
      </c>
      <c r="H133" s="9" t="str">
        <f>'B.kriteria &amp; R.kecocokan'!$B$74</f>
        <v>Tinggi</v>
      </c>
      <c r="I133" s="191" t="str">
        <f>'B.kriteria &amp; R.kecocokan'!$B$95</f>
        <v>Rendah</v>
      </c>
      <c r="J133" s="9" t="str">
        <f>'B.kriteria &amp; R.kecocokan'!$B$81</f>
        <v>Tinggi</v>
      </c>
      <c r="K133" s="9" t="str">
        <f>'B.kriteria &amp; R.kecocokan'!$B$90</f>
        <v>Sangat Sedikit</v>
      </c>
      <c r="L133" s="9" t="str">
        <f>'B.kriteria &amp; R.kecocokan'!$B$50</f>
        <v>Sedang</v>
      </c>
      <c r="M133" s="9" t="str">
        <f>'B.kriteria &amp; R.kecocokan'!$B$59</f>
        <v>Tinggi</v>
      </c>
      <c r="N133" s="51" t="str">
        <f>'B.kriteria &amp; R.kecocokan'!$B$65</f>
        <v>Rendah</v>
      </c>
      <c r="O133" s="52" t="s">
        <v>349</v>
      </c>
    </row>
    <row r="134" spans="1:15" hidden="1" x14ac:dyDescent="0.35">
      <c r="A134" s="147">
        <v>36</v>
      </c>
      <c r="B134" s="16" t="s">
        <v>293</v>
      </c>
      <c r="C134" s="2" t="s">
        <v>84</v>
      </c>
      <c r="D134" s="11" t="s">
        <v>13</v>
      </c>
      <c r="E134" s="32" t="str">
        <f>'B.kriteria &amp; R.kecocokan'!$B$24</f>
        <v>Cukup</v>
      </c>
      <c r="F134" s="9" t="str">
        <f>'B.kriteria &amp; R.kecocokan'!$B$34</f>
        <v>Tinggi</v>
      </c>
      <c r="G134" s="191" t="str">
        <f>'B.kriteria &amp; R.kecocokan'!$B$41</f>
        <v>Rendah</v>
      </c>
      <c r="H134" s="191" t="str">
        <f>'B.kriteria &amp; R.kecocokan'!$B$72</f>
        <v>Rendah</v>
      </c>
      <c r="I134" s="191" t="str">
        <f>'B.kriteria &amp; R.kecocokan'!$B$95</f>
        <v>Rendah</v>
      </c>
      <c r="J134" s="191" t="str">
        <f>'B.kriteria &amp; R.kecocokan'!$B$80</f>
        <v>Rendah</v>
      </c>
      <c r="K134" s="9" t="str">
        <f>'B.kriteria &amp; R.kecocokan'!$B$90</f>
        <v>Sangat Sedikit</v>
      </c>
      <c r="L134" s="191" t="str">
        <f>'B.kriteria &amp; R.kecocokan'!$B$49</f>
        <v>Rendah</v>
      </c>
      <c r="M134" s="191" t="str">
        <f>'B.kriteria &amp; R.kecocokan'!$B$57</f>
        <v>Rendah</v>
      </c>
      <c r="N134" s="51" t="str">
        <f>'B.kriteria &amp; R.kecocokan'!$B$65</f>
        <v>Rendah</v>
      </c>
      <c r="O134" s="52" t="s">
        <v>347</v>
      </c>
    </row>
    <row r="135" spans="1:15" hidden="1" x14ac:dyDescent="0.35">
      <c r="A135" s="147">
        <v>37</v>
      </c>
      <c r="B135" s="16" t="s">
        <v>267</v>
      </c>
      <c r="C135" s="2" t="s">
        <v>85</v>
      </c>
      <c r="D135" s="11" t="s">
        <v>13</v>
      </c>
      <c r="E135" s="32" t="str">
        <f>'B.kriteria &amp; R.kecocokan'!$B$24</f>
        <v>Cukup</v>
      </c>
      <c r="F135" s="9" t="str">
        <f>'B.kriteria &amp; R.kecocokan'!$B$34</f>
        <v>Tinggi</v>
      </c>
      <c r="G135" s="191" t="str">
        <f>'B.kriteria &amp; R.kecocokan'!$B$41</f>
        <v>Rendah</v>
      </c>
      <c r="H135" s="191" t="str">
        <f>'B.kriteria &amp; R.kecocokan'!$B$72</f>
        <v>Rendah</v>
      </c>
      <c r="I135" s="191" t="str">
        <f>'B.kriteria &amp; R.kecocokan'!$B$95</f>
        <v>Rendah</v>
      </c>
      <c r="J135" s="191" t="str">
        <f>'B.kriteria &amp; R.kecocokan'!$B$80</f>
        <v>Rendah</v>
      </c>
      <c r="K135" s="9" t="str">
        <f>'B.kriteria &amp; R.kecocokan'!$B$88</f>
        <v>Sedang</v>
      </c>
      <c r="L135" s="191" t="str">
        <f>'B.kriteria &amp; R.kecocokan'!$B$49</f>
        <v>Rendah</v>
      </c>
      <c r="M135" s="191" t="str">
        <f>'B.kriteria &amp; R.kecocokan'!$B$57</f>
        <v>Rendah</v>
      </c>
      <c r="N135" s="51" t="str">
        <f>'B.kriteria &amp; R.kecocokan'!$B$65</f>
        <v>Rendah</v>
      </c>
      <c r="O135" s="52" t="s">
        <v>347</v>
      </c>
    </row>
    <row r="136" spans="1:15" hidden="1" x14ac:dyDescent="0.35">
      <c r="A136" s="57">
        <v>38</v>
      </c>
      <c r="B136" s="16" t="s">
        <v>268</v>
      </c>
      <c r="C136" s="2" t="s">
        <v>86</v>
      </c>
      <c r="D136" s="11" t="s">
        <v>13</v>
      </c>
      <c r="E136" s="9" t="str">
        <f>'B.kriteria &amp; R.kecocokan'!$B$25</f>
        <v>Sedikit</v>
      </c>
      <c r="F136" s="9" t="str">
        <f>'B.kriteria &amp; R.kecocokan'!$B$34</f>
        <v>Tinggi</v>
      </c>
      <c r="G136" s="9" t="str">
        <f>'B.kriteria &amp; R.kecocokan'!$B$43</f>
        <v>Tinggi</v>
      </c>
      <c r="H136" s="191" t="str">
        <f>'B.kriteria &amp; R.kecocokan'!$B$72</f>
        <v>Rendah</v>
      </c>
      <c r="I136" s="191" t="str">
        <f>'B.kriteria &amp; R.kecocokan'!$B$95</f>
        <v>Rendah</v>
      </c>
      <c r="J136" s="9" t="str">
        <f>'B.kriteria &amp; R.kecocokan'!$B$81</f>
        <v>Tinggi</v>
      </c>
      <c r="K136" s="9" t="str">
        <f>'B.kriteria &amp; R.kecocokan'!$B$90</f>
        <v>Sangat Sedikit</v>
      </c>
      <c r="L136" s="191" t="str">
        <f>'B.kriteria &amp; R.kecocokan'!$B$49</f>
        <v>Rendah</v>
      </c>
      <c r="M136" s="191" t="str">
        <f>'B.kriteria &amp; R.kecocokan'!$B$57</f>
        <v>Rendah</v>
      </c>
      <c r="N136" s="51" t="str">
        <f>'B.kriteria &amp; R.kecocokan'!$B$65</f>
        <v>Rendah</v>
      </c>
      <c r="O136" s="52" t="s">
        <v>347</v>
      </c>
    </row>
    <row r="137" spans="1:15" hidden="1" x14ac:dyDescent="0.35">
      <c r="A137" s="147">
        <v>39</v>
      </c>
      <c r="B137" s="16" t="s">
        <v>294</v>
      </c>
      <c r="C137" s="2" t="s">
        <v>87</v>
      </c>
      <c r="D137" s="11" t="s">
        <v>13</v>
      </c>
      <c r="E137" s="9" t="str">
        <f>'B.kriteria &amp; R.kecocokan'!$B$25</f>
        <v>Sedikit</v>
      </c>
      <c r="F137" s="9" t="str">
        <f>'B.kriteria &amp; R.kecocokan'!$B$34</f>
        <v>Tinggi</v>
      </c>
      <c r="G137" s="191" t="str">
        <f>'B.kriteria &amp; R.kecocokan'!$B$41</f>
        <v>Rendah</v>
      </c>
      <c r="H137" s="191" t="str">
        <f>'B.kriteria &amp; R.kecocokan'!$B$72</f>
        <v>Rendah</v>
      </c>
      <c r="I137" s="191" t="str">
        <f>'B.kriteria &amp; R.kecocokan'!$B$95</f>
        <v>Rendah</v>
      </c>
      <c r="J137" s="9" t="str">
        <f>'B.kriteria &amp; R.kecocokan'!$B$81</f>
        <v>Tinggi</v>
      </c>
      <c r="K137" s="9" t="str">
        <f>'B.kriteria &amp; R.kecocokan'!$B$90</f>
        <v>Sangat Sedikit</v>
      </c>
      <c r="L137" s="191" t="str">
        <f>'B.kriteria &amp; R.kecocokan'!$B$49</f>
        <v>Rendah</v>
      </c>
      <c r="M137" s="191" t="str">
        <f>'B.kriteria &amp; R.kecocokan'!$B$57</f>
        <v>Rendah</v>
      </c>
      <c r="N137" s="51" t="str">
        <f>'B.kriteria &amp; R.kecocokan'!$B$65</f>
        <v>Rendah</v>
      </c>
      <c r="O137" s="52" t="s">
        <v>347</v>
      </c>
    </row>
    <row r="138" spans="1:15" hidden="1" x14ac:dyDescent="0.35">
      <c r="A138" s="147">
        <v>40</v>
      </c>
      <c r="B138" s="16" t="s">
        <v>269</v>
      </c>
      <c r="C138" s="2" t="s">
        <v>88</v>
      </c>
      <c r="D138" s="11" t="s">
        <v>13</v>
      </c>
      <c r="E138" s="32" t="str">
        <f>'B.kriteria &amp; R.kecocokan'!$B$24</f>
        <v>Cukup</v>
      </c>
      <c r="F138" s="9" t="str">
        <f>'B.kriteria &amp; R.kecocokan'!$B$34</f>
        <v>Tinggi</v>
      </c>
      <c r="G138" s="9" t="str">
        <f>'B.kriteria &amp; R.kecocokan'!$B$43</f>
        <v>Tinggi</v>
      </c>
      <c r="H138" s="191" t="str">
        <f>'B.kriteria &amp; R.kecocokan'!$B$72</f>
        <v>Rendah</v>
      </c>
      <c r="I138" s="191" t="str">
        <f>'B.kriteria &amp; R.kecocokan'!$B$95</f>
        <v>Rendah</v>
      </c>
      <c r="J138" s="191" t="str">
        <f>'B.kriteria &amp; R.kecocokan'!$B$80</f>
        <v>Rendah</v>
      </c>
      <c r="K138" s="9" t="str">
        <f>'B.kriteria &amp; R.kecocokan'!$B$88</f>
        <v>Sedang</v>
      </c>
      <c r="L138" s="191" t="str">
        <f>'B.kriteria &amp; R.kecocokan'!$B$49</f>
        <v>Rendah</v>
      </c>
      <c r="M138" s="191" t="str">
        <f>'B.kriteria &amp; R.kecocokan'!$B$57</f>
        <v>Rendah</v>
      </c>
      <c r="N138" s="51" t="str">
        <f>'B.kriteria &amp; R.kecocokan'!$B$65</f>
        <v>Rendah</v>
      </c>
      <c r="O138" s="52" t="s">
        <v>347</v>
      </c>
    </row>
    <row r="139" spans="1:15" hidden="1" x14ac:dyDescent="0.35">
      <c r="A139" s="57">
        <v>41</v>
      </c>
      <c r="B139" s="16" t="s">
        <v>278</v>
      </c>
      <c r="C139" s="2" t="s">
        <v>89</v>
      </c>
      <c r="D139" s="11" t="s">
        <v>13</v>
      </c>
      <c r="E139" s="9" t="str">
        <f>'B.kriteria &amp; R.kecocokan'!$B$23</f>
        <v>Banyak</v>
      </c>
      <c r="F139" s="9" t="str">
        <f>'B.kriteria &amp; R.kecocokan'!$B$34</f>
        <v>Tinggi</v>
      </c>
      <c r="G139" s="191" t="str">
        <f>'B.kriteria &amp; R.kecocokan'!$B$41</f>
        <v>Rendah</v>
      </c>
      <c r="H139" s="191" t="str">
        <f>'B.kriteria &amp; R.kecocokan'!$B$72</f>
        <v>Rendah</v>
      </c>
      <c r="I139" s="191" t="str">
        <f>'B.kriteria &amp; R.kecocokan'!$B$95</f>
        <v>Rendah</v>
      </c>
      <c r="J139" s="9" t="str">
        <f>'B.kriteria &amp; R.kecocokan'!$B$81</f>
        <v>Tinggi</v>
      </c>
      <c r="K139" s="9" t="str">
        <f>'B.kriteria &amp; R.kecocokan'!$B$90</f>
        <v>Sangat Sedikit</v>
      </c>
      <c r="L139" s="191" t="str">
        <f>'B.kriteria &amp; R.kecocokan'!$B$49</f>
        <v>Rendah</v>
      </c>
      <c r="M139" s="191" t="str">
        <f>'B.kriteria &amp; R.kecocokan'!$B$57</f>
        <v>Rendah</v>
      </c>
      <c r="N139" s="51" t="str">
        <f>'B.kriteria &amp; R.kecocokan'!$B$65</f>
        <v>Rendah</v>
      </c>
      <c r="O139" s="52" t="s">
        <v>347</v>
      </c>
    </row>
    <row r="140" spans="1:15" hidden="1" x14ac:dyDescent="0.35">
      <c r="A140" s="147">
        <v>42</v>
      </c>
      <c r="B140" s="2">
        <f>Penghasilan!B117</f>
        <v>0</v>
      </c>
      <c r="C140" s="2" t="s">
        <v>91</v>
      </c>
      <c r="D140" s="11" t="s">
        <v>92</v>
      </c>
      <c r="E140" s="28" t="str">
        <f>'B.kriteria &amp; R.kecocokan'!$B$25</f>
        <v>Sedikit</v>
      </c>
      <c r="F140" s="9" t="str">
        <f>'B.kriteria &amp; R.kecocokan'!$B$34</f>
        <v>Tinggi</v>
      </c>
      <c r="G140" s="191" t="str">
        <f>'B.kriteria &amp; R.kecocokan'!$B$41</f>
        <v>Rendah</v>
      </c>
      <c r="H140" s="191" t="str">
        <f>'B.kriteria &amp; R.kecocokan'!$B$72</f>
        <v>Rendah</v>
      </c>
      <c r="I140" s="191" t="str">
        <f>'B.kriteria &amp; R.kecocokan'!$B$95</f>
        <v>Rendah</v>
      </c>
      <c r="J140" s="9" t="str">
        <f>'B.kriteria &amp; R.kecocokan'!$B$81</f>
        <v>Tinggi</v>
      </c>
      <c r="K140" s="9" t="str">
        <f>'B.kriteria &amp; R.kecocokan'!$B$88</f>
        <v>Sedang</v>
      </c>
      <c r="L140" s="9" t="str">
        <f>'B.kriteria &amp; R.kecocokan'!$B$50</f>
        <v>Sedang</v>
      </c>
      <c r="M140" s="191" t="str">
        <f>'B.kriteria &amp; R.kecocokan'!$B$57</f>
        <v>Rendah</v>
      </c>
      <c r="N140" s="51" t="str">
        <f>'B.kriteria &amp; R.kecocokan'!$B$65</f>
        <v>Rendah</v>
      </c>
      <c r="O140" s="52" t="s">
        <v>349</v>
      </c>
    </row>
    <row r="141" spans="1:15" hidden="1" x14ac:dyDescent="0.35">
      <c r="A141" s="147">
        <v>43</v>
      </c>
      <c r="B141" s="2">
        <f>Penghasilan!B130</f>
        <v>0</v>
      </c>
      <c r="C141" s="2" t="s">
        <v>94</v>
      </c>
      <c r="D141" s="11" t="s">
        <v>95</v>
      </c>
      <c r="E141" s="28" t="str">
        <f>'B.kriteria &amp; R.kecocokan'!$B$25</f>
        <v>Sedikit</v>
      </c>
      <c r="F141" s="9" t="str">
        <f>'B.kriteria &amp; R.kecocokan'!$B$34</f>
        <v>Tinggi</v>
      </c>
      <c r="G141" s="191" t="str">
        <f>'B.kriteria &amp; R.kecocokan'!$B$41</f>
        <v>Rendah</v>
      </c>
      <c r="H141" s="191" t="str">
        <f>'B.kriteria &amp; R.kecocokan'!$B$72</f>
        <v>Rendah</v>
      </c>
      <c r="I141" s="191" t="str">
        <f>'B.kriteria &amp; R.kecocokan'!$B$95</f>
        <v>Rendah</v>
      </c>
      <c r="J141" s="191" t="str">
        <f>'B.kriteria &amp; R.kecocokan'!$B$80</f>
        <v>Rendah</v>
      </c>
      <c r="K141" s="9" t="str">
        <f>'B.kriteria &amp; R.kecocokan'!$B$90</f>
        <v>Sangat Sedikit</v>
      </c>
      <c r="L141" s="191" t="str">
        <f>'B.kriteria &amp; R.kecocokan'!$B$49</f>
        <v>Rendah</v>
      </c>
      <c r="M141" s="191" t="str">
        <f>'B.kriteria &amp; R.kecocokan'!$B$57</f>
        <v>Rendah</v>
      </c>
      <c r="N141" s="51" t="str">
        <f>'B.kriteria &amp; R.kecocokan'!$B$65</f>
        <v>Rendah</v>
      </c>
      <c r="O141" s="52" t="s">
        <v>347</v>
      </c>
    </row>
    <row r="142" spans="1:15" hidden="1" x14ac:dyDescent="0.35">
      <c r="A142" s="57">
        <v>44</v>
      </c>
      <c r="B142" s="2">
        <f>Penghasilan!B129</f>
        <v>0</v>
      </c>
      <c r="C142" s="2" t="s">
        <v>96</v>
      </c>
      <c r="D142" s="11" t="s">
        <v>95</v>
      </c>
      <c r="E142" s="28" t="str">
        <f>'B.kriteria &amp; R.kecocokan'!$B$25</f>
        <v>Sedikit</v>
      </c>
      <c r="F142" s="9" t="str">
        <f>'B.kriteria &amp; R.kecocokan'!$B$35</f>
        <v>Sangat Tinggi</v>
      </c>
      <c r="G142" s="191" t="str">
        <f>'B.kriteria &amp; R.kecocokan'!$B$41</f>
        <v>Rendah</v>
      </c>
      <c r="H142" s="191" t="str">
        <f>'B.kriteria &amp; R.kecocokan'!$B$72</f>
        <v>Rendah</v>
      </c>
      <c r="I142" s="191" t="str">
        <f>'B.kriteria &amp; R.kecocokan'!$B$95</f>
        <v>Rendah</v>
      </c>
      <c r="J142" s="9" t="str">
        <f>'B.kriteria &amp; R.kecocokan'!$B$81</f>
        <v>Tinggi</v>
      </c>
      <c r="K142" s="9" t="str">
        <f>'B.kriteria &amp; R.kecocokan'!$B$90</f>
        <v>Sangat Sedikit</v>
      </c>
      <c r="L142" s="9" t="str">
        <f>'B.kriteria &amp; R.kecocokan'!$B$50</f>
        <v>Sedang</v>
      </c>
      <c r="M142" s="9" t="str">
        <f>'B.kriteria &amp; R.kecocokan'!$B$59</f>
        <v>Tinggi</v>
      </c>
      <c r="N142" s="51" t="str">
        <f>'B.kriteria &amp; R.kecocokan'!$B$65</f>
        <v>Rendah</v>
      </c>
      <c r="O142" s="52" t="s">
        <v>349</v>
      </c>
    </row>
    <row r="143" spans="1:15" hidden="1" x14ac:dyDescent="0.35">
      <c r="A143" s="147">
        <v>45</v>
      </c>
      <c r="B143" s="2">
        <f>Penghasilan!B131</f>
        <v>0</v>
      </c>
      <c r="C143" s="2" t="s">
        <v>98</v>
      </c>
      <c r="D143" s="11" t="s">
        <v>95</v>
      </c>
      <c r="E143" s="32" t="str">
        <f>'B.kriteria &amp; R.kecocokan'!$B$24</f>
        <v>Cukup</v>
      </c>
      <c r="F143" s="9" t="str">
        <f>'B.kriteria &amp; R.kecocokan'!$B$34</f>
        <v>Tinggi</v>
      </c>
      <c r="G143" s="191" t="str">
        <f>'B.kriteria &amp; R.kecocokan'!$B$41</f>
        <v>Rendah</v>
      </c>
      <c r="H143" s="191" t="str">
        <f>'B.kriteria &amp; R.kecocokan'!$B$72</f>
        <v>Rendah</v>
      </c>
      <c r="I143" s="191" t="str">
        <f>'B.kriteria &amp; R.kecocokan'!$B$95</f>
        <v>Rendah</v>
      </c>
      <c r="J143" s="9" t="str">
        <f>'B.kriteria &amp; R.kecocokan'!$B$81</f>
        <v>Tinggi</v>
      </c>
      <c r="K143" s="9" t="str">
        <f>'B.kriteria &amp; R.kecocokan'!$B$90</f>
        <v>Sangat Sedikit</v>
      </c>
      <c r="L143" s="191" t="str">
        <f>'B.kriteria &amp; R.kecocokan'!$B$49</f>
        <v>Rendah</v>
      </c>
      <c r="M143" s="191" t="str">
        <f>'B.kriteria &amp; R.kecocokan'!$B$57</f>
        <v>Rendah</v>
      </c>
      <c r="N143" s="51" t="str">
        <f>'B.kriteria &amp; R.kecocokan'!$B$65</f>
        <v>Rendah</v>
      </c>
      <c r="O143" s="52" t="s">
        <v>347</v>
      </c>
    </row>
    <row r="144" spans="1:15" hidden="1" x14ac:dyDescent="0.35">
      <c r="A144" s="147">
        <v>46</v>
      </c>
      <c r="B144" s="2">
        <f>Penghasilan!B135</f>
        <v>0</v>
      </c>
      <c r="C144" s="2" t="s">
        <v>100</v>
      </c>
      <c r="D144" s="11" t="s">
        <v>92</v>
      </c>
      <c r="E144" s="32" t="str">
        <f>'B.kriteria &amp; R.kecocokan'!$B$24</f>
        <v>Cukup</v>
      </c>
      <c r="F144" s="9" t="str">
        <f>'B.kriteria &amp; R.kecocokan'!$B$34</f>
        <v>Tinggi</v>
      </c>
      <c r="G144" s="191" t="str">
        <f>'B.kriteria &amp; R.kecocokan'!$B$41</f>
        <v>Rendah</v>
      </c>
      <c r="H144" s="191" t="str">
        <f>'B.kriteria &amp; R.kecocokan'!$B$72</f>
        <v>Rendah</v>
      </c>
      <c r="I144" s="191" t="str">
        <f>'B.kriteria &amp; R.kecocokan'!$B$95</f>
        <v>Rendah</v>
      </c>
      <c r="J144" s="191" t="str">
        <f>'B.kriteria &amp; R.kecocokan'!$B$80</f>
        <v>Rendah</v>
      </c>
      <c r="K144" s="9" t="str">
        <f>'B.kriteria &amp; R.kecocokan'!$B$88</f>
        <v>Sedang</v>
      </c>
      <c r="L144" s="191" t="str">
        <f>'B.kriteria &amp; R.kecocokan'!$B$49</f>
        <v>Rendah</v>
      </c>
      <c r="M144" s="191" t="str">
        <f>'B.kriteria &amp; R.kecocokan'!$B$57</f>
        <v>Rendah</v>
      </c>
      <c r="N144" s="51" t="str">
        <f>'B.kriteria &amp; R.kecocokan'!$B$65</f>
        <v>Rendah</v>
      </c>
      <c r="O144" s="52" t="s">
        <v>347</v>
      </c>
    </row>
    <row r="145" spans="1:23" hidden="1" x14ac:dyDescent="0.35">
      <c r="A145" s="57">
        <v>47</v>
      </c>
      <c r="B145" s="2">
        <f>Penghasilan!B127</f>
        <v>0</v>
      </c>
      <c r="C145" s="2" t="s">
        <v>101</v>
      </c>
      <c r="D145" s="11" t="s">
        <v>92</v>
      </c>
      <c r="E145" s="28" t="str">
        <f>'B.kriteria &amp; R.kecocokan'!$B$25</f>
        <v>Sedikit</v>
      </c>
      <c r="F145" s="9" t="str">
        <f>'B.kriteria &amp; R.kecocokan'!$B$34</f>
        <v>Tinggi</v>
      </c>
      <c r="G145" s="191" t="str">
        <f>'B.kriteria &amp; R.kecocokan'!$B$41</f>
        <v>Rendah</v>
      </c>
      <c r="H145" s="191" t="str">
        <f>'B.kriteria &amp; R.kecocokan'!$B$72</f>
        <v>Rendah</v>
      </c>
      <c r="I145" s="191" t="str">
        <f>'B.kriteria &amp; R.kecocokan'!$B$95</f>
        <v>Rendah</v>
      </c>
      <c r="J145" s="9" t="str">
        <f>'B.kriteria &amp; R.kecocokan'!$B$81</f>
        <v>Tinggi</v>
      </c>
      <c r="K145" s="9" t="str">
        <f>'B.kriteria &amp; R.kecocokan'!$B$90</f>
        <v>Sangat Sedikit</v>
      </c>
      <c r="L145" s="191" t="str">
        <f>'B.kriteria &amp; R.kecocokan'!$B$49</f>
        <v>Rendah</v>
      </c>
      <c r="M145" s="191" t="str">
        <f>'B.kriteria &amp; R.kecocokan'!$B$57</f>
        <v>Rendah</v>
      </c>
      <c r="N145" s="51" t="str">
        <f>'B.kriteria &amp; R.kecocokan'!$B$65</f>
        <v>Rendah</v>
      </c>
      <c r="O145" s="52" t="s">
        <v>347</v>
      </c>
    </row>
    <row r="146" spans="1:23" hidden="1" x14ac:dyDescent="0.35">
      <c r="A146" s="147">
        <v>48</v>
      </c>
      <c r="B146" s="2">
        <f>Penghasilan!B133</f>
        <v>0</v>
      </c>
      <c r="C146" s="2" t="s">
        <v>102</v>
      </c>
      <c r="D146" s="11" t="s">
        <v>95</v>
      </c>
      <c r="E146" s="32" t="str">
        <f>'B.kriteria &amp; R.kecocokan'!$B$24</f>
        <v>Cukup</v>
      </c>
      <c r="F146" s="9" t="str">
        <f>'B.kriteria &amp; R.kecocokan'!$B$34</f>
        <v>Tinggi</v>
      </c>
      <c r="G146" s="191" t="str">
        <f>'B.kriteria &amp; R.kecocokan'!$B$41</f>
        <v>Rendah</v>
      </c>
      <c r="H146" s="191" t="str">
        <f>'B.kriteria &amp; R.kecocokan'!$B$72</f>
        <v>Rendah</v>
      </c>
      <c r="I146" s="191" t="str">
        <f>'B.kriteria &amp; R.kecocokan'!$B$95</f>
        <v>Rendah</v>
      </c>
      <c r="J146" s="191" t="str">
        <f>'B.kriteria &amp; R.kecocokan'!$B$80</f>
        <v>Rendah</v>
      </c>
      <c r="K146" s="191" t="str">
        <f>'B.kriteria &amp; R.kecocokan'!$B$89</f>
        <v>Sedikit</v>
      </c>
      <c r="L146" s="191" t="str">
        <f>'B.kriteria &amp; R.kecocokan'!$B$49</f>
        <v>Rendah</v>
      </c>
      <c r="M146" s="191" t="str">
        <f>'B.kriteria &amp; R.kecocokan'!$B$57</f>
        <v>Rendah</v>
      </c>
      <c r="N146" s="51" t="str">
        <f>'B.kriteria &amp; R.kecocokan'!$B$65</f>
        <v>Rendah</v>
      </c>
      <c r="O146" s="52" t="s">
        <v>347</v>
      </c>
    </row>
    <row r="147" spans="1:23" hidden="1" x14ac:dyDescent="0.35">
      <c r="A147" s="147">
        <v>49</v>
      </c>
      <c r="B147" s="2">
        <f>Penghasilan!B132</f>
        <v>0</v>
      </c>
      <c r="C147" s="2" t="s">
        <v>104</v>
      </c>
      <c r="D147" s="11" t="s">
        <v>92</v>
      </c>
      <c r="E147" s="28" t="str">
        <f>'B.kriteria &amp; R.kecocokan'!$B$25</f>
        <v>Sedikit</v>
      </c>
      <c r="F147" s="9" t="str">
        <f>'B.kriteria &amp; R.kecocokan'!$B$35</f>
        <v>Sangat Tinggi</v>
      </c>
      <c r="G147" s="191" t="str">
        <f>'B.kriteria &amp; R.kecocokan'!$B$41</f>
        <v>Rendah</v>
      </c>
      <c r="H147" s="191" t="str">
        <f>'B.kriteria &amp; R.kecocokan'!$B$72</f>
        <v>Rendah</v>
      </c>
      <c r="I147" s="191" t="str">
        <f>'B.kriteria &amp; R.kecocokan'!$B$95</f>
        <v>Rendah</v>
      </c>
      <c r="J147" s="9" t="str">
        <f>'B.kriteria &amp; R.kecocokan'!$B$81</f>
        <v>Tinggi</v>
      </c>
      <c r="K147" s="9" t="str">
        <f>'B.kriteria &amp; R.kecocokan'!$B$90</f>
        <v>Sangat Sedikit</v>
      </c>
      <c r="L147" s="191" t="str">
        <f>'B.kriteria &amp; R.kecocokan'!$B$49</f>
        <v>Rendah</v>
      </c>
      <c r="M147" s="191" t="str">
        <f>'B.kriteria &amp; R.kecocokan'!$B$57</f>
        <v>Rendah</v>
      </c>
      <c r="N147" s="51" t="str">
        <f>'B.kriteria &amp; R.kecocokan'!$B$65</f>
        <v>Rendah</v>
      </c>
      <c r="O147" s="52" t="s">
        <v>349</v>
      </c>
    </row>
    <row r="148" spans="1:23" hidden="1" x14ac:dyDescent="0.35">
      <c r="A148" s="57">
        <v>50</v>
      </c>
      <c r="B148" s="2">
        <f>Penghasilan!B123</f>
        <v>0</v>
      </c>
      <c r="C148" s="2" t="s">
        <v>105</v>
      </c>
      <c r="D148" s="11" t="s">
        <v>92</v>
      </c>
      <c r="E148" s="28" t="str">
        <f>'B.kriteria &amp; R.kecocokan'!$B$25</f>
        <v>Sedikit</v>
      </c>
      <c r="F148" s="9" t="str">
        <f>'B.kriteria &amp; R.kecocokan'!$B$34</f>
        <v>Tinggi</v>
      </c>
      <c r="G148" s="191" t="str">
        <f>'B.kriteria &amp; R.kecocokan'!$B$41</f>
        <v>Rendah</v>
      </c>
      <c r="H148" s="191" t="str">
        <f>'B.kriteria &amp; R.kecocokan'!$B$72</f>
        <v>Rendah</v>
      </c>
      <c r="I148" s="191" t="str">
        <f>'B.kriteria &amp; R.kecocokan'!$B$95</f>
        <v>Rendah</v>
      </c>
      <c r="J148" s="191" t="str">
        <f>'B.kriteria &amp; R.kecocokan'!$B$80</f>
        <v>Rendah</v>
      </c>
      <c r="K148" s="9" t="str">
        <f>'B.kriteria &amp; R.kecocokan'!$B$88</f>
        <v>Sedang</v>
      </c>
      <c r="L148" s="9" t="str">
        <f>'B.kriteria &amp; R.kecocokan'!$B$50</f>
        <v>Sedang</v>
      </c>
      <c r="M148" s="9" t="str">
        <f>'B.kriteria &amp; R.kecocokan'!$B$59</f>
        <v>Tinggi</v>
      </c>
      <c r="N148" s="51" t="str">
        <f>'B.kriteria &amp; R.kecocokan'!$B$65</f>
        <v>Rendah</v>
      </c>
      <c r="O148" s="52" t="s">
        <v>349</v>
      </c>
    </row>
    <row r="149" spans="1:23" x14ac:dyDescent="0.35">
      <c r="A149" s="147">
        <v>51</v>
      </c>
      <c r="B149" s="2">
        <f>Penghasilan!B125</f>
        <v>0</v>
      </c>
      <c r="C149" s="2" t="s">
        <v>106</v>
      </c>
      <c r="D149" s="11" t="s">
        <v>92</v>
      </c>
      <c r="E149" s="28" t="str">
        <f>'B.kriteria &amp; R.kecocokan'!$B$25</f>
        <v>Sedikit</v>
      </c>
      <c r="F149" s="9" t="str">
        <f>'B.kriteria &amp; R.kecocokan'!$B$34</f>
        <v>Tinggi</v>
      </c>
      <c r="G149" s="191" t="str">
        <f>'B.kriteria &amp; R.kecocokan'!$B$41</f>
        <v>Rendah</v>
      </c>
      <c r="H149" s="191" t="str">
        <f>'B.kriteria &amp; R.kecocokan'!$B$72</f>
        <v>Rendah</v>
      </c>
      <c r="I149" s="191" t="str">
        <f>'B.kriteria &amp; R.kecocokan'!$B$95</f>
        <v>Rendah</v>
      </c>
      <c r="J149" s="191" t="str">
        <f>'B.kriteria &amp; R.kecocokan'!$B$80</f>
        <v>Rendah</v>
      </c>
      <c r="K149" s="9" t="str">
        <f>'B.kriteria &amp; R.kecocokan'!$B$88</f>
        <v>Sedang</v>
      </c>
      <c r="L149" s="191" t="str">
        <f>'B.kriteria &amp; R.kecocokan'!$B$49</f>
        <v>Rendah</v>
      </c>
      <c r="M149" s="9" t="str">
        <f>'B.kriteria &amp; R.kecocokan'!$B$58</f>
        <v>Sedang</v>
      </c>
      <c r="N149" s="51" t="str">
        <f>'B.kriteria &amp; R.kecocokan'!$B$65</f>
        <v>Rendah</v>
      </c>
      <c r="O149" s="52" t="s">
        <v>347</v>
      </c>
      <c r="Q149" t="s">
        <v>436</v>
      </c>
      <c r="W149" s="206">
        <f>$V$109-((S177/$S$109*V177)+(S181/$S$109*V181))</f>
        <v>0</v>
      </c>
    </row>
    <row r="150" spans="1:23" hidden="1" x14ac:dyDescent="0.35">
      <c r="A150" s="147">
        <v>52</v>
      </c>
      <c r="B150" s="2">
        <f>Penghasilan!B126</f>
        <v>0</v>
      </c>
      <c r="C150" s="2" t="s">
        <v>107</v>
      </c>
      <c r="D150" s="11" t="s">
        <v>92</v>
      </c>
      <c r="E150" s="28" t="str">
        <f>'B.kriteria &amp; R.kecocokan'!$B$25</f>
        <v>Sedikit</v>
      </c>
      <c r="F150" s="9" t="str">
        <f>'B.kriteria &amp; R.kecocokan'!$B$34</f>
        <v>Tinggi</v>
      </c>
      <c r="G150" s="191" t="str">
        <f>'B.kriteria &amp; R.kecocokan'!$B$41</f>
        <v>Rendah</v>
      </c>
      <c r="H150" s="191" t="str">
        <f>'B.kriteria &amp; R.kecocokan'!$B$72</f>
        <v>Rendah</v>
      </c>
      <c r="I150" s="191" t="str">
        <f>'B.kriteria &amp; R.kecocokan'!$B$95</f>
        <v>Rendah</v>
      </c>
      <c r="J150" s="191" t="str">
        <f>'B.kriteria &amp; R.kecocokan'!$B$80</f>
        <v>Rendah</v>
      </c>
      <c r="K150" s="191" t="str">
        <f>'B.kriteria &amp; R.kecocokan'!$B$89</f>
        <v>Sedikit</v>
      </c>
      <c r="L150" s="191" t="str">
        <f>'B.kriteria &amp; R.kecocokan'!$B$49</f>
        <v>Rendah</v>
      </c>
      <c r="M150" s="191" t="str">
        <f>'B.kriteria &amp; R.kecocokan'!$B$57</f>
        <v>Rendah</v>
      </c>
      <c r="N150" s="51" t="str">
        <f>'B.kriteria &amp; R.kecocokan'!$B$65</f>
        <v>Rendah</v>
      </c>
      <c r="O150" s="52" t="s">
        <v>347</v>
      </c>
    </row>
    <row r="151" spans="1:23" hidden="1" x14ac:dyDescent="0.35">
      <c r="A151" s="57">
        <v>53</v>
      </c>
      <c r="B151" s="2">
        <f>Penghasilan!B128</f>
        <v>0</v>
      </c>
      <c r="C151" s="2" t="s">
        <v>109</v>
      </c>
      <c r="D151" s="11" t="s">
        <v>95</v>
      </c>
      <c r="E151" s="9" t="str">
        <f>'B.kriteria &amp; R.kecocokan'!$B$23</f>
        <v>Banyak</v>
      </c>
      <c r="F151" s="9" t="str">
        <f>'B.kriteria &amp; R.kecocokan'!$B$34</f>
        <v>Tinggi</v>
      </c>
      <c r="G151" s="191" t="str">
        <f>'B.kriteria &amp; R.kecocokan'!$B$41</f>
        <v>Rendah</v>
      </c>
      <c r="H151" s="191" t="str">
        <f>'B.kriteria &amp; R.kecocokan'!$B$72</f>
        <v>Rendah</v>
      </c>
      <c r="I151" s="191" t="str">
        <f>'B.kriteria &amp; R.kecocokan'!$B$95</f>
        <v>Rendah</v>
      </c>
      <c r="J151" s="191" t="str">
        <f>'B.kriteria &amp; R.kecocokan'!$B$80</f>
        <v>Rendah</v>
      </c>
      <c r="K151" s="9" t="str">
        <f>'B.kriteria &amp; R.kecocokan'!$B$88</f>
        <v>Sedang</v>
      </c>
      <c r="L151" s="191" t="str">
        <f>'B.kriteria &amp; R.kecocokan'!$B$49</f>
        <v>Rendah</v>
      </c>
      <c r="M151" s="191" t="str">
        <f>'B.kriteria &amp; R.kecocokan'!$B$57</f>
        <v>Rendah</v>
      </c>
      <c r="N151" s="51" t="str">
        <f>'B.kriteria &amp; R.kecocokan'!$B$65</f>
        <v>Rendah</v>
      </c>
      <c r="O151" s="52" t="s">
        <v>347</v>
      </c>
    </row>
    <row r="152" spans="1:23" hidden="1" x14ac:dyDescent="0.35">
      <c r="A152" s="147">
        <v>54</v>
      </c>
      <c r="B152" s="2">
        <f>Penghasilan!B124</f>
        <v>0</v>
      </c>
      <c r="C152" s="2" t="s">
        <v>111</v>
      </c>
      <c r="D152" s="11" t="s">
        <v>92</v>
      </c>
      <c r="E152" s="9" t="str">
        <f>'B.kriteria &amp; R.kecocokan'!$B$23</f>
        <v>Banyak</v>
      </c>
      <c r="F152" s="9" t="str">
        <f>'B.kriteria &amp; R.kecocokan'!$B$34</f>
        <v>Tinggi</v>
      </c>
      <c r="G152" s="191" t="str">
        <f>'B.kriteria &amp; R.kecocokan'!$B$41</f>
        <v>Rendah</v>
      </c>
      <c r="H152" s="191" t="str">
        <f>'B.kriteria &amp; R.kecocokan'!$B$72</f>
        <v>Rendah</v>
      </c>
      <c r="I152" s="191" t="str">
        <f>'B.kriteria &amp; R.kecocokan'!$B$95</f>
        <v>Rendah</v>
      </c>
      <c r="J152" s="191" t="str">
        <f>'B.kriteria &amp; R.kecocokan'!$B$80</f>
        <v>Rendah</v>
      </c>
      <c r="K152" s="191" t="str">
        <f>'B.kriteria &amp; R.kecocokan'!$B$89</f>
        <v>Sedikit</v>
      </c>
      <c r="L152" s="191" t="str">
        <f>'B.kriteria &amp; R.kecocokan'!$B$49</f>
        <v>Rendah</v>
      </c>
      <c r="M152" s="191" t="str">
        <f>'B.kriteria &amp; R.kecocokan'!$B$57</f>
        <v>Rendah</v>
      </c>
      <c r="N152" s="51" t="str">
        <f>'B.kriteria &amp; R.kecocokan'!$B$65</f>
        <v>Rendah</v>
      </c>
      <c r="O152" s="52" t="s">
        <v>347</v>
      </c>
    </row>
    <row r="153" spans="1:23" hidden="1" x14ac:dyDescent="0.35">
      <c r="A153" s="147">
        <v>55</v>
      </c>
      <c r="B153" s="2">
        <f>Penghasilan!B136</f>
        <v>0</v>
      </c>
      <c r="C153" s="2" t="s">
        <v>113</v>
      </c>
      <c r="D153" s="11" t="s">
        <v>92</v>
      </c>
      <c r="E153" s="28" t="str">
        <f>'B.kriteria &amp; R.kecocokan'!$B$25</f>
        <v>Sedikit</v>
      </c>
      <c r="F153" s="9" t="str">
        <f>'B.kriteria &amp; R.kecocokan'!$B$34</f>
        <v>Tinggi</v>
      </c>
      <c r="G153" s="9" t="str">
        <f>'B.kriteria &amp; R.kecocokan'!$B$43</f>
        <v>Tinggi</v>
      </c>
      <c r="H153" s="191" t="str">
        <f>'B.kriteria &amp; R.kecocokan'!$B$72</f>
        <v>Rendah</v>
      </c>
      <c r="I153" s="191" t="str">
        <f>'B.kriteria &amp; R.kecocokan'!$B$95</f>
        <v>Rendah</v>
      </c>
      <c r="J153" s="191" t="str">
        <f>'B.kriteria &amp; R.kecocokan'!$B$80</f>
        <v>Rendah</v>
      </c>
      <c r="K153" s="191" t="str">
        <f>'B.kriteria &amp; R.kecocokan'!$B$89</f>
        <v>Sedikit</v>
      </c>
      <c r="L153" s="191" t="str">
        <f>'B.kriteria &amp; R.kecocokan'!$B$49</f>
        <v>Rendah</v>
      </c>
      <c r="M153" s="191" t="str">
        <f>'B.kriteria &amp; R.kecocokan'!$B$57</f>
        <v>Rendah</v>
      </c>
      <c r="N153" s="51" t="str">
        <f>'B.kriteria &amp; R.kecocokan'!$B$65</f>
        <v>Rendah</v>
      </c>
      <c r="O153" s="52" t="s">
        <v>347</v>
      </c>
    </row>
    <row r="154" spans="1:23" hidden="1" x14ac:dyDescent="0.35">
      <c r="A154" s="57">
        <v>56</v>
      </c>
      <c r="B154" s="2">
        <f>Penghasilan!B137</f>
        <v>0</v>
      </c>
      <c r="C154" s="2" t="s">
        <v>114</v>
      </c>
      <c r="D154" s="11" t="s">
        <v>95</v>
      </c>
      <c r="E154" s="9" t="str">
        <f>'B.kriteria &amp; R.kecocokan'!$B$23</f>
        <v>Banyak</v>
      </c>
      <c r="F154" s="9" t="str">
        <f>'B.kriteria &amp; R.kecocokan'!$B$34</f>
        <v>Tinggi</v>
      </c>
      <c r="G154" s="191" t="str">
        <f>'B.kriteria &amp; R.kecocokan'!$B$41</f>
        <v>Rendah</v>
      </c>
      <c r="H154" s="191" t="str">
        <f>'B.kriteria &amp; R.kecocokan'!$B$72</f>
        <v>Rendah</v>
      </c>
      <c r="I154" s="191" t="str">
        <f>'B.kriteria &amp; R.kecocokan'!$B$95</f>
        <v>Rendah</v>
      </c>
      <c r="J154" s="9" t="str">
        <f>'B.kriteria &amp; R.kecocokan'!$B$81</f>
        <v>Tinggi</v>
      </c>
      <c r="K154" s="9" t="str">
        <f>'B.kriteria &amp; R.kecocokan'!$B$90</f>
        <v>Sangat Sedikit</v>
      </c>
      <c r="L154" s="191" t="str">
        <f>'B.kriteria &amp; R.kecocokan'!$B$49</f>
        <v>Rendah</v>
      </c>
      <c r="M154" s="191" t="str">
        <f>'B.kriteria &amp; R.kecocokan'!$B$57</f>
        <v>Rendah</v>
      </c>
      <c r="N154" s="51" t="str">
        <f>'B.kriteria &amp; R.kecocokan'!$B$65</f>
        <v>Rendah</v>
      </c>
      <c r="O154" s="52" t="s">
        <v>347</v>
      </c>
    </row>
    <row r="155" spans="1:23" hidden="1" x14ac:dyDescent="0.35">
      <c r="A155" s="147">
        <v>57</v>
      </c>
      <c r="B155" s="2">
        <f>Penghasilan!B138</f>
        <v>0</v>
      </c>
      <c r="C155" s="2" t="s">
        <v>116</v>
      </c>
      <c r="D155" s="11" t="s">
        <v>92</v>
      </c>
      <c r="E155" s="9" t="str">
        <f>'B.kriteria &amp; R.kecocokan'!$B$23</f>
        <v>Banyak</v>
      </c>
      <c r="F155" s="9" t="str">
        <f>'B.kriteria &amp; R.kecocokan'!$B$34</f>
        <v>Tinggi</v>
      </c>
      <c r="G155" s="191" t="str">
        <f>'B.kriteria &amp; R.kecocokan'!$B$41</f>
        <v>Rendah</v>
      </c>
      <c r="H155" s="191" t="str">
        <f>'B.kriteria &amp; R.kecocokan'!$B$72</f>
        <v>Rendah</v>
      </c>
      <c r="I155" s="191" t="str">
        <f>'B.kriteria &amp; R.kecocokan'!$B$95</f>
        <v>Rendah</v>
      </c>
      <c r="J155" s="191" t="str">
        <f>'B.kriteria &amp; R.kecocokan'!$B$80</f>
        <v>Rendah</v>
      </c>
      <c r="K155" s="9" t="str">
        <f>'B.kriteria &amp; R.kecocokan'!$B$88</f>
        <v>Sedang</v>
      </c>
      <c r="L155" s="191" t="str">
        <f>'B.kriteria &amp; R.kecocokan'!$B$49</f>
        <v>Rendah</v>
      </c>
      <c r="M155" s="191" t="str">
        <f>'B.kriteria &amp; R.kecocokan'!$B$57</f>
        <v>Rendah</v>
      </c>
      <c r="N155" s="51" t="str">
        <f>'B.kriteria &amp; R.kecocokan'!$B$65</f>
        <v>Rendah</v>
      </c>
      <c r="O155" s="52" t="s">
        <v>347</v>
      </c>
    </row>
    <row r="156" spans="1:23" hidden="1" x14ac:dyDescent="0.35">
      <c r="A156" s="147">
        <v>58</v>
      </c>
      <c r="B156" s="2">
        <f>Penghasilan!B139</f>
        <v>0</v>
      </c>
      <c r="C156" s="2" t="s">
        <v>230</v>
      </c>
      <c r="D156" s="11" t="s">
        <v>92</v>
      </c>
      <c r="E156" s="28" t="str">
        <f>'B.kriteria &amp; R.kecocokan'!$B$25</f>
        <v>Sedikit</v>
      </c>
      <c r="F156" s="9" t="str">
        <f>'B.kriteria &amp; R.kecocokan'!$B$34</f>
        <v>Tinggi</v>
      </c>
      <c r="G156" s="191" t="str">
        <f>'B.kriteria &amp; R.kecocokan'!$B$41</f>
        <v>Rendah</v>
      </c>
      <c r="H156" s="191" t="str">
        <f>'B.kriteria &amp; R.kecocokan'!$B$72</f>
        <v>Rendah</v>
      </c>
      <c r="I156" s="191" t="str">
        <f>'B.kriteria &amp; R.kecocokan'!$B$95</f>
        <v>Rendah</v>
      </c>
      <c r="J156" s="191" t="str">
        <f>'B.kriteria &amp; R.kecocokan'!$B$80</f>
        <v>Rendah</v>
      </c>
      <c r="K156" s="9" t="str">
        <f>'B.kriteria &amp; R.kecocokan'!$B$88</f>
        <v>Sedang</v>
      </c>
      <c r="L156" s="191" t="str">
        <f>'B.kriteria &amp; R.kecocokan'!$B$49</f>
        <v>Rendah</v>
      </c>
      <c r="M156" s="191" t="str">
        <f>'B.kriteria &amp; R.kecocokan'!$B$57</f>
        <v>Rendah</v>
      </c>
      <c r="N156" s="51" t="str">
        <f>'B.kriteria &amp; R.kecocokan'!$B$65</f>
        <v>Rendah</v>
      </c>
      <c r="O156" s="52" t="s">
        <v>347</v>
      </c>
    </row>
    <row r="157" spans="1:23" hidden="1" x14ac:dyDescent="0.35">
      <c r="A157" s="57">
        <v>59</v>
      </c>
      <c r="B157" s="2">
        <f>Penghasilan!B140</f>
        <v>0</v>
      </c>
      <c r="C157" s="2" t="s">
        <v>118</v>
      </c>
      <c r="D157" s="11" t="s">
        <v>92</v>
      </c>
      <c r="E157" s="9" t="str">
        <f>'B.kriteria &amp; R.kecocokan'!$B$23</f>
        <v>Banyak</v>
      </c>
      <c r="F157" s="9" t="str">
        <f>'B.kriteria &amp; R.kecocokan'!$B$34</f>
        <v>Tinggi</v>
      </c>
      <c r="G157" s="191" t="str">
        <f>'B.kriteria &amp; R.kecocokan'!$B$41</f>
        <v>Rendah</v>
      </c>
      <c r="H157" s="191" t="str">
        <f>'B.kriteria &amp; R.kecocokan'!$B$72</f>
        <v>Rendah</v>
      </c>
      <c r="I157" s="191" t="str">
        <f>'B.kriteria &amp; R.kecocokan'!$B$95</f>
        <v>Rendah</v>
      </c>
      <c r="J157" s="191" t="str">
        <f>'B.kriteria &amp; R.kecocokan'!$B$80</f>
        <v>Rendah</v>
      </c>
      <c r="K157" s="9" t="str">
        <f>'B.kriteria &amp; R.kecocokan'!$B$90</f>
        <v>Sangat Sedikit</v>
      </c>
      <c r="L157" s="191" t="str">
        <f>'B.kriteria &amp; R.kecocokan'!$B$49</f>
        <v>Rendah</v>
      </c>
      <c r="M157" s="191" t="str">
        <f>'B.kriteria &amp; R.kecocokan'!$B$57</f>
        <v>Rendah</v>
      </c>
      <c r="N157" s="51" t="str">
        <f>'B.kriteria &amp; R.kecocokan'!$B$65</f>
        <v>Rendah</v>
      </c>
      <c r="O157" s="52" t="s">
        <v>347</v>
      </c>
    </row>
    <row r="158" spans="1:23" hidden="1" x14ac:dyDescent="0.35">
      <c r="A158" s="147">
        <v>60</v>
      </c>
      <c r="B158" s="2">
        <f>Penghasilan!B141</f>
        <v>0</v>
      </c>
      <c r="C158" s="2" t="s">
        <v>203</v>
      </c>
      <c r="D158" s="11" t="s">
        <v>95</v>
      </c>
      <c r="E158" s="28" t="str">
        <f>'B.kriteria &amp; R.kecocokan'!$B$25</f>
        <v>Sedikit</v>
      </c>
      <c r="F158" s="9" t="str">
        <f>'B.kriteria &amp; R.kecocokan'!$B$34</f>
        <v>Tinggi</v>
      </c>
      <c r="G158" s="191" t="str">
        <f>'B.kriteria &amp; R.kecocokan'!$B$41</f>
        <v>Rendah</v>
      </c>
      <c r="H158" s="191" t="str">
        <f>'B.kriteria &amp; R.kecocokan'!$B$72</f>
        <v>Rendah</v>
      </c>
      <c r="I158" s="191" t="str">
        <f>'B.kriteria &amp; R.kecocokan'!$B$95</f>
        <v>Rendah</v>
      </c>
      <c r="J158" s="9" t="str">
        <f>'B.kriteria &amp; R.kecocokan'!$B$81</f>
        <v>Tinggi</v>
      </c>
      <c r="K158" s="9" t="str">
        <f>'B.kriteria &amp; R.kecocokan'!$B$90</f>
        <v>Sangat Sedikit</v>
      </c>
      <c r="L158" s="191" t="str">
        <f>'B.kriteria &amp; R.kecocokan'!$B$49</f>
        <v>Rendah</v>
      </c>
      <c r="M158" s="191" t="str">
        <f>'B.kriteria &amp; R.kecocokan'!$B$57</f>
        <v>Rendah</v>
      </c>
      <c r="N158" s="51" t="str">
        <f>'B.kriteria &amp; R.kecocokan'!$B$65</f>
        <v>Rendah</v>
      </c>
      <c r="O158" s="52" t="s">
        <v>347</v>
      </c>
    </row>
    <row r="159" spans="1:23" hidden="1" x14ac:dyDescent="0.35">
      <c r="A159" s="147">
        <v>61</v>
      </c>
      <c r="B159" s="2" t="str">
        <f>Penghasilan!B101</f>
        <v>3523151604600002</v>
      </c>
      <c r="C159" s="2" t="s">
        <v>123</v>
      </c>
      <c r="D159" s="11" t="s">
        <v>95</v>
      </c>
      <c r="E159" s="28" t="str">
        <f>'B.kriteria &amp; R.kecocokan'!$B$25</f>
        <v>Sedikit</v>
      </c>
      <c r="F159" s="9" t="str">
        <f>'B.kriteria &amp; R.kecocokan'!$B$34</f>
        <v>Tinggi</v>
      </c>
      <c r="G159" s="191" t="str">
        <f>'B.kriteria &amp; R.kecocokan'!$B$41</f>
        <v>Rendah</v>
      </c>
      <c r="H159" s="191" t="str">
        <f>'B.kriteria &amp; R.kecocokan'!$B$72</f>
        <v>Rendah</v>
      </c>
      <c r="I159" s="191" t="str">
        <f>'B.kriteria &amp; R.kecocokan'!$B$95</f>
        <v>Rendah</v>
      </c>
      <c r="J159" s="191" t="str">
        <f>'B.kriteria &amp; R.kecocokan'!$B$80</f>
        <v>Rendah</v>
      </c>
      <c r="K159" s="191" t="str">
        <f>'B.kriteria &amp; R.kecocokan'!$B$89</f>
        <v>Sedikit</v>
      </c>
      <c r="L159" s="191" t="str">
        <f>'B.kriteria &amp; R.kecocokan'!$B$49</f>
        <v>Rendah</v>
      </c>
      <c r="M159" s="191" t="str">
        <f>'B.kriteria &amp; R.kecocokan'!$B$57</f>
        <v>Rendah</v>
      </c>
      <c r="N159" s="51" t="str">
        <f>'B.kriteria &amp; R.kecocokan'!$B$65</f>
        <v>Rendah</v>
      </c>
      <c r="O159" s="52" t="s">
        <v>347</v>
      </c>
    </row>
    <row r="160" spans="1:23" hidden="1" x14ac:dyDescent="0.35">
      <c r="A160" s="57">
        <v>62</v>
      </c>
      <c r="B160" s="2">
        <f>Penghasilan!B142</f>
        <v>0</v>
      </c>
      <c r="C160" s="2" t="s">
        <v>233</v>
      </c>
      <c r="D160" s="11" t="s">
        <v>95</v>
      </c>
      <c r="E160" s="28" t="str">
        <f>'B.kriteria &amp; R.kecocokan'!$B$25</f>
        <v>Sedikit</v>
      </c>
      <c r="F160" s="9" t="str">
        <f>'B.kriteria &amp; R.kecocokan'!$B$34</f>
        <v>Tinggi</v>
      </c>
      <c r="G160" s="191" t="str">
        <f>'B.kriteria &amp; R.kecocokan'!$B$41</f>
        <v>Rendah</v>
      </c>
      <c r="H160" s="191" t="str">
        <f>'B.kriteria &amp; R.kecocokan'!$B$72</f>
        <v>Rendah</v>
      </c>
      <c r="I160" s="191" t="str">
        <f>'B.kriteria &amp; R.kecocokan'!$B$95</f>
        <v>Rendah</v>
      </c>
      <c r="J160" s="9" t="str">
        <f>'B.kriteria &amp; R.kecocokan'!$B$81</f>
        <v>Tinggi</v>
      </c>
      <c r="K160" s="9" t="str">
        <f>'B.kriteria &amp; R.kecocokan'!$B$90</f>
        <v>Sangat Sedikit</v>
      </c>
      <c r="L160" s="191" t="str">
        <f>'B.kriteria &amp; R.kecocokan'!$B$49</f>
        <v>Rendah</v>
      </c>
      <c r="M160" s="191" t="str">
        <f>'B.kriteria &amp; R.kecocokan'!$B$57</f>
        <v>Rendah</v>
      </c>
      <c r="N160" s="51" t="str">
        <f>'B.kriteria &amp; R.kecocokan'!$B$65</f>
        <v>Rendah</v>
      </c>
      <c r="O160" s="52" t="s">
        <v>349</v>
      </c>
    </row>
    <row r="161" spans="1:15" hidden="1" x14ac:dyDescent="0.35">
      <c r="A161" s="147">
        <v>63</v>
      </c>
      <c r="B161" s="2">
        <f>Penghasilan!B145</f>
        <v>0</v>
      </c>
      <c r="C161" s="2" t="s">
        <v>211</v>
      </c>
      <c r="D161" s="11" t="s">
        <v>95</v>
      </c>
      <c r="E161" s="9" t="str">
        <f>'B.kriteria &amp; R.kecocokan'!$B$23</f>
        <v>Banyak</v>
      </c>
      <c r="F161" s="9" t="str">
        <f>'B.kriteria &amp; R.kecocokan'!$B$34</f>
        <v>Tinggi</v>
      </c>
      <c r="G161" s="191" t="str">
        <f>'B.kriteria &amp; R.kecocokan'!$B$41</f>
        <v>Rendah</v>
      </c>
      <c r="H161" s="191" t="str">
        <f>'B.kriteria &amp; R.kecocokan'!$B$72</f>
        <v>Rendah</v>
      </c>
      <c r="I161" s="191" t="str">
        <f>'B.kriteria &amp; R.kecocokan'!$B$95</f>
        <v>Rendah</v>
      </c>
      <c r="J161" s="9" t="str">
        <f>'B.kriteria &amp; R.kecocokan'!$B$81</f>
        <v>Tinggi</v>
      </c>
      <c r="K161" s="9" t="str">
        <f>'B.kriteria &amp; R.kecocokan'!$B$90</f>
        <v>Sangat Sedikit</v>
      </c>
      <c r="L161" s="191" t="str">
        <f>'B.kriteria &amp; R.kecocokan'!$B$49</f>
        <v>Rendah</v>
      </c>
      <c r="M161" s="191" t="str">
        <f>'B.kriteria &amp; R.kecocokan'!$B$57</f>
        <v>Rendah</v>
      </c>
      <c r="N161" s="51" t="str">
        <f>'B.kriteria &amp; R.kecocokan'!$B$65</f>
        <v>Rendah</v>
      </c>
      <c r="O161" s="52" t="s">
        <v>347</v>
      </c>
    </row>
    <row r="162" spans="1:15" hidden="1" x14ac:dyDescent="0.35">
      <c r="A162" s="147">
        <v>64</v>
      </c>
      <c r="B162" s="2">
        <f>Penghasilan!B143</f>
        <v>0</v>
      </c>
      <c r="C162" s="2" t="s">
        <v>207</v>
      </c>
      <c r="D162" s="11" t="s">
        <v>235</v>
      </c>
      <c r="E162" s="28" t="str">
        <f>'B.kriteria &amp; R.kecocokan'!$B$25</f>
        <v>Sedikit</v>
      </c>
      <c r="F162" s="9" t="str">
        <f>'B.kriteria &amp; R.kecocokan'!$B$34</f>
        <v>Tinggi</v>
      </c>
      <c r="G162" s="191" t="str">
        <f>'B.kriteria &amp; R.kecocokan'!$B$41</f>
        <v>Rendah</v>
      </c>
      <c r="H162" s="191" t="str">
        <f>'B.kriteria &amp; R.kecocokan'!$B$72</f>
        <v>Rendah</v>
      </c>
      <c r="I162" s="191" t="str">
        <f>'B.kriteria &amp; R.kecocokan'!$B$95</f>
        <v>Rendah</v>
      </c>
      <c r="J162" s="9" t="str">
        <f>'B.kriteria &amp; R.kecocokan'!$B$81</f>
        <v>Tinggi</v>
      </c>
      <c r="K162" s="9" t="str">
        <f>'B.kriteria &amp; R.kecocokan'!$B$90</f>
        <v>Sangat Sedikit</v>
      </c>
      <c r="L162" s="191" t="str">
        <f>'B.kriteria &amp; R.kecocokan'!$B$49</f>
        <v>Rendah</v>
      </c>
      <c r="M162" s="191" t="str">
        <f>'B.kriteria &amp; R.kecocokan'!$B$57</f>
        <v>Rendah</v>
      </c>
      <c r="N162" s="51" t="str">
        <f>'B.kriteria &amp; R.kecocokan'!$B$65</f>
        <v>Rendah</v>
      </c>
      <c r="O162" s="52" t="s">
        <v>347</v>
      </c>
    </row>
    <row r="163" spans="1:15" hidden="1" x14ac:dyDescent="0.35">
      <c r="A163" s="57">
        <v>65</v>
      </c>
      <c r="B163" s="2">
        <f>Penghasilan!B144</f>
        <v>0</v>
      </c>
      <c r="C163" s="2" t="s">
        <v>209</v>
      </c>
      <c r="D163" s="11" t="s">
        <v>95</v>
      </c>
      <c r="E163" s="9" t="str">
        <f>'B.kriteria &amp; R.kecocokan'!$B$23</f>
        <v>Banyak</v>
      </c>
      <c r="F163" s="9" t="str">
        <f>'B.kriteria &amp; R.kecocokan'!$B$34</f>
        <v>Tinggi</v>
      </c>
      <c r="G163" s="191" t="str">
        <f>'B.kriteria &amp; R.kecocokan'!$B$41</f>
        <v>Rendah</v>
      </c>
      <c r="H163" s="191" t="str">
        <f>'B.kriteria &amp; R.kecocokan'!$B$72</f>
        <v>Rendah</v>
      </c>
      <c r="I163" s="191" t="str">
        <f>'B.kriteria &amp; R.kecocokan'!$B$95</f>
        <v>Rendah</v>
      </c>
      <c r="J163" s="191" t="str">
        <f>'B.kriteria &amp; R.kecocokan'!$B$80</f>
        <v>Rendah</v>
      </c>
      <c r="K163" s="191" t="str">
        <f>'B.kriteria &amp; R.kecocokan'!$B$89</f>
        <v>Sedikit</v>
      </c>
      <c r="L163" s="191" t="str">
        <f>'B.kriteria &amp; R.kecocokan'!$B$49</f>
        <v>Rendah</v>
      </c>
      <c r="M163" s="191" t="str">
        <f>'B.kriteria &amp; R.kecocokan'!$B$57</f>
        <v>Rendah</v>
      </c>
      <c r="N163" s="51" t="str">
        <f>'B.kriteria &amp; R.kecocokan'!$B$65</f>
        <v>Rendah</v>
      </c>
      <c r="O163" s="52" t="s">
        <v>347</v>
      </c>
    </row>
    <row r="164" spans="1:15" hidden="1" x14ac:dyDescent="0.35">
      <c r="A164" s="147">
        <v>66</v>
      </c>
      <c r="B164" s="2">
        <f>Penghasilan!B146</f>
        <v>0</v>
      </c>
      <c r="C164" s="2" t="s">
        <v>213</v>
      </c>
      <c r="D164" s="11" t="s">
        <v>95</v>
      </c>
      <c r="E164" s="9" t="str">
        <f>'B.kriteria &amp; R.kecocokan'!$B$23</f>
        <v>Banyak</v>
      </c>
      <c r="F164" s="9" t="str">
        <f>'B.kriteria &amp; R.kecocokan'!$B$34</f>
        <v>Tinggi</v>
      </c>
      <c r="G164" s="191" t="str">
        <f>'B.kriteria &amp; R.kecocokan'!$B$41</f>
        <v>Rendah</v>
      </c>
      <c r="H164" s="191" t="str">
        <f>'B.kriteria &amp; R.kecocokan'!$B$72</f>
        <v>Rendah</v>
      </c>
      <c r="I164" s="191" t="str">
        <f>'B.kriteria &amp; R.kecocokan'!$B$95</f>
        <v>Rendah</v>
      </c>
      <c r="J164" s="191" t="str">
        <f>'B.kriteria &amp; R.kecocokan'!$B$80</f>
        <v>Rendah</v>
      </c>
      <c r="K164" s="191" t="str">
        <f>'B.kriteria &amp; R.kecocokan'!$B$89</f>
        <v>Sedikit</v>
      </c>
      <c r="L164" s="191" t="str">
        <f>'B.kriteria &amp; R.kecocokan'!$B$49</f>
        <v>Rendah</v>
      </c>
      <c r="M164" s="191" t="str">
        <f>'B.kriteria &amp; R.kecocokan'!$B$57</f>
        <v>Rendah</v>
      </c>
      <c r="N164" s="51" t="str">
        <f>'B.kriteria &amp; R.kecocokan'!$B$65</f>
        <v>Rendah</v>
      </c>
      <c r="O164" s="52" t="s">
        <v>347</v>
      </c>
    </row>
    <row r="165" spans="1:15" hidden="1" x14ac:dyDescent="0.35">
      <c r="A165" s="147">
        <v>67</v>
      </c>
      <c r="B165" s="2">
        <f>Penghasilan!B147</f>
        <v>0</v>
      </c>
      <c r="C165" s="2" t="s">
        <v>215</v>
      </c>
      <c r="D165" s="11" t="s">
        <v>95</v>
      </c>
      <c r="E165" s="32" t="str">
        <f>'B.kriteria &amp; R.kecocokan'!$B$24</f>
        <v>Cukup</v>
      </c>
      <c r="F165" s="9" t="str">
        <f>'B.kriteria &amp; R.kecocokan'!$B$34</f>
        <v>Tinggi</v>
      </c>
      <c r="G165" s="191" t="str">
        <f>'B.kriteria &amp; R.kecocokan'!$B$41</f>
        <v>Rendah</v>
      </c>
      <c r="H165" s="191" t="str">
        <f>'B.kriteria &amp; R.kecocokan'!$B$72</f>
        <v>Rendah</v>
      </c>
      <c r="I165" s="191" t="str">
        <f>'B.kriteria &amp; R.kecocokan'!$B$95</f>
        <v>Rendah</v>
      </c>
      <c r="J165" s="191" t="str">
        <f>'B.kriteria &amp; R.kecocokan'!$B$80</f>
        <v>Rendah</v>
      </c>
      <c r="K165" s="191" t="str">
        <f>'B.kriteria &amp; R.kecocokan'!$B$89</f>
        <v>Sedikit</v>
      </c>
      <c r="L165" s="191" t="str">
        <f>'B.kriteria &amp; R.kecocokan'!$B$49</f>
        <v>Rendah</v>
      </c>
      <c r="M165" s="191" t="str">
        <f>'B.kriteria &amp; R.kecocokan'!$B$57</f>
        <v>Rendah</v>
      </c>
      <c r="N165" s="51" t="str">
        <f>'B.kriteria &amp; R.kecocokan'!$B$65</f>
        <v>Rendah</v>
      </c>
      <c r="O165" s="52" t="s">
        <v>347</v>
      </c>
    </row>
    <row r="166" spans="1:15" hidden="1" x14ac:dyDescent="0.35">
      <c r="A166" s="57">
        <v>68</v>
      </c>
      <c r="B166" s="2">
        <f>Penghasilan!B148</f>
        <v>0</v>
      </c>
      <c r="C166" s="2" t="s">
        <v>239</v>
      </c>
      <c r="D166" s="11" t="s">
        <v>92</v>
      </c>
      <c r="E166" s="32" t="str">
        <f>'B.kriteria &amp; R.kecocokan'!$B$24</f>
        <v>Cukup</v>
      </c>
      <c r="F166" s="9" t="str">
        <f>'B.kriteria &amp; R.kecocokan'!$B$34</f>
        <v>Tinggi</v>
      </c>
      <c r="G166" s="191" t="str">
        <f>'B.kriteria &amp; R.kecocokan'!$B$41</f>
        <v>Rendah</v>
      </c>
      <c r="H166" s="191" t="str">
        <f>'B.kriteria &amp; R.kecocokan'!$B$72</f>
        <v>Rendah</v>
      </c>
      <c r="I166" s="191" t="str">
        <f>'B.kriteria &amp; R.kecocokan'!$B$95</f>
        <v>Rendah</v>
      </c>
      <c r="J166" s="191" t="str">
        <f>'B.kriteria &amp; R.kecocokan'!$B$80</f>
        <v>Rendah</v>
      </c>
      <c r="K166" s="191" t="str">
        <f>'B.kriteria &amp; R.kecocokan'!$B$89</f>
        <v>Sedikit</v>
      </c>
      <c r="L166" s="191" t="str">
        <f>'B.kriteria &amp; R.kecocokan'!$B$49</f>
        <v>Rendah</v>
      </c>
      <c r="M166" s="191" t="str">
        <f>'B.kriteria &amp; R.kecocokan'!$B$57</f>
        <v>Rendah</v>
      </c>
      <c r="N166" s="51" t="str">
        <f>'B.kriteria &amp; R.kecocokan'!$B$65</f>
        <v>Rendah</v>
      </c>
      <c r="O166" s="52" t="s">
        <v>347</v>
      </c>
    </row>
    <row r="167" spans="1:15" hidden="1" x14ac:dyDescent="0.35">
      <c r="A167" s="147">
        <v>69</v>
      </c>
      <c r="B167" s="2">
        <f>Penghasilan!B150</f>
        <v>0</v>
      </c>
      <c r="C167" s="2" t="s">
        <v>221</v>
      </c>
      <c r="D167" s="11" t="s">
        <v>240</v>
      </c>
      <c r="E167" s="28" t="str">
        <f>'B.kriteria &amp; R.kecocokan'!$B$25</f>
        <v>Sedikit</v>
      </c>
      <c r="F167" s="9" t="str">
        <f>'B.kriteria &amp; R.kecocokan'!$B$34</f>
        <v>Tinggi</v>
      </c>
      <c r="G167" s="191" t="str">
        <f>'B.kriteria &amp; R.kecocokan'!$B$41</f>
        <v>Rendah</v>
      </c>
      <c r="H167" s="191" t="str">
        <f>'B.kriteria &amp; R.kecocokan'!$B$72</f>
        <v>Rendah</v>
      </c>
      <c r="I167" s="191" t="str">
        <f>'B.kriteria &amp; R.kecocokan'!$B$95</f>
        <v>Rendah</v>
      </c>
      <c r="J167" s="9" t="str">
        <f>'B.kriteria &amp; R.kecocokan'!$B$81</f>
        <v>Tinggi</v>
      </c>
      <c r="K167" s="9" t="str">
        <f>'B.kriteria &amp; R.kecocokan'!$B$90</f>
        <v>Sangat Sedikit</v>
      </c>
      <c r="L167" s="191" t="str">
        <f>'B.kriteria &amp; R.kecocokan'!$B$49</f>
        <v>Rendah</v>
      </c>
      <c r="M167" s="191" t="str">
        <f>'B.kriteria &amp; R.kecocokan'!$B$57</f>
        <v>Rendah</v>
      </c>
      <c r="N167" s="51" t="str">
        <f>'B.kriteria &amp; R.kecocokan'!$B$65</f>
        <v>Rendah</v>
      </c>
      <c r="O167" s="52" t="s">
        <v>347</v>
      </c>
    </row>
    <row r="168" spans="1:15" hidden="1" x14ac:dyDescent="0.35">
      <c r="A168" s="147">
        <v>70</v>
      </c>
      <c r="B168" s="2">
        <f>Penghasilan!B149</f>
        <v>0</v>
      </c>
      <c r="C168" s="2" t="s">
        <v>219</v>
      </c>
      <c r="D168" s="11" t="s">
        <v>95</v>
      </c>
      <c r="E168" s="9" t="str">
        <f>'B.kriteria &amp; R.kecocokan'!$B$23</f>
        <v>Banyak</v>
      </c>
      <c r="F168" s="9" t="str">
        <f>'B.kriteria &amp; R.kecocokan'!$B$34</f>
        <v>Tinggi</v>
      </c>
      <c r="G168" s="191" t="str">
        <f>'B.kriteria &amp; R.kecocokan'!$B$41</f>
        <v>Rendah</v>
      </c>
      <c r="H168" s="191" t="str">
        <f>'B.kriteria &amp; R.kecocokan'!$B$72</f>
        <v>Rendah</v>
      </c>
      <c r="I168" s="191" t="str">
        <f>'B.kriteria &amp; R.kecocokan'!$B$95</f>
        <v>Rendah</v>
      </c>
      <c r="J168" s="191" t="str">
        <f>'B.kriteria &amp; R.kecocokan'!$B$80</f>
        <v>Rendah</v>
      </c>
      <c r="K168" s="9" t="str">
        <f>'B.kriteria &amp; R.kecocokan'!$B$88</f>
        <v>Sedang</v>
      </c>
      <c r="L168" s="191" t="str">
        <f>'B.kriteria &amp; R.kecocokan'!$B$49</f>
        <v>Rendah</v>
      </c>
      <c r="M168" s="191" t="str">
        <f>'B.kriteria &amp; R.kecocokan'!$B$57</f>
        <v>Rendah</v>
      </c>
      <c r="N168" s="51" t="str">
        <f>'B.kriteria &amp; R.kecocokan'!$B$65</f>
        <v>Rendah</v>
      </c>
      <c r="O168" s="52" t="s">
        <v>347</v>
      </c>
    </row>
    <row r="169" spans="1:15" hidden="1" x14ac:dyDescent="0.35">
      <c r="A169" s="57">
        <v>71</v>
      </c>
      <c r="B169" s="2">
        <f>Penghasilan!B151</f>
        <v>0</v>
      </c>
      <c r="C169" s="2" t="s">
        <v>241</v>
      </c>
      <c r="D169" s="11" t="s">
        <v>95</v>
      </c>
      <c r="E169" s="9" t="str">
        <f>'B.kriteria &amp; R.kecocokan'!$B$23</f>
        <v>Banyak</v>
      </c>
      <c r="F169" s="9" t="str">
        <f>'B.kriteria &amp; R.kecocokan'!$B$34</f>
        <v>Tinggi</v>
      </c>
      <c r="G169" s="191" t="str">
        <f>'B.kriteria &amp; R.kecocokan'!$B$41</f>
        <v>Rendah</v>
      </c>
      <c r="H169" s="191" t="str">
        <f>'B.kriteria &amp; R.kecocokan'!$B$72</f>
        <v>Rendah</v>
      </c>
      <c r="I169" s="191" t="str">
        <f>'B.kriteria &amp; R.kecocokan'!$B$95</f>
        <v>Rendah</v>
      </c>
      <c r="J169" s="191" t="str">
        <f>'B.kriteria &amp; R.kecocokan'!$B$80</f>
        <v>Rendah</v>
      </c>
      <c r="K169" s="9" t="str">
        <f>'B.kriteria &amp; R.kecocokan'!$B$88</f>
        <v>Sedang</v>
      </c>
      <c r="L169" s="191" t="str">
        <f>'B.kriteria &amp; R.kecocokan'!$B$49</f>
        <v>Rendah</v>
      </c>
      <c r="M169" s="191" t="str">
        <f>'B.kriteria &amp; R.kecocokan'!$B$57</f>
        <v>Rendah</v>
      </c>
      <c r="N169" s="51" t="str">
        <f>'B.kriteria &amp; R.kecocokan'!$B$65</f>
        <v>Rendah</v>
      </c>
      <c r="O169" s="52" t="s">
        <v>347</v>
      </c>
    </row>
    <row r="170" spans="1:15" hidden="1" x14ac:dyDescent="0.35">
      <c r="A170" s="147">
        <v>72</v>
      </c>
      <c r="B170" s="2">
        <f>Penghasilan!B152</f>
        <v>0</v>
      </c>
      <c r="C170" s="2" t="s">
        <v>225</v>
      </c>
      <c r="D170" s="11" t="s">
        <v>95</v>
      </c>
      <c r="E170" s="9" t="str">
        <f>'B.kriteria &amp; R.kecocokan'!$B$23</f>
        <v>Banyak</v>
      </c>
      <c r="F170" s="9" t="str">
        <f>'B.kriteria &amp; R.kecocokan'!$B$34</f>
        <v>Tinggi</v>
      </c>
      <c r="G170" s="191" t="str">
        <f>'B.kriteria &amp; R.kecocokan'!$B$41</f>
        <v>Rendah</v>
      </c>
      <c r="H170" s="191" t="str">
        <f>'B.kriteria &amp; R.kecocokan'!$B$72</f>
        <v>Rendah</v>
      </c>
      <c r="I170" s="191" t="str">
        <f>'B.kriteria &amp; R.kecocokan'!$B$95</f>
        <v>Rendah</v>
      </c>
      <c r="J170" s="9" t="str">
        <f>'B.kriteria &amp; R.kecocokan'!$B$81</f>
        <v>Tinggi</v>
      </c>
      <c r="K170" s="9" t="str">
        <f>'B.kriteria &amp; R.kecocokan'!$B$90</f>
        <v>Sangat Sedikit</v>
      </c>
      <c r="L170" s="191" t="str">
        <f>'B.kriteria &amp; R.kecocokan'!$B$49</f>
        <v>Rendah</v>
      </c>
      <c r="M170" s="191" t="str">
        <f>'B.kriteria &amp; R.kecocokan'!$B$57</f>
        <v>Rendah</v>
      </c>
      <c r="N170" s="51" t="str">
        <f>'B.kriteria &amp; R.kecocokan'!$B$65</f>
        <v>Rendah</v>
      </c>
      <c r="O170" s="52" t="s">
        <v>347</v>
      </c>
    </row>
    <row r="171" spans="1:15" hidden="1" x14ac:dyDescent="0.35">
      <c r="A171" s="147">
        <v>73</v>
      </c>
      <c r="B171" s="2">
        <f>Penghasilan!B153</f>
        <v>0</v>
      </c>
      <c r="C171" s="2" t="s">
        <v>227</v>
      </c>
      <c r="D171" s="11" t="s">
        <v>95</v>
      </c>
      <c r="E171" s="9" t="str">
        <f>'B.kriteria &amp; R.kecocokan'!$B$23</f>
        <v>Banyak</v>
      </c>
      <c r="F171" s="9" t="str">
        <f>'B.kriteria &amp; R.kecocokan'!$B$35</f>
        <v>Sangat Tinggi</v>
      </c>
      <c r="G171" s="191" t="str">
        <f>'B.kriteria &amp; R.kecocokan'!$B$41</f>
        <v>Rendah</v>
      </c>
      <c r="H171" s="191" t="str">
        <f>'B.kriteria &amp; R.kecocokan'!$B$72</f>
        <v>Rendah</v>
      </c>
      <c r="I171" s="191" t="str">
        <f>'B.kriteria &amp; R.kecocokan'!$B$95</f>
        <v>Rendah</v>
      </c>
      <c r="J171" s="191" t="str">
        <f>'B.kriteria &amp; R.kecocokan'!$B$80</f>
        <v>Rendah</v>
      </c>
      <c r="K171" s="9" t="str">
        <f>'B.kriteria &amp; R.kecocokan'!$B$90</f>
        <v>Sangat Sedikit</v>
      </c>
      <c r="L171" s="9" t="str">
        <f>'B.kriteria &amp; R.kecocokan'!$B$51</f>
        <v>Tinggi</v>
      </c>
      <c r="M171" s="191" t="str">
        <f>'B.kriteria &amp; R.kecocokan'!$B$57</f>
        <v>Rendah</v>
      </c>
      <c r="N171" s="51" t="str">
        <f>'B.kriteria &amp; R.kecocokan'!$B$65</f>
        <v>Rendah</v>
      </c>
      <c r="O171" s="52" t="s">
        <v>347</v>
      </c>
    </row>
    <row r="172" spans="1:15" hidden="1" x14ac:dyDescent="0.35">
      <c r="A172" s="57">
        <v>74</v>
      </c>
      <c r="B172" s="2">
        <f>Penghasilan!B154</f>
        <v>0</v>
      </c>
      <c r="C172" s="2" t="s">
        <v>245</v>
      </c>
      <c r="D172" s="11" t="s">
        <v>95</v>
      </c>
      <c r="E172" s="32" t="str">
        <f>'B.kriteria &amp; R.kecocokan'!$B$24</f>
        <v>Cukup</v>
      </c>
      <c r="F172" s="9" t="str">
        <f>'B.kriteria &amp; R.kecocokan'!$B$34</f>
        <v>Tinggi</v>
      </c>
      <c r="G172" s="191" t="str">
        <f>'B.kriteria &amp; R.kecocokan'!$B$41</f>
        <v>Rendah</v>
      </c>
      <c r="H172" s="191" t="str">
        <f>'B.kriteria &amp; R.kecocokan'!$B$72</f>
        <v>Rendah</v>
      </c>
      <c r="I172" s="191" t="str">
        <f>'B.kriteria &amp; R.kecocokan'!$B$95</f>
        <v>Rendah</v>
      </c>
      <c r="J172" s="191" t="str">
        <f>'B.kriteria &amp; R.kecocokan'!$B$80</f>
        <v>Rendah</v>
      </c>
      <c r="K172" s="191" t="str">
        <f>'B.kriteria &amp; R.kecocokan'!$B$89</f>
        <v>Sedikit</v>
      </c>
      <c r="L172" s="191" t="str">
        <f>'B.kriteria &amp; R.kecocokan'!$B$49</f>
        <v>Rendah</v>
      </c>
      <c r="M172" s="191" t="str">
        <f>'B.kriteria &amp; R.kecocokan'!$B$57</f>
        <v>Rendah</v>
      </c>
      <c r="N172" s="51" t="str">
        <f>'B.kriteria &amp; R.kecocokan'!$B$65</f>
        <v>Rendah</v>
      </c>
      <c r="O172" s="52" t="s">
        <v>347</v>
      </c>
    </row>
    <row r="173" spans="1:15" hidden="1" x14ac:dyDescent="0.35">
      <c r="A173" s="147">
        <v>75</v>
      </c>
      <c r="B173" s="2">
        <f>Penghasilan!B111</f>
        <v>0</v>
      </c>
      <c r="C173" s="2" t="s">
        <v>155</v>
      </c>
      <c r="D173" s="11" t="s">
        <v>95</v>
      </c>
      <c r="E173" s="32" t="str">
        <f>'B.kriteria &amp; R.kecocokan'!$B$24</f>
        <v>Cukup</v>
      </c>
      <c r="F173" s="9" t="str">
        <f>'B.kriteria &amp; R.kecocokan'!$B$34</f>
        <v>Tinggi</v>
      </c>
      <c r="G173" s="9" t="str">
        <f>'B.kriteria &amp; R.kecocokan'!$B$43</f>
        <v>Tinggi</v>
      </c>
      <c r="H173" s="191" t="str">
        <f>'B.kriteria &amp; R.kecocokan'!$B$72</f>
        <v>Rendah</v>
      </c>
      <c r="I173" s="191" t="str">
        <f>'B.kriteria &amp; R.kecocokan'!$B$95</f>
        <v>Rendah</v>
      </c>
      <c r="J173" s="191" t="str">
        <f>'B.kriteria &amp; R.kecocokan'!$B$80</f>
        <v>Rendah</v>
      </c>
      <c r="K173" s="9" t="str">
        <f>'B.kriteria &amp; R.kecocokan'!$B$88</f>
        <v>Sedang</v>
      </c>
      <c r="L173" s="191" t="str">
        <f>'B.kriteria &amp; R.kecocokan'!$B$49</f>
        <v>Rendah</v>
      </c>
      <c r="M173" s="191" t="str">
        <f>'B.kriteria &amp; R.kecocokan'!$B$57</f>
        <v>Rendah</v>
      </c>
      <c r="N173" s="51" t="str">
        <f>'B.kriteria &amp; R.kecocokan'!$B$65</f>
        <v>Rendah</v>
      </c>
      <c r="O173" s="52" t="s">
        <v>347</v>
      </c>
    </row>
    <row r="174" spans="1:15" hidden="1" x14ac:dyDescent="0.35">
      <c r="A174" s="147">
        <v>76</v>
      </c>
      <c r="B174" s="2">
        <f>Penghasilan!B110</f>
        <v>0</v>
      </c>
      <c r="C174" s="2" t="s">
        <v>152</v>
      </c>
      <c r="D174" s="11" t="s">
        <v>95</v>
      </c>
      <c r="E174" s="9" t="str">
        <f>'B.kriteria &amp; R.kecocokan'!$B$23</f>
        <v>Banyak</v>
      </c>
      <c r="F174" s="9" t="str">
        <f>'B.kriteria &amp; R.kecocokan'!$B$34</f>
        <v>Tinggi</v>
      </c>
      <c r="G174" s="191" t="str">
        <f>'B.kriteria &amp; R.kecocokan'!$B$41</f>
        <v>Rendah</v>
      </c>
      <c r="H174" s="191" t="str">
        <f>'B.kriteria &amp; R.kecocokan'!$B$72</f>
        <v>Rendah</v>
      </c>
      <c r="I174" s="191" t="str">
        <f>'B.kriteria &amp; R.kecocokan'!$B$95</f>
        <v>Rendah</v>
      </c>
      <c r="J174" s="9" t="str">
        <f>'B.kriteria &amp; R.kecocokan'!$B$81</f>
        <v>Tinggi</v>
      </c>
      <c r="K174" s="9" t="str">
        <f>'B.kriteria &amp; R.kecocokan'!$B$88</f>
        <v>Sedang</v>
      </c>
      <c r="L174" s="191" t="str">
        <f>'B.kriteria &amp; R.kecocokan'!$B$49</f>
        <v>Rendah</v>
      </c>
      <c r="M174" s="191" t="str">
        <f>'B.kriteria &amp; R.kecocokan'!$B$57</f>
        <v>Rendah</v>
      </c>
      <c r="N174" s="51" t="str">
        <f>'B.kriteria &amp; R.kecocokan'!$B$65</f>
        <v>Rendah</v>
      </c>
      <c r="O174" s="52" t="s">
        <v>347</v>
      </c>
    </row>
    <row r="175" spans="1:15" hidden="1" x14ac:dyDescent="0.35">
      <c r="A175" s="57">
        <v>77</v>
      </c>
      <c r="B175" s="2">
        <f>Penghasilan!B112</f>
        <v>0</v>
      </c>
      <c r="C175" s="2" t="s">
        <v>157</v>
      </c>
      <c r="D175" s="11" t="s">
        <v>95</v>
      </c>
      <c r="E175" s="32" t="str">
        <f>'B.kriteria &amp; R.kecocokan'!$B$24</f>
        <v>Cukup</v>
      </c>
      <c r="F175" s="9" t="str">
        <f>'B.kriteria &amp; R.kecocokan'!$B$34</f>
        <v>Tinggi</v>
      </c>
      <c r="G175" s="191" t="str">
        <f>'B.kriteria &amp; R.kecocokan'!$B$41</f>
        <v>Rendah</v>
      </c>
      <c r="H175" s="191" t="str">
        <f>'B.kriteria &amp; R.kecocokan'!$B$72</f>
        <v>Rendah</v>
      </c>
      <c r="I175" s="191" t="str">
        <f>'B.kriteria &amp; R.kecocokan'!$B$95</f>
        <v>Rendah</v>
      </c>
      <c r="J175" s="9" t="str">
        <f>'B.kriteria &amp; R.kecocokan'!$B$81</f>
        <v>Tinggi</v>
      </c>
      <c r="K175" s="9" t="str">
        <f>'B.kriteria &amp; R.kecocokan'!$B$90</f>
        <v>Sangat Sedikit</v>
      </c>
      <c r="L175" s="191" t="str">
        <f>'B.kriteria &amp; R.kecocokan'!$B$49</f>
        <v>Rendah</v>
      </c>
      <c r="M175" s="191" t="str">
        <f>'B.kriteria &amp; R.kecocokan'!$B$57</f>
        <v>Rendah</v>
      </c>
      <c r="N175" s="51" t="str">
        <f>'B.kriteria &amp; R.kecocokan'!$B$65</f>
        <v>Rendah</v>
      </c>
      <c r="O175" s="52" t="s">
        <v>347</v>
      </c>
    </row>
    <row r="176" spans="1:15" hidden="1" x14ac:dyDescent="0.35">
      <c r="A176" s="147">
        <v>78</v>
      </c>
      <c r="B176" s="2">
        <f>Penghasilan!B107</f>
        <v>0</v>
      </c>
      <c r="C176" s="2" t="s">
        <v>146</v>
      </c>
      <c r="D176" s="11" t="s">
        <v>235</v>
      </c>
      <c r="E176" s="32" t="str">
        <f>'B.kriteria &amp; R.kecocokan'!$B$24</f>
        <v>Cukup</v>
      </c>
      <c r="F176" s="9" t="str">
        <f>'B.kriteria &amp; R.kecocokan'!$B$34</f>
        <v>Tinggi</v>
      </c>
      <c r="G176" s="9" t="str">
        <f>'B.kriteria &amp; R.kecocokan'!$B$43</f>
        <v>Tinggi</v>
      </c>
      <c r="H176" s="191" t="str">
        <f>'B.kriteria &amp; R.kecocokan'!$B$72</f>
        <v>Rendah</v>
      </c>
      <c r="I176" s="191" t="str">
        <f>'B.kriteria &amp; R.kecocokan'!$B$95</f>
        <v>Rendah</v>
      </c>
      <c r="J176" s="191" t="str">
        <f>'B.kriteria &amp; R.kecocokan'!$B$80</f>
        <v>Rendah</v>
      </c>
      <c r="K176" s="9" t="str">
        <f>'B.kriteria &amp; R.kecocokan'!$B$90</f>
        <v>Sangat Sedikit</v>
      </c>
      <c r="L176" s="191" t="str">
        <f>'B.kriteria &amp; R.kecocokan'!$B$49</f>
        <v>Rendah</v>
      </c>
      <c r="M176" s="191" t="str">
        <f>'B.kriteria &amp; R.kecocokan'!$B$57</f>
        <v>Rendah</v>
      </c>
      <c r="N176" s="51" t="str">
        <f>'B.kriteria &amp; R.kecocokan'!$B$65</f>
        <v>Rendah</v>
      </c>
      <c r="O176" s="52" t="s">
        <v>347</v>
      </c>
    </row>
    <row r="177" spans="1:23" x14ac:dyDescent="0.35">
      <c r="A177" s="147">
        <v>79</v>
      </c>
      <c r="B177" s="2">
        <f>Penghasilan!B120</f>
        <v>0</v>
      </c>
      <c r="C177" s="2" t="s">
        <v>173</v>
      </c>
      <c r="D177" s="11" t="s">
        <v>95</v>
      </c>
      <c r="E177" s="28" t="str">
        <f>'B.kriteria &amp; R.kecocokan'!$B$25</f>
        <v>Sedikit</v>
      </c>
      <c r="F177" s="9" t="str">
        <f>'B.kriteria &amp; R.kecocokan'!$B$34</f>
        <v>Tinggi</v>
      </c>
      <c r="G177" s="191" t="str">
        <f>'B.kriteria &amp; R.kecocokan'!$B$41</f>
        <v>Rendah</v>
      </c>
      <c r="H177" s="191" t="str">
        <f>'B.kriteria &amp; R.kecocokan'!$B$72</f>
        <v>Rendah</v>
      </c>
      <c r="I177" s="191" t="str">
        <f>'B.kriteria &amp; R.kecocokan'!$B$95</f>
        <v>Rendah</v>
      </c>
      <c r="J177" s="9" t="str">
        <f>'B.kriteria &amp; R.kecocokan'!$B$81</f>
        <v>Tinggi</v>
      </c>
      <c r="K177" s="9" t="str">
        <f>'B.kriteria &amp; R.kecocokan'!$B$90</f>
        <v>Sangat Sedikit</v>
      </c>
      <c r="L177" s="191" t="str">
        <f>'B.kriteria &amp; R.kecocokan'!$B$49</f>
        <v>Rendah</v>
      </c>
      <c r="M177" s="9" t="str">
        <f>'B.kriteria &amp; R.kecocokan'!$B$58</f>
        <v>Sedang</v>
      </c>
      <c r="N177" s="51" t="str">
        <f>'B.kriteria &amp; R.kecocokan'!$B$65</f>
        <v>Rendah</v>
      </c>
      <c r="O177" s="52" t="s">
        <v>349</v>
      </c>
      <c r="R177" t="s">
        <v>327</v>
      </c>
      <c r="S177">
        <f>COUNTIFS($G$109:$G$190,$G$109,$M$109:$M$190,$M$118)</f>
        <v>15</v>
      </c>
      <c r="T177">
        <f>COUNTIFS($G$109:$G$190,$G$109,$M$109:$M$190,$M$118,$O$109:$O$190,$O$109)</f>
        <v>11</v>
      </c>
      <c r="U177">
        <f>COUNTIFS($G$109:$G$190,$G$109,$M$109:$M$190,$M$118,$O$109:$O$190,$O$112)</f>
        <v>4</v>
      </c>
      <c r="V177">
        <f t="shared" ref="V177:V180" si="18">((-T177/S177)*IMLOG2(T177/S177))+((-U177/S177)*IMLOG2(U177/S177))</f>
        <v>0.83664074194116733</v>
      </c>
    </row>
    <row r="178" spans="1:23" hidden="1" x14ac:dyDescent="0.35">
      <c r="A178" s="57">
        <v>80</v>
      </c>
      <c r="B178" s="2">
        <f>Penghasilan!B109</f>
        <v>0</v>
      </c>
      <c r="C178" s="2" t="s">
        <v>150</v>
      </c>
      <c r="D178" s="11" t="s">
        <v>95</v>
      </c>
      <c r="E178" s="28" t="str">
        <f>'B.kriteria &amp; R.kecocokan'!$B$25</f>
        <v>Sedikit</v>
      </c>
      <c r="F178" s="9" t="str">
        <f>'B.kriteria &amp; R.kecocokan'!$B$34</f>
        <v>Tinggi</v>
      </c>
      <c r="G178" s="9" t="str">
        <f>'B.kriteria &amp; R.kecocokan'!$B$43</f>
        <v>Tinggi</v>
      </c>
      <c r="H178" s="191" t="str">
        <f>'B.kriteria &amp; R.kecocokan'!$B$72</f>
        <v>Rendah</v>
      </c>
      <c r="I178" s="9" t="str">
        <f>'B.kriteria &amp; R.kecocokan'!$B$96</f>
        <v>Tinggi</v>
      </c>
      <c r="J178" s="191" t="str">
        <f>'B.kriteria &amp; R.kecocokan'!$B$80</f>
        <v>Rendah</v>
      </c>
      <c r="K178" s="191" t="str">
        <f>'B.kriteria &amp; R.kecocokan'!$B$89</f>
        <v>Sedikit</v>
      </c>
      <c r="L178" s="191" t="str">
        <f>'B.kriteria &amp; R.kecocokan'!$B$49</f>
        <v>Rendah</v>
      </c>
      <c r="M178" s="191" t="str">
        <f>'B.kriteria &amp; R.kecocokan'!$B$57</f>
        <v>Rendah</v>
      </c>
      <c r="N178" s="51" t="str">
        <f>'B.kriteria &amp; R.kecocokan'!$B$65</f>
        <v>Rendah</v>
      </c>
      <c r="O178" s="52" t="s">
        <v>347</v>
      </c>
      <c r="V178" t="e">
        <f t="shared" si="18"/>
        <v>#DIV/0!</v>
      </c>
    </row>
    <row r="179" spans="1:23" hidden="1" x14ac:dyDescent="0.35">
      <c r="A179" s="147">
        <v>81</v>
      </c>
      <c r="B179" s="2">
        <f>Penghasilan!B108</f>
        <v>0</v>
      </c>
      <c r="C179" s="2" t="s">
        <v>147</v>
      </c>
      <c r="D179" s="11" t="s">
        <v>95</v>
      </c>
      <c r="E179" s="28" t="str">
        <f>'B.kriteria &amp; R.kecocokan'!$B$25</f>
        <v>Sedikit</v>
      </c>
      <c r="F179" s="9" t="str">
        <f>'B.kriteria &amp; R.kecocokan'!$B$34</f>
        <v>Tinggi</v>
      </c>
      <c r="G179" s="191" t="str">
        <f>'B.kriteria &amp; R.kecocokan'!$B$41</f>
        <v>Rendah</v>
      </c>
      <c r="H179" s="191" t="str">
        <f>'B.kriteria &amp; R.kecocokan'!$B$72</f>
        <v>Rendah</v>
      </c>
      <c r="I179" s="191" t="str">
        <f>'B.kriteria &amp; R.kecocokan'!$B$95</f>
        <v>Rendah</v>
      </c>
      <c r="J179" s="9" t="str">
        <f>'B.kriteria &amp; R.kecocokan'!$B$81</f>
        <v>Tinggi</v>
      </c>
      <c r="K179" s="9" t="str">
        <f>'B.kriteria &amp; R.kecocokan'!$B$90</f>
        <v>Sangat Sedikit</v>
      </c>
      <c r="L179" s="191" t="str">
        <f>'B.kriteria &amp; R.kecocokan'!$B$49</f>
        <v>Rendah</v>
      </c>
      <c r="M179" s="191" t="str">
        <f>'B.kriteria &amp; R.kecocokan'!$B$57</f>
        <v>Rendah</v>
      </c>
      <c r="N179" s="51" t="str">
        <f>'B.kriteria &amp; R.kecocokan'!$B$65</f>
        <v>Rendah</v>
      </c>
      <c r="O179" s="52" t="s">
        <v>347</v>
      </c>
      <c r="V179" t="e">
        <f t="shared" si="18"/>
        <v>#DIV/0!</v>
      </c>
    </row>
    <row r="180" spans="1:23" hidden="1" x14ac:dyDescent="0.35">
      <c r="A180" s="147">
        <v>82</v>
      </c>
      <c r="B180" s="2" t="str">
        <f>Penghasilan!B102</f>
        <v>3523152603110001</v>
      </c>
      <c r="C180" s="2" t="s">
        <v>126</v>
      </c>
      <c r="D180" s="11" t="s">
        <v>95</v>
      </c>
      <c r="E180" s="28" t="str">
        <f>'B.kriteria &amp; R.kecocokan'!$B$25</f>
        <v>Sedikit</v>
      </c>
      <c r="F180" s="9" t="str">
        <f>'B.kriteria &amp; R.kecocokan'!$B$34</f>
        <v>Tinggi</v>
      </c>
      <c r="G180" s="191" t="str">
        <f>'B.kriteria &amp; R.kecocokan'!$B$41</f>
        <v>Rendah</v>
      </c>
      <c r="H180" s="191" t="str">
        <f>'B.kriteria &amp; R.kecocokan'!$B$72</f>
        <v>Rendah</v>
      </c>
      <c r="I180" s="191" t="str">
        <f>'B.kriteria &amp; R.kecocokan'!$B$95</f>
        <v>Rendah</v>
      </c>
      <c r="J180" s="191" t="str">
        <f>'B.kriteria &amp; R.kecocokan'!$B$80</f>
        <v>Rendah</v>
      </c>
      <c r="K180" s="9" t="str">
        <f>'B.kriteria &amp; R.kecocokan'!$B$88</f>
        <v>Sedang</v>
      </c>
      <c r="L180" s="191" t="str">
        <f>'B.kriteria &amp; R.kecocokan'!$B$49</f>
        <v>Rendah</v>
      </c>
      <c r="M180" s="191" t="str">
        <f>'B.kriteria &amp; R.kecocokan'!$B$57</f>
        <v>Rendah</v>
      </c>
      <c r="N180" s="51" t="str">
        <f>'B.kriteria &amp; R.kecocokan'!$B$65</f>
        <v>Rendah</v>
      </c>
      <c r="O180" s="52" t="s">
        <v>347</v>
      </c>
      <c r="V180" t="e">
        <f t="shared" si="18"/>
        <v>#DIV/0!</v>
      </c>
    </row>
    <row r="181" spans="1:23" x14ac:dyDescent="0.35">
      <c r="A181" s="57">
        <v>83</v>
      </c>
      <c r="B181" s="2">
        <f>Penghasilan!B122</f>
        <v>0</v>
      </c>
      <c r="C181" s="2" t="s">
        <v>178</v>
      </c>
      <c r="D181" s="11" t="s">
        <v>95</v>
      </c>
      <c r="E181" s="32" t="str">
        <f>'B.kriteria &amp; R.kecocokan'!$B$24</f>
        <v>Cukup</v>
      </c>
      <c r="F181" s="9" t="str">
        <f>'B.kriteria &amp; R.kecocokan'!$B$34</f>
        <v>Tinggi</v>
      </c>
      <c r="G181" s="191" t="str">
        <f>'B.kriteria &amp; R.kecocokan'!$B$41</f>
        <v>Rendah</v>
      </c>
      <c r="H181" s="191" t="str">
        <f>'B.kriteria &amp; R.kecocokan'!$B$72</f>
        <v>Rendah</v>
      </c>
      <c r="I181" s="191" t="str">
        <f>'B.kriteria &amp; R.kecocokan'!$B$95</f>
        <v>Rendah</v>
      </c>
      <c r="J181" s="191" t="str">
        <f>'B.kriteria &amp; R.kecocokan'!$B$80</f>
        <v>Rendah</v>
      </c>
      <c r="K181" s="191" t="str">
        <f>'B.kriteria &amp; R.kecocokan'!$B$89</f>
        <v>Sedikit</v>
      </c>
      <c r="L181" s="191" t="str">
        <f>'B.kriteria &amp; R.kecocokan'!$B$49</f>
        <v>Rendah</v>
      </c>
      <c r="M181" s="9" t="str">
        <f>'B.kriteria &amp; R.kecocokan'!$B$58</f>
        <v>Sedang</v>
      </c>
      <c r="N181" s="51" t="str">
        <f>'B.kriteria &amp; R.kecocokan'!$B$65</f>
        <v>Rendah</v>
      </c>
      <c r="O181" s="52" t="s">
        <v>349</v>
      </c>
      <c r="R181" t="s">
        <v>323</v>
      </c>
      <c r="S181">
        <v>0</v>
      </c>
      <c r="T181">
        <v>0</v>
      </c>
      <c r="U181">
        <v>0</v>
      </c>
      <c r="V181">
        <v>0</v>
      </c>
    </row>
    <row r="182" spans="1:23" hidden="1" x14ac:dyDescent="0.35">
      <c r="A182" s="147">
        <v>84</v>
      </c>
      <c r="B182" s="2" t="str">
        <f>Penghasilan!B102</f>
        <v>3523152603110001</v>
      </c>
      <c r="C182" s="2" t="s">
        <v>133</v>
      </c>
      <c r="D182" s="11" t="s">
        <v>95</v>
      </c>
      <c r="E182" s="32" t="str">
        <f>'B.kriteria &amp; R.kecocokan'!$B$24</f>
        <v>Cukup</v>
      </c>
      <c r="F182" s="9" t="str">
        <f>'B.kriteria &amp; R.kecocokan'!$B$34</f>
        <v>Tinggi</v>
      </c>
      <c r="G182" s="191" t="str">
        <f>'B.kriteria &amp; R.kecocokan'!$B$41</f>
        <v>Rendah</v>
      </c>
      <c r="H182" s="191" t="str">
        <f>'B.kriteria &amp; R.kecocokan'!$B$72</f>
        <v>Rendah</v>
      </c>
      <c r="I182" s="191" t="str">
        <f>'B.kriteria &amp; R.kecocokan'!$B$95</f>
        <v>Rendah</v>
      </c>
      <c r="J182" s="191" t="str">
        <f>'B.kriteria &amp; R.kecocokan'!$B$80</f>
        <v>Rendah</v>
      </c>
      <c r="K182" s="9" t="str">
        <f>'B.kriteria &amp; R.kecocokan'!$B$90</f>
        <v>Sangat Sedikit</v>
      </c>
      <c r="L182" s="191" t="str">
        <f>'B.kriteria &amp; R.kecocokan'!$B$49</f>
        <v>Rendah</v>
      </c>
      <c r="M182" s="191" t="str">
        <f>'B.kriteria &amp; R.kecocokan'!$B$57</f>
        <v>Rendah</v>
      </c>
      <c r="N182" s="51" t="str">
        <f>'B.kriteria &amp; R.kecocokan'!$B$65</f>
        <v>Rendah</v>
      </c>
      <c r="O182" s="52" t="s">
        <v>347</v>
      </c>
    </row>
    <row r="183" spans="1:23" hidden="1" x14ac:dyDescent="0.35">
      <c r="A183" s="147">
        <v>85</v>
      </c>
      <c r="B183" s="2">
        <f>Penghasilan!B113</f>
        <v>0</v>
      </c>
      <c r="C183" s="2" t="s">
        <v>159</v>
      </c>
      <c r="D183" s="11" t="s">
        <v>95</v>
      </c>
      <c r="E183" s="9" t="str">
        <f>'B.kriteria &amp; R.kecocokan'!$B$23</f>
        <v>Banyak</v>
      </c>
      <c r="F183" s="9" t="str">
        <f>'B.kriteria &amp; R.kecocokan'!$B$34</f>
        <v>Tinggi</v>
      </c>
      <c r="G183" s="191" t="str">
        <f>'B.kriteria &amp; R.kecocokan'!$B$41</f>
        <v>Rendah</v>
      </c>
      <c r="H183" s="191" t="str">
        <f>'B.kriteria &amp; R.kecocokan'!$B$72</f>
        <v>Rendah</v>
      </c>
      <c r="I183" s="9" t="str">
        <f>'B.kriteria &amp; R.kecocokan'!$B$96</f>
        <v>Tinggi</v>
      </c>
      <c r="J183" s="191" t="str">
        <f>'B.kriteria &amp; R.kecocokan'!$B$80</f>
        <v>Rendah</v>
      </c>
      <c r="K183" s="9" t="str">
        <f>'B.kriteria &amp; R.kecocokan'!$B$90</f>
        <v>Sangat Sedikit</v>
      </c>
      <c r="L183" s="191" t="str">
        <f>'B.kriteria &amp; R.kecocokan'!$B$49</f>
        <v>Rendah</v>
      </c>
      <c r="M183" s="191" t="str">
        <f>'B.kriteria &amp; R.kecocokan'!$B$57</f>
        <v>Rendah</v>
      </c>
      <c r="N183" s="51" t="str">
        <f>'B.kriteria &amp; R.kecocokan'!$B$65</f>
        <v>Rendah</v>
      </c>
      <c r="O183" s="52" t="s">
        <v>347</v>
      </c>
    </row>
    <row r="184" spans="1:23" hidden="1" x14ac:dyDescent="0.35">
      <c r="A184" s="57">
        <v>86</v>
      </c>
      <c r="B184" s="2">
        <f>Penghasilan!B116</f>
        <v>0</v>
      </c>
      <c r="C184" s="2" t="s">
        <v>165</v>
      </c>
      <c r="D184" s="11" t="s">
        <v>95</v>
      </c>
      <c r="E184" s="28" t="str">
        <f>'B.kriteria &amp; R.kecocokan'!$B$25</f>
        <v>Sedikit</v>
      </c>
      <c r="F184" s="9" t="str">
        <f>'B.kriteria &amp; R.kecocokan'!$B$34</f>
        <v>Tinggi</v>
      </c>
      <c r="G184" s="191" t="str">
        <f>'B.kriteria &amp; R.kecocokan'!$B$41</f>
        <v>Rendah</v>
      </c>
      <c r="H184" s="191" t="str">
        <f>'B.kriteria &amp; R.kecocokan'!$B$72</f>
        <v>Rendah</v>
      </c>
      <c r="I184" s="191" t="str">
        <f>'B.kriteria &amp; R.kecocokan'!$B$95</f>
        <v>Rendah</v>
      </c>
      <c r="J184" s="9" t="str">
        <f>'B.kriteria &amp; R.kecocokan'!$B$81</f>
        <v>Tinggi</v>
      </c>
      <c r="K184" s="9" t="str">
        <f>'B.kriteria &amp; R.kecocokan'!$B$90</f>
        <v>Sangat Sedikit</v>
      </c>
      <c r="L184" s="191" t="str">
        <f>'B.kriteria &amp; R.kecocokan'!$B$49</f>
        <v>Rendah</v>
      </c>
      <c r="M184" s="191" t="str">
        <f>'B.kriteria &amp; R.kecocokan'!$B$57</f>
        <v>Rendah</v>
      </c>
      <c r="N184" s="51" t="str">
        <f>'B.kriteria &amp; R.kecocokan'!$B$65</f>
        <v>Rendah</v>
      </c>
      <c r="O184" s="52" t="s">
        <v>349</v>
      </c>
    </row>
    <row r="185" spans="1:23" hidden="1" x14ac:dyDescent="0.35">
      <c r="A185" s="147">
        <v>87</v>
      </c>
      <c r="B185" s="2">
        <f>Penghasilan!B115</f>
        <v>0</v>
      </c>
      <c r="C185" s="2" t="s">
        <v>163</v>
      </c>
      <c r="D185" s="11" t="s">
        <v>248</v>
      </c>
      <c r="E185" s="28" t="str">
        <f>'B.kriteria &amp; R.kecocokan'!$B$25</f>
        <v>Sedikit</v>
      </c>
      <c r="F185" s="9" t="str">
        <f>'B.kriteria &amp; R.kecocokan'!$B$35</f>
        <v>Sangat Tinggi</v>
      </c>
      <c r="G185" s="9" t="str">
        <f>'B.kriteria &amp; R.kecocokan'!$B$43</f>
        <v>Tinggi</v>
      </c>
      <c r="H185" s="191" t="str">
        <f>'B.kriteria &amp; R.kecocokan'!$B$72</f>
        <v>Rendah</v>
      </c>
      <c r="I185" s="191" t="str">
        <f>'B.kriteria &amp; R.kecocokan'!$B$95</f>
        <v>Rendah</v>
      </c>
      <c r="J185" s="191" t="str">
        <f>'B.kriteria &amp; R.kecocokan'!$B$80</f>
        <v>Rendah</v>
      </c>
      <c r="K185" s="191" t="str">
        <f>'B.kriteria &amp; R.kecocokan'!$B$89</f>
        <v>Sedikit</v>
      </c>
      <c r="L185" s="191" t="str">
        <f>'B.kriteria &amp; R.kecocokan'!$B$49</f>
        <v>Rendah</v>
      </c>
      <c r="M185" s="191" t="str">
        <f>'B.kriteria &amp; R.kecocokan'!$B$57</f>
        <v>Rendah</v>
      </c>
      <c r="N185" s="51" t="str">
        <f>'B.kriteria &amp; R.kecocokan'!$B$65</f>
        <v>Rendah</v>
      </c>
      <c r="O185" s="52" t="s">
        <v>347</v>
      </c>
    </row>
    <row r="186" spans="1:23" hidden="1" x14ac:dyDescent="0.35">
      <c r="A186" s="147">
        <v>88</v>
      </c>
      <c r="B186" s="30" t="str">
        <f>Penghasilan!B103</f>
        <v>3523152212200001</v>
      </c>
      <c r="C186" s="30" t="s">
        <v>24</v>
      </c>
      <c r="D186" s="11" t="s">
        <v>248</v>
      </c>
      <c r="E186" s="28" t="str">
        <f>'B.kriteria &amp; R.kecocokan'!$B$25</f>
        <v>Sedikit</v>
      </c>
      <c r="F186" s="9" t="str">
        <f>'B.kriteria &amp; R.kecocokan'!$B$35</f>
        <v>Sangat Tinggi</v>
      </c>
      <c r="G186" s="191" t="str">
        <f>'B.kriteria &amp; R.kecocokan'!$B$41</f>
        <v>Rendah</v>
      </c>
      <c r="H186" s="191" t="str">
        <f>'B.kriteria &amp; R.kecocokan'!$B$72</f>
        <v>Rendah</v>
      </c>
      <c r="I186" s="191" t="str">
        <f>'B.kriteria &amp; R.kecocokan'!$B$95</f>
        <v>Rendah</v>
      </c>
      <c r="J186" s="9" t="str">
        <f>'B.kriteria &amp; R.kecocokan'!$B$81</f>
        <v>Tinggi</v>
      </c>
      <c r="K186" s="9" t="str">
        <f>'B.kriteria &amp; R.kecocokan'!$B$90</f>
        <v>Sangat Sedikit</v>
      </c>
      <c r="L186" s="9" t="str">
        <f>'B.kriteria &amp; R.kecocokan'!$B$51</f>
        <v>Tinggi</v>
      </c>
      <c r="M186" s="9" t="str">
        <f>'B.kriteria &amp; R.kecocokan'!$B$59</f>
        <v>Tinggi</v>
      </c>
      <c r="N186" s="51" t="str">
        <f>'B.kriteria &amp; R.kecocokan'!$B$65</f>
        <v>Rendah</v>
      </c>
      <c r="O186" s="52" t="s">
        <v>349</v>
      </c>
    </row>
    <row r="187" spans="1:23" hidden="1" x14ac:dyDescent="0.35">
      <c r="A187" s="57">
        <v>89</v>
      </c>
      <c r="B187" s="2" t="str">
        <f>Penghasilan!B101</f>
        <v>3523151604600002</v>
      </c>
      <c r="C187" s="2" t="s">
        <v>128</v>
      </c>
      <c r="D187" s="11" t="s">
        <v>95</v>
      </c>
      <c r="E187" s="32" t="str">
        <f>'B.kriteria &amp; R.kecocokan'!$B$24</f>
        <v>Cukup</v>
      </c>
      <c r="F187" s="9" t="str">
        <f>'B.kriteria &amp; R.kecocokan'!$B$34</f>
        <v>Tinggi</v>
      </c>
      <c r="G187" s="191" t="str">
        <f>'B.kriteria &amp; R.kecocokan'!$B$41</f>
        <v>Rendah</v>
      </c>
      <c r="H187" s="191" t="str">
        <f>'B.kriteria &amp; R.kecocokan'!$B$72</f>
        <v>Rendah</v>
      </c>
      <c r="I187" s="191" t="str">
        <f>'B.kriteria &amp; R.kecocokan'!$B$95</f>
        <v>Rendah</v>
      </c>
      <c r="J187" s="9" t="str">
        <f>'B.kriteria &amp; R.kecocokan'!$B$81</f>
        <v>Tinggi</v>
      </c>
      <c r="K187" s="9" t="str">
        <f>'B.kriteria &amp; R.kecocokan'!$B$90</f>
        <v>Sangat Sedikit</v>
      </c>
      <c r="L187" s="191" t="str">
        <f>'B.kriteria &amp; R.kecocokan'!$B$49</f>
        <v>Rendah</v>
      </c>
      <c r="M187" s="191" t="str">
        <f>'B.kriteria &amp; R.kecocokan'!$B$57</f>
        <v>Rendah</v>
      </c>
      <c r="N187" s="51" t="str">
        <f>'B.kriteria &amp; R.kecocokan'!$B$65</f>
        <v>Rendah</v>
      </c>
      <c r="O187" s="52" t="s">
        <v>347</v>
      </c>
    </row>
    <row r="188" spans="1:23" hidden="1" x14ac:dyDescent="0.35">
      <c r="A188" s="147">
        <v>90</v>
      </c>
      <c r="B188" s="30" t="str">
        <f>Penghasilan!B104</f>
        <v>3523154107540103</v>
      </c>
      <c r="C188" s="30" t="s">
        <v>136</v>
      </c>
      <c r="D188" s="11" t="s">
        <v>95</v>
      </c>
      <c r="E188" s="28" t="str">
        <f>'B.kriteria &amp; R.kecocokan'!$B$25</f>
        <v>Sedikit</v>
      </c>
      <c r="F188" s="9" t="str">
        <f>'B.kriteria &amp; R.kecocokan'!$B$35</f>
        <v>Sangat Tinggi</v>
      </c>
      <c r="G188" s="191" t="str">
        <f>'B.kriteria &amp; R.kecocokan'!$B$41</f>
        <v>Rendah</v>
      </c>
      <c r="H188" s="191" t="str">
        <f>'B.kriteria &amp; R.kecocokan'!$B$72</f>
        <v>Rendah</v>
      </c>
      <c r="I188" s="191" t="str">
        <f>'B.kriteria &amp; R.kecocokan'!$B$95</f>
        <v>Rendah</v>
      </c>
      <c r="J188" s="9" t="str">
        <f>'B.kriteria &amp; R.kecocokan'!$B$81</f>
        <v>Tinggi</v>
      </c>
      <c r="K188" s="9" t="str">
        <f>'B.kriteria &amp; R.kecocokan'!$B$90</f>
        <v>Sangat Sedikit</v>
      </c>
      <c r="L188" s="9" t="str">
        <f>'B.kriteria &amp; R.kecocokan'!$B$51</f>
        <v>Tinggi</v>
      </c>
      <c r="M188" s="9" t="str">
        <f>'B.kriteria &amp; R.kecocokan'!$B$59</f>
        <v>Tinggi</v>
      </c>
      <c r="N188" s="51" t="str">
        <f>'B.kriteria &amp; R.kecocokan'!$B$65</f>
        <v>Rendah</v>
      </c>
      <c r="O188" s="52" t="s">
        <v>349</v>
      </c>
    </row>
    <row r="189" spans="1:23" x14ac:dyDescent="0.35">
      <c r="A189" s="147">
        <v>91</v>
      </c>
      <c r="B189" s="2" t="str">
        <f>Penghasilan!B105</f>
        <v>3523151403170009</v>
      </c>
      <c r="C189" s="2" t="s">
        <v>140</v>
      </c>
      <c r="D189" s="11" t="s">
        <v>95</v>
      </c>
      <c r="E189" s="28" t="str">
        <f>'B.kriteria &amp; R.kecocokan'!$B$25</f>
        <v>Sedikit</v>
      </c>
      <c r="F189" s="9" t="str">
        <f>'B.kriteria &amp; R.kecocokan'!$B$34</f>
        <v>Tinggi</v>
      </c>
      <c r="G189" s="191" t="str">
        <f>'B.kriteria &amp; R.kecocokan'!$B$41</f>
        <v>Rendah</v>
      </c>
      <c r="H189" s="191" t="str">
        <f>'B.kriteria &amp; R.kecocokan'!$B$72</f>
        <v>Rendah</v>
      </c>
      <c r="I189" s="191" t="str">
        <f>'B.kriteria &amp; R.kecocokan'!$B$95</f>
        <v>Rendah</v>
      </c>
      <c r="J189" s="9" t="str">
        <f>'B.kriteria &amp; R.kecocokan'!$B$81</f>
        <v>Tinggi</v>
      </c>
      <c r="K189" s="9" t="str">
        <f>'B.kriteria &amp; R.kecocokan'!$B$90</f>
        <v>Sangat Sedikit</v>
      </c>
      <c r="L189" s="191" t="str">
        <f>'B.kriteria &amp; R.kecocokan'!$B$49</f>
        <v>Rendah</v>
      </c>
      <c r="M189" s="9" t="str">
        <f>'B.kriteria &amp; R.kecocokan'!$B$58</f>
        <v>Sedang</v>
      </c>
      <c r="N189" s="51" t="str">
        <f>'B.kriteria &amp; R.kecocokan'!$B$65</f>
        <v>Rendah</v>
      </c>
      <c r="O189" s="52" t="s">
        <v>349</v>
      </c>
    </row>
    <row r="190" spans="1:23" x14ac:dyDescent="0.35">
      <c r="A190" s="57">
        <v>92</v>
      </c>
      <c r="B190" s="2" t="str">
        <f>Penghasilan!B106</f>
        <v>3523151403061471</v>
      </c>
      <c r="C190" s="2" t="s">
        <v>251</v>
      </c>
      <c r="D190" s="11" t="s">
        <v>95</v>
      </c>
      <c r="E190" s="28" t="str">
        <f>'B.kriteria &amp; R.kecocokan'!$B$25</f>
        <v>Sedikit</v>
      </c>
      <c r="F190" s="9" t="str">
        <f>'B.kriteria &amp; R.kecocokan'!$B$34</f>
        <v>Tinggi</v>
      </c>
      <c r="G190" s="191" t="str">
        <f>'B.kriteria &amp; R.kecocokan'!$B$41</f>
        <v>Rendah</v>
      </c>
      <c r="H190" s="191" t="str">
        <f>'B.kriteria &amp; R.kecocokan'!$B$72</f>
        <v>Rendah</v>
      </c>
      <c r="I190" s="191" t="str">
        <f>'B.kriteria &amp; R.kecocokan'!$B$95</f>
        <v>Rendah</v>
      </c>
      <c r="J190" s="191" t="str">
        <f>'B.kriteria &amp; R.kecocokan'!$B$80</f>
        <v>Rendah</v>
      </c>
      <c r="K190" s="9" t="str">
        <f>'B.kriteria &amp; R.kecocokan'!$B$88</f>
        <v>Sedang</v>
      </c>
      <c r="L190" s="191" t="str">
        <f>'B.kriteria &amp; R.kecocokan'!$B$49</f>
        <v>Rendah</v>
      </c>
      <c r="M190" s="9" t="str">
        <f>'B.kriteria &amp; R.kecocokan'!$B$58</f>
        <v>Sedang</v>
      </c>
      <c r="N190" s="51" t="str">
        <f>'B.kriteria &amp; R.kecocokan'!$B$65</f>
        <v>Rendah</v>
      </c>
      <c r="O190" s="52" t="s">
        <v>349</v>
      </c>
      <c r="Q190" t="s">
        <v>21</v>
      </c>
      <c r="W190" s="206">
        <f>$V$109-((S192/$S$109*V192)+(S193/$S$109*V193))</f>
        <v>0</v>
      </c>
    </row>
    <row r="191" spans="1:23" hidden="1" x14ac:dyDescent="0.35">
      <c r="A191" s="202">
        <v>93</v>
      </c>
      <c r="B191" s="38">
        <f>Penghasilan!B119</f>
        <v>0</v>
      </c>
      <c r="C191" s="38" t="s">
        <v>252</v>
      </c>
      <c r="D191" s="203" t="s">
        <v>95</v>
      </c>
      <c r="E191" s="190" t="str">
        <f>'B.kriteria &amp; R.kecocokan'!$B$23</f>
        <v>Banyak</v>
      </c>
      <c r="F191" s="190" t="str">
        <f>'B.kriteria &amp; R.kecocokan'!$B$34</f>
        <v>Tinggi</v>
      </c>
      <c r="G191" s="204" t="str">
        <f>'B.kriteria &amp; R.kecocokan'!$B$41</f>
        <v>Rendah</v>
      </c>
      <c r="H191" s="204" t="str">
        <f>'B.kriteria &amp; R.kecocokan'!$B$72</f>
        <v>Rendah</v>
      </c>
      <c r="I191" s="204" t="str">
        <f>'B.kriteria &amp; R.kecocokan'!$B$95</f>
        <v>Rendah</v>
      </c>
      <c r="J191" s="204" t="str">
        <f>'B.kriteria &amp; R.kecocokan'!$B$80</f>
        <v>Rendah</v>
      </c>
      <c r="K191" s="190" t="str">
        <f>'B.kriteria &amp; R.kecocokan'!$B$88</f>
        <v>Sedang</v>
      </c>
      <c r="L191" s="204" t="str">
        <f>'B.kriteria &amp; R.kecocokan'!$B$49</f>
        <v>Rendah</v>
      </c>
      <c r="M191" s="204" t="str">
        <f>'B.kriteria &amp; R.kecocokan'!$B$57</f>
        <v>Rendah</v>
      </c>
      <c r="N191" s="205" t="str">
        <f>'B.kriteria &amp; R.kecocokan'!$B$65</f>
        <v>Rendah</v>
      </c>
      <c r="O191" s="154" t="s">
        <v>347</v>
      </c>
    </row>
    <row r="192" spans="1:23" x14ac:dyDescent="0.35">
      <c r="R192" t="s">
        <v>319</v>
      </c>
      <c r="S192">
        <f>COUNTIFS($I$109:$I$190,$I$123,$M$109:$M$190,$M$118)</f>
        <v>15</v>
      </c>
      <c r="T192">
        <f>COUNTIFS($I$109:$I$190,$I$123,$M$109:$M$190,$M$118,$O$109:$O$190,$O$109)</f>
        <v>11</v>
      </c>
      <c r="U192">
        <f>COUNTIFS($I$109:$I$190,$I$123,$M$109:$M$190,$M$118,$O$109:$O$190,$O$112)</f>
        <v>4</v>
      </c>
      <c r="V192">
        <f t="shared" ref="V192" si="19">((-T192/S192)*IMLOG2(T192/S192))+((-U192/S192)*IMLOG2(U192/S192))</f>
        <v>0.83664074194116733</v>
      </c>
    </row>
    <row r="193" spans="17:23" x14ac:dyDescent="0.35">
      <c r="R193" t="s">
        <v>362</v>
      </c>
      <c r="S193">
        <v>0</v>
      </c>
      <c r="T193">
        <v>0</v>
      </c>
      <c r="U193">
        <v>0</v>
      </c>
      <c r="V193">
        <v>0</v>
      </c>
    </row>
    <row r="195" spans="17:23" x14ac:dyDescent="0.35">
      <c r="Q195" t="s">
        <v>372</v>
      </c>
      <c r="W195" s="206">
        <f>$V$109-((S196/$S$109*V196)+(S197/$S$109*V197))</f>
        <v>0</v>
      </c>
    </row>
    <row r="196" spans="17:23" x14ac:dyDescent="0.35">
      <c r="R196" t="s">
        <v>319</v>
      </c>
      <c r="S196">
        <f>COUNTIFS($I$109:$I$190,$I$129,$M$109:$M$190,$M$116)</f>
        <v>15</v>
      </c>
      <c r="T196">
        <f>COUNTIFS($I$109:$I$190,$I$129,$M$109:$M$190,$M$116,$O$109:$O$190,$O$109)</f>
        <v>11</v>
      </c>
      <c r="U196">
        <f>COUNTIFS($I$109:$I$190,$I$129,$M$109:$M$190,$M$116,$O$109:$O$190,$O$149)</f>
        <v>4</v>
      </c>
      <c r="V196">
        <f t="shared" ref="V196" si="20">((-T196/S196)*IMLOG2(T196/S196))+((-U196/S196)*IMLOG2(U196/S196))</f>
        <v>0.83664074194116733</v>
      </c>
    </row>
    <row r="197" spans="17:23" x14ac:dyDescent="0.35">
      <c r="R197" t="s">
        <v>362</v>
      </c>
      <c r="S197">
        <v>0</v>
      </c>
      <c r="T197">
        <v>0</v>
      </c>
      <c r="U197">
        <v>0</v>
      </c>
      <c r="V197">
        <v>0</v>
      </c>
    </row>
    <row r="199" spans="17:23" x14ac:dyDescent="0.35">
      <c r="Q199" t="s">
        <v>8</v>
      </c>
      <c r="W199" s="206">
        <f>$V$109-((S200/$S$109*V200)+(S201/$S$109*V201))</f>
        <v>0.24199510603823471</v>
      </c>
    </row>
    <row r="200" spans="17:23" x14ac:dyDescent="0.35">
      <c r="R200" t="s">
        <v>365</v>
      </c>
      <c r="S200">
        <f>COUNTIFS($J$109:$J$190,$J$112,$M$109:$M$190,$M$190)</f>
        <v>9</v>
      </c>
      <c r="T200">
        <f>COUNTIFS($J$109:$J$190,$J$112,$M$109:$M$190,$M$190,$O$109:$O$190,$O$109)</f>
        <v>5</v>
      </c>
      <c r="U200">
        <f>COUNTIFS($J$109:$J$190,$J$112,$M$109:$M$190,$M$190,$O$109:$O$190,$O$112)</f>
        <v>4</v>
      </c>
      <c r="V200">
        <f t="shared" ref="V200" si="21">((-T200/S200)*IMLOG2(T200/S200))+((-U200/S200)*IMLOG2(U200/S200))</f>
        <v>0.99107605983822111</v>
      </c>
    </row>
    <row r="201" spans="17:23" x14ac:dyDescent="0.35">
      <c r="R201" t="s">
        <v>362</v>
      </c>
      <c r="S201">
        <f>COUNTIFS($J$109:$J$190,$J$109,$M$109:$M$190,$M$117)</f>
        <v>6</v>
      </c>
      <c r="T201">
        <f>COUNTIFS($J$109:$J$190,$J$109,$M$109:$M$190,$M$117,$O$109:$O$190,$O$109)</f>
        <v>6</v>
      </c>
      <c r="U201">
        <f>COUNTIFS($J$109:$J$190,$J$109,$M$109:$M$190,$M$117,$O$109:$O$190,$O$112)</f>
        <v>0</v>
      </c>
      <c r="V201">
        <v>0</v>
      </c>
    </row>
    <row r="203" spans="17:23" x14ac:dyDescent="0.35">
      <c r="Q203" s="43" t="s">
        <v>373</v>
      </c>
      <c r="R203" s="43"/>
      <c r="S203" s="43"/>
      <c r="T203" s="43"/>
      <c r="U203" s="43"/>
      <c r="V203" s="43"/>
      <c r="W203" s="207">
        <f>$V$109-((S204/$S$109*V204)+(S205/$S$109*V205)+(S206/$S$109*V206))</f>
        <v>0.29664971060050938</v>
      </c>
    </row>
    <row r="204" spans="17:23" x14ac:dyDescent="0.35">
      <c r="R204" t="s">
        <v>366</v>
      </c>
      <c r="S204">
        <f>COUNTIFS($K$109:$K$190,$K$116,$M$109:$M$190,$M$118)</f>
        <v>4</v>
      </c>
      <c r="T204">
        <f>COUNTIFS($K$109:$K$190,$K$116,$M$109:$M$190,$M$118,$O$109:$O$190,$O$109)</f>
        <v>3</v>
      </c>
      <c r="U204">
        <f>COUNTIFS($K$109:$K$190,$K$116,$M$109:$M$190,$M$118,$O$109:$O$190,$O$112)</f>
        <v>1</v>
      </c>
      <c r="V204">
        <f t="shared" ref="V204:V205" si="22">((-T204/S204)*IMLOG2(T204/S204))+((-U204/S204)*IMLOG2(U204/S204))</f>
        <v>0.81127812445913294</v>
      </c>
    </row>
    <row r="205" spans="17:23" x14ac:dyDescent="0.35">
      <c r="R205" t="s">
        <v>364</v>
      </c>
      <c r="S205">
        <f>COUNTIFS($K$109:$K$190,$K$126,$M$109:$M$190,$M$126)</f>
        <v>5</v>
      </c>
      <c r="T205">
        <f>COUNTIFS($K$109:$K$190,$K$126,$M$109:$M$190,$M$126,$O$109:$O$190,$O$109)</f>
        <v>2</v>
      </c>
      <c r="U205">
        <f>COUNTIFS($K$109:$K$190,$K$126,$M$109:$M$190,$M$126,$O$109:$O$190,$O$112)</f>
        <v>3</v>
      </c>
      <c r="V205">
        <f t="shared" si="22"/>
        <v>0.97095059445466747</v>
      </c>
    </row>
    <row r="206" spans="17:23" x14ac:dyDescent="0.35">
      <c r="R206" t="s">
        <v>374</v>
      </c>
      <c r="S206">
        <f>COUNTIFS($K$109:$K$190,$K$119,$M$109:$M$190,$M$119)</f>
        <v>6</v>
      </c>
      <c r="T206">
        <f>COUNTIFS($K$109:$K$190,$K$119,$M$109:$M$190,$M$119,$O$109:$O$190,$O$109)</f>
        <v>6</v>
      </c>
      <c r="U206">
        <f>COUNTIFS($K$109:$K$190,$K$119,$M$109:$M$190,$M$119,$O$109:$O$190,$O$112)</f>
        <v>0</v>
      </c>
      <c r="V206">
        <v>0</v>
      </c>
    </row>
    <row r="208" spans="17:23" x14ac:dyDescent="0.35">
      <c r="Q208" t="s">
        <v>9</v>
      </c>
      <c r="W208" s="206">
        <f>$V$109-((S209/$S$109*V209)+(S210/$S$109*V210)+(S211/$S$109*V211))</f>
        <v>0.10200407469757489</v>
      </c>
    </row>
    <row r="209" spans="1:23" x14ac:dyDescent="0.35">
      <c r="R209" t="s">
        <v>319</v>
      </c>
      <c r="S209">
        <f>COUNTIFS($L$109:$L$190,$L$117,$M$109:$M$190,$M$189)</f>
        <v>12</v>
      </c>
      <c r="T209">
        <f>COUNTIFS($L$109:$L$190,$L$117,$M$109:$M$190,$M$189,$O$109:$O$190,$O$109)</f>
        <v>8</v>
      </c>
      <c r="U209">
        <f>COUNTIFS($L$109:$L$190,$L$117,$M$109:$M$190,$M$189,$O$109:$O$190,$O$112)</f>
        <v>4</v>
      </c>
      <c r="V209">
        <f t="shared" ref="V209" si="23">((-T209/S209)*IMLOG2(T209/S209))+((-U209/S209)*IMLOG2(U209/S209))</f>
        <v>0.91829583405449056</v>
      </c>
    </row>
    <row r="210" spans="1:23" x14ac:dyDescent="0.35">
      <c r="R210" t="s">
        <v>366</v>
      </c>
      <c r="S210">
        <f>COUNTIFS($L$109:$L$190,$L$109,$M$109:$M$190,$M$189)</f>
        <v>2</v>
      </c>
      <c r="T210">
        <f>COUNTIFS($L$109:$L$190,$L$109,$M$109:$M$190,$M$189,$O$109:$O$190,$O$109)</f>
        <v>2</v>
      </c>
      <c r="U210">
        <f>COUNTIFS($L$109:$L$190,$L$109,$M$109:$M$190,$M$189,$O$109:$O$190,$O$112)</f>
        <v>0</v>
      </c>
      <c r="V210">
        <v>0</v>
      </c>
    </row>
    <row r="211" spans="1:23" x14ac:dyDescent="0.35">
      <c r="R211" t="s">
        <v>362</v>
      </c>
      <c r="S211">
        <f>COUNTIFS($L$109:$L$190,$L$115,$M$109:$M$190,$M$189)</f>
        <v>1</v>
      </c>
      <c r="T211">
        <f>COUNTIFS($L$109:$L$190,$L$115,$M$109:$M$190,$M$189,$O$109:$O$190,$O$109)</f>
        <v>1</v>
      </c>
      <c r="U211">
        <f>COUNTIFS($L$109:$L$190,$L$115,$M$109:$M$190,$M$189,$O$109:$O$190,$O$112)</f>
        <v>0</v>
      </c>
      <c r="V211">
        <v>0</v>
      </c>
    </row>
    <row r="213" spans="1:23" x14ac:dyDescent="0.35">
      <c r="Q213" t="s">
        <v>11</v>
      </c>
      <c r="W213" s="206">
        <f>$V$109-((S214/$S$109*V214)+(S215/$S$109*V215))</f>
        <v>3.1061544612312697E-2</v>
      </c>
    </row>
    <row r="214" spans="1:23" x14ac:dyDescent="0.35">
      <c r="R214" t="s">
        <v>365</v>
      </c>
      <c r="S214">
        <f>COUNTIFS($N$109:$N$190,$N$112,$M$109:$M$190,$M$109)</f>
        <v>14</v>
      </c>
      <c r="T214">
        <f>COUNTIFS($N$109:$N$190,$N$112,$M$109:$M$190,$M$109,$O$109:$O$190,$O$109)</f>
        <v>10</v>
      </c>
      <c r="U214">
        <f>COUNTIFS($N$109:$N$190,$N$112,$M$109:$M$190,$M$109,$O$109:$O$190,$O$112)</f>
        <v>4</v>
      </c>
      <c r="V214">
        <f t="shared" ref="V214" si="24">((-T214/S214)*IMLOG2(T214/S214))+((-U214/S214)*IMLOG2(U214/S214))</f>
        <v>0.86312056856663</v>
      </c>
    </row>
    <row r="215" spans="1:23" x14ac:dyDescent="0.35">
      <c r="R215" t="s">
        <v>366</v>
      </c>
      <c r="S215">
        <f>COUNTIFS($N$109:$N$190,$N$109,$M$109:$M$190,$M$109)</f>
        <v>1</v>
      </c>
      <c r="T215">
        <f>COUNTIFS($N$109:$N$190,$N$109,$M$109:$M$190,$M$109,$O$109:$O$190,$O$109)</f>
        <v>1</v>
      </c>
      <c r="U215">
        <f>COUNTIFS($N$109:$N$190,$N$109,$M$109:$M$190,$M$109,$O$109:$O$190,$O$112)</f>
        <v>0</v>
      </c>
      <c r="V215">
        <v>0</v>
      </c>
    </row>
    <row r="216" spans="1:23" x14ac:dyDescent="0.35">
      <c r="W216" s="43">
        <f>MAX(W112:W213)</f>
        <v>0.29664971060050938</v>
      </c>
    </row>
    <row r="217" spans="1:23" ht="29.5" thickBot="1" x14ac:dyDescent="0.4">
      <c r="A217" s="192" t="s">
        <v>0</v>
      </c>
      <c r="B217" s="193" t="s">
        <v>1</v>
      </c>
      <c r="C217" s="194" t="s">
        <v>2</v>
      </c>
      <c r="D217" s="193" t="s">
        <v>3</v>
      </c>
      <c r="E217" s="193" t="s">
        <v>4</v>
      </c>
      <c r="F217" s="194" t="s">
        <v>5</v>
      </c>
      <c r="G217" s="194" t="s">
        <v>6</v>
      </c>
      <c r="H217" s="194" t="s">
        <v>21</v>
      </c>
      <c r="I217" s="194" t="s">
        <v>7</v>
      </c>
      <c r="J217" s="194" t="s">
        <v>8</v>
      </c>
      <c r="K217" s="194" t="s">
        <v>25</v>
      </c>
      <c r="L217" s="194" t="s">
        <v>9</v>
      </c>
      <c r="M217" s="194" t="s">
        <v>10</v>
      </c>
      <c r="N217" s="195" t="s">
        <v>11</v>
      </c>
      <c r="O217" s="196" t="s">
        <v>346</v>
      </c>
      <c r="Q217" t="s">
        <v>379</v>
      </c>
      <c r="S217" s="197" t="s">
        <v>356</v>
      </c>
      <c r="T217" s="197" t="s">
        <v>357</v>
      </c>
      <c r="U217" s="198" t="s">
        <v>358</v>
      </c>
      <c r="V217" s="197" t="s">
        <v>359</v>
      </c>
      <c r="W217" s="197" t="s">
        <v>360</v>
      </c>
    </row>
    <row r="218" spans="1:23" ht="15" hidden="1" thickTop="1" x14ac:dyDescent="0.35">
      <c r="A218" s="147">
        <v>1</v>
      </c>
      <c r="B218" s="33" t="s">
        <v>284</v>
      </c>
      <c r="C218" s="6" t="s">
        <v>12</v>
      </c>
      <c r="D218" s="7" t="s">
        <v>13</v>
      </c>
      <c r="E218" s="32" t="str">
        <f>'B.kriteria &amp; R.kecocokan'!$B$24</f>
        <v>Cukup</v>
      </c>
      <c r="F218" s="191" t="str">
        <f>'B.kriteria &amp; R.kecocokan'!$B$34</f>
        <v>Tinggi</v>
      </c>
      <c r="G218" s="191" t="str">
        <f>'B.kriteria &amp; R.kecocokan'!$B$41</f>
        <v>Rendah</v>
      </c>
      <c r="H218" s="191" t="str">
        <f>'B.kriteria &amp; R.kecocokan'!$B$72</f>
        <v>Rendah</v>
      </c>
      <c r="I218" s="191" t="str">
        <f>'B.kriteria &amp; R.kecocokan'!$B$95</f>
        <v>Rendah</v>
      </c>
      <c r="J218" s="191" t="str">
        <f>'B.kriteria &amp; R.kecocokan'!$B$80</f>
        <v>Rendah</v>
      </c>
      <c r="K218" s="191" t="str">
        <f>'B.kriteria &amp; R.kecocokan'!$B$89</f>
        <v>Sedikit</v>
      </c>
      <c r="L218" s="191" t="str">
        <f>'B.kriteria &amp; R.kecocokan'!$B$49</f>
        <v>Rendah</v>
      </c>
      <c r="M218" s="191" t="str">
        <f>'B.kriteria &amp; R.kecocokan'!$B$57</f>
        <v>Rendah</v>
      </c>
      <c r="N218" s="51" t="str">
        <f>'B.kriteria &amp; R.kecocokan'!$B$65</f>
        <v>Rendah</v>
      </c>
      <c r="O218" s="199" t="s">
        <v>347</v>
      </c>
    </row>
    <row r="219" spans="1:23" ht="15" hidden="1" thickTop="1" x14ac:dyDescent="0.35">
      <c r="A219" s="57">
        <v>2</v>
      </c>
      <c r="B219" s="16" t="s">
        <v>279</v>
      </c>
      <c r="C219" s="2" t="s">
        <v>24</v>
      </c>
      <c r="D219" s="11" t="s">
        <v>13</v>
      </c>
      <c r="E219" s="32" t="str">
        <f>'B.kriteria &amp; R.kecocokan'!$B$24</f>
        <v>Cukup</v>
      </c>
      <c r="F219" s="9" t="str">
        <f>'B.kriteria &amp; R.kecocokan'!$B$34</f>
        <v>Tinggi</v>
      </c>
      <c r="G219" s="191" t="str">
        <f>'B.kriteria &amp; R.kecocokan'!$B$41</f>
        <v>Rendah</v>
      </c>
      <c r="H219" s="191" t="str">
        <f>'B.kriteria &amp; R.kecocokan'!$B$72</f>
        <v>Rendah</v>
      </c>
      <c r="I219" s="191" t="str">
        <f>'B.kriteria &amp; R.kecocokan'!$B$95</f>
        <v>Rendah</v>
      </c>
      <c r="J219" s="9" t="str">
        <f>'B.kriteria &amp; R.kecocokan'!$B$81</f>
        <v>Tinggi</v>
      </c>
      <c r="K219" s="9" t="str">
        <f>'B.kriteria &amp; R.kecocokan'!$B$90</f>
        <v>Sangat Sedikit</v>
      </c>
      <c r="L219" s="191" t="str">
        <f>'B.kriteria &amp; R.kecocokan'!$B$49</f>
        <v>Rendah</v>
      </c>
      <c r="M219" s="191" t="str">
        <f>'B.kriteria &amp; R.kecocokan'!$B$57</f>
        <v>Rendah</v>
      </c>
      <c r="N219" s="51" t="str">
        <f>'B.kriteria &amp; R.kecocokan'!$B$65</f>
        <v>Rendah</v>
      </c>
      <c r="O219" s="52" t="s">
        <v>347</v>
      </c>
    </row>
    <row r="220" spans="1:23" ht="15" hidden="1" thickTop="1" x14ac:dyDescent="0.35">
      <c r="A220" s="147">
        <v>3</v>
      </c>
      <c r="B220" s="16" t="s">
        <v>285</v>
      </c>
      <c r="C220" s="2" t="s">
        <v>26</v>
      </c>
      <c r="D220" s="11" t="s">
        <v>13</v>
      </c>
      <c r="E220" s="9" t="str">
        <f>'B.kriteria &amp; R.kecocokan'!$B$23</f>
        <v>Banyak</v>
      </c>
      <c r="F220" s="9" t="str">
        <f>'B.kriteria &amp; R.kecocokan'!$B$34</f>
        <v>Tinggi</v>
      </c>
      <c r="G220" s="191" t="str">
        <f>'B.kriteria &amp; R.kecocokan'!$B$41</f>
        <v>Rendah</v>
      </c>
      <c r="H220" s="191" t="str">
        <f>'B.kriteria &amp; R.kecocokan'!$B$72</f>
        <v>Rendah</v>
      </c>
      <c r="I220" s="191" t="str">
        <f>'B.kriteria &amp; R.kecocokan'!$B$95</f>
        <v>Rendah</v>
      </c>
      <c r="J220" s="191" t="str">
        <f>'B.kriteria &amp; R.kecocokan'!$B$80</f>
        <v>Rendah</v>
      </c>
      <c r="K220" s="9" t="str">
        <f>'B.kriteria &amp; R.kecocokan'!$B$90</f>
        <v>Sangat Sedikit</v>
      </c>
      <c r="L220" s="191" t="str">
        <f>'B.kriteria &amp; R.kecocokan'!$B$49</f>
        <v>Rendah</v>
      </c>
      <c r="M220" s="191" t="str">
        <f>'B.kriteria &amp; R.kecocokan'!$B$57</f>
        <v>Rendah</v>
      </c>
      <c r="N220" s="51" t="str">
        <f>'B.kriteria &amp; R.kecocokan'!$B$65</f>
        <v>Rendah</v>
      </c>
      <c r="O220" s="52" t="s">
        <v>347</v>
      </c>
    </row>
    <row r="221" spans="1:23" ht="15" hidden="1" thickTop="1" x14ac:dyDescent="0.35">
      <c r="A221" s="147">
        <v>4</v>
      </c>
      <c r="B221" s="16" t="s">
        <v>256</v>
      </c>
      <c r="C221" s="2" t="s">
        <v>27</v>
      </c>
      <c r="D221" s="11" t="s">
        <v>13</v>
      </c>
      <c r="E221" s="32" t="str">
        <f>'B.kriteria &amp; R.kecocokan'!$B$24</f>
        <v>Cukup</v>
      </c>
      <c r="F221" s="9" t="str">
        <f>'B.kriteria &amp; R.kecocokan'!$B$34</f>
        <v>Tinggi</v>
      </c>
      <c r="G221" s="191" t="str">
        <f>'B.kriteria &amp; R.kecocokan'!$B$41</f>
        <v>Rendah</v>
      </c>
      <c r="H221" s="191" t="str">
        <f>'B.kriteria &amp; R.kecocokan'!$B$72</f>
        <v>Rendah</v>
      </c>
      <c r="I221" s="191" t="str">
        <f>'B.kriteria &amp; R.kecocokan'!$B$95</f>
        <v>Rendah</v>
      </c>
      <c r="J221" s="191" t="str">
        <f>'B.kriteria &amp; R.kecocokan'!$B$80</f>
        <v>Rendah</v>
      </c>
      <c r="K221" s="191" t="str">
        <f>'B.kriteria &amp; R.kecocokan'!$B$89</f>
        <v>Sedikit</v>
      </c>
      <c r="L221" s="191" t="str">
        <f>'B.kriteria &amp; R.kecocokan'!$B$49</f>
        <v>Rendah</v>
      </c>
      <c r="M221" s="191" t="str">
        <f>'B.kriteria &amp; R.kecocokan'!$B$57</f>
        <v>Rendah</v>
      </c>
      <c r="N221" s="51" t="str">
        <f>'B.kriteria &amp; R.kecocokan'!$B$65</f>
        <v>Rendah</v>
      </c>
      <c r="O221" s="52" t="s">
        <v>347</v>
      </c>
    </row>
    <row r="222" spans="1:23" ht="15" hidden="1" thickTop="1" x14ac:dyDescent="0.35">
      <c r="A222" s="57">
        <v>5</v>
      </c>
      <c r="B222" s="2">
        <f>Penghasilan!B233</f>
        <v>0</v>
      </c>
      <c r="C222" s="2" t="s">
        <v>31</v>
      </c>
      <c r="D222" s="11" t="s">
        <v>95</v>
      </c>
      <c r="E222" s="32" t="str">
        <f>'B.kriteria &amp; R.kecocokan'!$B$24</f>
        <v>Cukup</v>
      </c>
      <c r="F222" s="9" t="str">
        <f>'B.kriteria &amp; R.kecocokan'!$B$34</f>
        <v>Tinggi</v>
      </c>
      <c r="G222" s="191" t="str">
        <f>'B.kriteria &amp; R.kecocokan'!$B$41</f>
        <v>Rendah</v>
      </c>
      <c r="H222" s="191" t="str">
        <f>'B.kriteria &amp; R.kecocokan'!$B$72</f>
        <v>Rendah</v>
      </c>
      <c r="I222" s="191" t="str">
        <f>'B.kriteria &amp; R.kecocokan'!$B$95</f>
        <v>Rendah</v>
      </c>
      <c r="J222" s="191" t="str">
        <f>'B.kriteria &amp; R.kecocokan'!$B$80</f>
        <v>Rendah</v>
      </c>
      <c r="K222" s="9" t="str">
        <f>'B.kriteria &amp; R.kecocokan'!$B$88</f>
        <v>Sedang</v>
      </c>
      <c r="L222" s="191" t="str">
        <f>'B.kriteria &amp; R.kecocokan'!$B$49</f>
        <v>Rendah</v>
      </c>
      <c r="M222" s="191" t="str">
        <f>'B.kriteria &amp; R.kecocokan'!$B$57</f>
        <v>Rendah</v>
      </c>
      <c r="N222" s="51" t="str">
        <f>'B.kriteria &amp; R.kecocokan'!$B$65</f>
        <v>Rendah</v>
      </c>
      <c r="O222" s="52" t="s">
        <v>347</v>
      </c>
    </row>
    <row r="223" spans="1:23" ht="15" hidden="1" thickTop="1" x14ac:dyDescent="0.35">
      <c r="A223" s="147">
        <v>6</v>
      </c>
      <c r="B223" s="16" t="s">
        <v>275</v>
      </c>
      <c r="C223" s="2" t="s">
        <v>32</v>
      </c>
      <c r="D223" s="11" t="s">
        <v>13</v>
      </c>
      <c r="E223" s="9" t="str">
        <f>'B.kriteria &amp; R.kecocokan'!$B$23</f>
        <v>Banyak</v>
      </c>
      <c r="F223" s="9" t="str">
        <f>'B.kriteria &amp; R.kecocokan'!$B$34</f>
        <v>Tinggi</v>
      </c>
      <c r="G223" s="191" t="str">
        <f>'B.kriteria &amp; R.kecocokan'!$B$41</f>
        <v>Rendah</v>
      </c>
      <c r="H223" s="191" t="str">
        <f>'B.kriteria &amp; R.kecocokan'!$B$72</f>
        <v>Rendah</v>
      </c>
      <c r="I223" s="191" t="str">
        <f>'B.kriteria &amp; R.kecocokan'!$B$95</f>
        <v>Rendah</v>
      </c>
      <c r="J223" s="191" t="str">
        <f>'B.kriteria &amp; R.kecocokan'!$B$80</f>
        <v>Rendah</v>
      </c>
      <c r="K223" s="191" t="str">
        <f>'B.kriteria &amp; R.kecocokan'!$B$89</f>
        <v>Sedikit</v>
      </c>
      <c r="L223" s="191" t="str">
        <f>'B.kriteria &amp; R.kecocokan'!$B$49</f>
        <v>Rendah</v>
      </c>
      <c r="M223" s="191" t="str">
        <f>'B.kriteria &amp; R.kecocokan'!$B$57</f>
        <v>Rendah</v>
      </c>
      <c r="N223" s="51" t="str">
        <f>'B.kriteria &amp; R.kecocokan'!$B$65</f>
        <v>Rendah</v>
      </c>
      <c r="O223" s="52" t="s">
        <v>347</v>
      </c>
    </row>
    <row r="224" spans="1:23" ht="15" hidden="1" thickTop="1" x14ac:dyDescent="0.35">
      <c r="A224" s="147">
        <v>7</v>
      </c>
      <c r="B224" s="16" t="s">
        <v>286</v>
      </c>
      <c r="C224" s="2" t="s">
        <v>34</v>
      </c>
      <c r="D224" s="11" t="s">
        <v>13</v>
      </c>
      <c r="E224" s="9" t="str">
        <f>'B.kriteria &amp; R.kecocokan'!$B$23</f>
        <v>Banyak</v>
      </c>
      <c r="F224" s="9" t="str">
        <f>'B.kriteria &amp; R.kecocokan'!$B$34</f>
        <v>Tinggi</v>
      </c>
      <c r="G224" s="191" t="str">
        <f>'B.kriteria &amp; R.kecocokan'!$B$41</f>
        <v>Rendah</v>
      </c>
      <c r="H224" s="191" t="str">
        <f>'B.kriteria &amp; R.kecocokan'!$B$72</f>
        <v>Rendah</v>
      </c>
      <c r="I224" s="191" t="str">
        <f>'B.kriteria &amp; R.kecocokan'!$B$95</f>
        <v>Rendah</v>
      </c>
      <c r="J224" s="9" t="str">
        <f>'B.kriteria &amp; R.kecocokan'!$B$81</f>
        <v>Tinggi</v>
      </c>
      <c r="K224" s="9" t="str">
        <f>'B.kriteria &amp; R.kecocokan'!$B$88</f>
        <v>Sedang</v>
      </c>
      <c r="L224" s="191" t="str">
        <f>'B.kriteria &amp; R.kecocokan'!$B$49</f>
        <v>Rendah</v>
      </c>
      <c r="M224" s="191" t="str">
        <f>'B.kriteria &amp; R.kecocokan'!$B$57</f>
        <v>Rendah</v>
      </c>
      <c r="N224" s="51" t="str">
        <f>'B.kriteria &amp; R.kecocokan'!$B$65</f>
        <v>Rendah</v>
      </c>
      <c r="O224" s="52" t="s">
        <v>347</v>
      </c>
    </row>
    <row r="225" spans="1:23" ht="15" hidden="1" thickTop="1" x14ac:dyDescent="0.35">
      <c r="A225" s="57">
        <v>8</v>
      </c>
      <c r="B225" s="16" t="s">
        <v>287</v>
      </c>
      <c r="C225" s="2" t="s">
        <v>35</v>
      </c>
      <c r="D225" s="12" t="s">
        <v>13</v>
      </c>
      <c r="E225" s="32" t="str">
        <f>'B.kriteria &amp; R.kecocokan'!$B$24</f>
        <v>Cukup</v>
      </c>
      <c r="F225" s="9" t="str">
        <f>'B.kriteria &amp; R.kecocokan'!$B$34</f>
        <v>Tinggi</v>
      </c>
      <c r="G225" s="191" t="str">
        <f>'B.kriteria &amp; R.kecocokan'!$B$41</f>
        <v>Rendah</v>
      </c>
      <c r="H225" s="191" t="str">
        <f>'B.kriteria &amp; R.kecocokan'!$B$72</f>
        <v>Rendah</v>
      </c>
      <c r="I225" s="191" t="str">
        <f>'B.kriteria &amp; R.kecocokan'!$B$95</f>
        <v>Rendah</v>
      </c>
      <c r="J225" s="191" t="str">
        <f>'B.kriteria &amp; R.kecocokan'!$B$80</f>
        <v>Rendah</v>
      </c>
      <c r="K225" s="191" t="str">
        <f>'B.kriteria &amp; R.kecocokan'!$B$89</f>
        <v>Sedikit</v>
      </c>
      <c r="L225" s="191" t="str">
        <f>'B.kriteria &amp; R.kecocokan'!$B$49</f>
        <v>Rendah</v>
      </c>
      <c r="M225" s="191" t="str">
        <f>'B.kriteria &amp; R.kecocokan'!$B$57</f>
        <v>Rendah</v>
      </c>
      <c r="N225" s="51" t="str">
        <f>'B.kriteria &amp; R.kecocokan'!$B$65</f>
        <v>Rendah</v>
      </c>
      <c r="O225" s="52" t="s">
        <v>347</v>
      </c>
    </row>
    <row r="226" spans="1:23" ht="15" hidden="1" thickTop="1" x14ac:dyDescent="0.35">
      <c r="A226" s="147">
        <v>9</v>
      </c>
      <c r="B226" s="2">
        <f>Penghasilan!B281</f>
        <v>0</v>
      </c>
      <c r="C226" s="2" t="s">
        <v>36</v>
      </c>
      <c r="D226" s="11" t="s">
        <v>13</v>
      </c>
      <c r="E226" s="32" t="str">
        <f>'B.kriteria &amp; R.kecocokan'!$B$24</f>
        <v>Cukup</v>
      </c>
      <c r="F226" s="9" t="str">
        <f>'B.kriteria &amp; R.kecocokan'!$B$34</f>
        <v>Tinggi</v>
      </c>
      <c r="G226" s="9" t="str">
        <f>'B.kriteria &amp; R.kecocokan'!$B$43</f>
        <v>Tinggi</v>
      </c>
      <c r="H226" s="191" t="str">
        <f>'B.kriteria &amp; R.kecocokan'!$B$72</f>
        <v>Rendah</v>
      </c>
      <c r="I226" s="191" t="str">
        <f>'B.kriteria &amp; R.kecocokan'!$B$95</f>
        <v>Rendah</v>
      </c>
      <c r="J226" s="191" t="str">
        <f>'B.kriteria &amp; R.kecocokan'!$B$80</f>
        <v>Rendah</v>
      </c>
      <c r="K226" s="9" t="str">
        <f>'B.kriteria &amp; R.kecocokan'!$B$88</f>
        <v>Sedang</v>
      </c>
      <c r="L226" s="191" t="str">
        <f>'B.kriteria &amp; R.kecocokan'!$B$49</f>
        <v>Rendah</v>
      </c>
      <c r="M226" s="191" t="str">
        <f>'B.kriteria &amp; R.kecocokan'!$B$57</f>
        <v>Rendah</v>
      </c>
      <c r="N226" s="51" t="str">
        <f>'B.kriteria &amp; R.kecocokan'!$B$65</f>
        <v>Rendah</v>
      </c>
      <c r="O226" s="52" t="s">
        <v>347</v>
      </c>
    </row>
    <row r="227" spans="1:23" ht="15" hidden="1" thickTop="1" x14ac:dyDescent="0.35">
      <c r="A227" s="147">
        <v>10</v>
      </c>
      <c r="B227" s="16" t="s">
        <v>266</v>
      </c>
      <c r="C227" s="2" t="s">
        <v>39</v>
      </c>
      <c r="D227" s="12" t="s">
        <v>13</v>
      </c>
      <c r="E227" s="32" t="str">
        <f>'B.kriteria &amp; R.kecocokan'!$B$24</f>
        <v>Cukup</v>
      </c>
      <c r="F227" s="9" t="str">
        <f>'B.kriteria &amp; R.kecocokan'!$B$34</f>
        <v>Tinggi</v>
      </c>
      <c r="G227" s="191" t="str">
        <f>'B.kriteria &amp; R.kecocokan'!$B$41</f>
        <v>Rendah</v>
      </c>
      <c r="H227" s="191" t="str">
        <f>'B.kriteria &amp; R.kecocokan'!$B$72</f>
        <v>Rendah</v>
      </c>
      <c r="I227" s="191" t="str">
        <f>'B.kriteria &amp; R.kecocokan'!$B$95</f>
        <v>Rendah</v>
      </c>
      <c r="J227" s="9" t="str">
        <f>'B.kriteria &amp; R.kecocokan'!$B$81</f>
        <v>Tinggi</v>
      </c>
      <c r="K227" s="9" t="str">
        <f>'B.kriteria &amp; R.kecocokan'!$B$90</f>
        <v>Sangat Sedikit</v>
      </c>
      <c r="L227" s="191" t="str">
        <f>'B.kriteria &amp; R.kecocokan'!$B$49</f>
        <v>Rendah</v>
      </c>
      <c r="M227" s="191" t="str">
        <f>'B.kriteria &amp; R.kecocokan'!$B$57</f>
        <v>Rendah</v>
      </c>
      <c r="N227" s="51" t="str">
        <f>'B.kriteria &amp; R.kecocokan'!$B$65</f>
        <v>Rendah</v>
      </c>
      <c r="O227" s="52" t="s">
        <v>349</v>
      </c>
    </row>
    <row r="228" spans="1:23" ht="15" hidden="1" thickTop="1" x14ac:dyDescent="0.35">
      <c r="A228" s="57">
        <v>11</v>
      </c>
      <c r="B228" s="16" t="s">
        <v>139</v>
      </c>
      <c r="C228" s="2" t="s">
        <v>40</v>
      </c>
      <c r="D228" s="11" t="s">
        <v>13</v>
      </c>
      <c r="E228" s="9" t="str">
        <f>'B.kriteria &amp; R.kecocokan'!$B$25</f>
        <v>Sedikit</v>
      </c>
      <c r="F228" s="9" t="str">
        <f>'B.kriteria &amp; R.kecocokan'!$B$34</f>
        <v>Tinggi</v>
      </c>
      <c r="G228" s="191" t="str">
        <f>'B.kriteria &amp; R.kecocokan'!$B$41</f>
        <v>Rendah</v>
      </c>
      <c r="H228" s="191" t="str">
        <f>'B.kriteria &amp; R.kecocokan'!$B$72</f>
        <v>Rendah</v>
      </c>
      <c r="I228" s="191" t="str">
        <f>'B.kriteria &amp; R.kecocokan'!$B$95</f>
        <v>Rendah</v>
      </c>
      <c r="J228" s="9" t="str">
        <f>'B.kriteria &amp; R.kecocokan'!$B$81</f>
        <v>Tinggi</v>
      </c>
      <c r="K228" s="9" t="str">
        <f>'B.kriteria &amp; R.kecocokan'!$B$90</f>
        <v>Sangat Sedikit</v>
      </c>
      <c r="L228" s="9" t="str">
        <f>'B.kriteria &amp; R.kecocokan'!$B$50</f>
        <v>Sedang</v>
      </c>
      <c r="M228" s="9" t="str">
        <f>'B.kriteria &amp; R.kecocokan'!$B$58</f>
        <v>Sedang</v>
      </c>
      <c r="N228" s="52" t="str">
        <f>'B.kriteria &amp; R.kecocokan'!$B$66</f>
        <v>Sedang</v>
      </c>
      <c r="O228" s="52" t="s">
        <v>349</v>
      </c>
    </row>
    <row r="229" spans="1:23" ht="15" hidden="1" thickTop="1" x14ac:dyDescent="0.35">
      <c r="A229" s="147">
        <v>12</v>
      </c>
      <c r="B229" s="16" t="s">
        <v>274</v>
      </c>
      <c r="C229" s="2" t="s">
        <v>44</v>
      </c>
      <c r="D229" s="11" t="s">
        <v>13</v>
      </c>
      <c r="E229" s="32" t="str">
        <f>'B.kriteria &amp; R.kecocokan'!$B$24</f>
        <v>Cukup</v>
      </c>
      <c r="F229" s="9" t="str">
        <f>'B.kriteria &amp; R.kecocokan'!$B$34</f>
        <v>Tinggi</v>
      </c>
      <c r="G229" s="191" t="str">
        <f>'B.kriteria &amp; R.kecocokan'!$B$41</f>
        <v>Rendah</v>
      </c>
      <c r="H229" s="191" t="str">
        <f>'B.kriteria &amp; R.kecocokan'!$B$72</f>
        <v>Rendah</v>
      </c>
      <c r="I229" s="191" t="str">
        <f>'B.kriteria &amp; R.kecocokan'!$B$95</f>
        <v>Rendah</v>
      </c>
      <c r="J229" s="9" t="str">
        <f>'B.kriteria &amp; R.kecocokan'!$B$81</f>
        <v>Tinggi</v>
      </c>
      <c r="K229" s="9" t="str">
        <f>'B.kriteria &amp; R.kecocokan'!$B$90</f>
        <v>Sangat Sedikit</v>
      </c>
      <c r="L229" s="191" t="str">
        <f>'B.kriteria &amp; R.kecocokan'!$B$49</f>
        <v>Rendah</v>
      </c>
      <c r="M229" s="191" t="str">
        <f>'B.kriteria &amp; R.kecocokan'!$B$57</f>
        <v>Rendah</v>
      </c>
      <c r="N229" s="51" t="str">
        <f>'B.kriteria &amp; R.kecocokan'!$B$65</f>
        <v>Rendah</v>
      </c>
      <c r="O229" s="52" t="s">
        <v>347</v>
      </c>
    </row>
    <row r="230" spans="1:23" ht="15" hidden="1" thickTop="1" x14ac:dyDescent="0.35">
      <c r="A230" s="147">
        <v>13</v>
      </c>
      <c r="B230" s="16" t="s">
        <v>273</v>
      </c>
      <c r="C230" s="2" t="s">
        <v>45</v>
      </c>
      <c r="D230" s="11" t="s">
        <v>13</v>
      </c>
      <c r="E230" s="32" t="str">
        <f>'B.kriteria &amp; R.kecocokan'!$B$24</f>
        <v>Cukup</v>
      </c>
      <c r="F230" s="9" t="str">
        <f>'B.kriteria &amp; R.kecocokan'!$B$34</f>
        <v>Tinggi</v>
      </c>
      <c r="G230" s="9" t="str">
        <f>'B.kriteria &amp; R.kecocokan'!$B$43</f>
        <v>Tinggi</v>
      </c>
      <c r="H230" s="191" t="str">
        <f>'B.kriteria &amp; R.kecocokan'!$B$72</f>
        <v>Rendah</v>
      </c>
      <c r="I230" s="191" t="str">
        <f>'B.kriteria &amp; R.kecocokan'!$B$95</f>
        <v>Rendah</v>
      </c>
      <c r="J230" s="191" t="str">
        <f>'B.kriteria &amp; R.kecocokan'!$B$80</f>
        <v>Rendah</v>
      </c>
      <c r="K230" s="9" t="str">
        <f>'B.kriteria &amp; R.kecocokan'!$B$88</f>
        <v>Sedang</v>
      </c>
      <c r="L230" s="191" t="str">
        <f>'B.kriteria &amp; R.kecocokan'!$B$49</f>
        <v>Rendah</v>
      </c>
      <c r="M230" s="191" t="str">
        <f>'B.kriteria &amp; R.kecocokan'!$B$57</f>
        <v>Rendah</v>
      </c>
      <c r="N230" s="51" t="str">
        <f>'B.kriteria &amp; R.kecocokan'!$B$65</f>
        <v>Rendah</v>
      </c>
      <c r="O230" s="52" t="s">
        <v>347</v>
      </c>
    </row>
    <row r="231" spans="1:23" ht="29" customHeight="1" thickTop="1" x14ac:dyDescent="0.35">
      <c r="A231" s="57">
        <v>14</v>
      </c>
      <c r="B231" s="16" t="s">
        <v>283</v>
      </c>
      <c r="C231" s="2" t="s">
        <v>46</v>
      </c>
      <c r="D231" s="11" t="s">
        <v>13</v>
      </c>
      <c r="E231" s="32" t="str">
        <f>'B.kriteria &amp; R.kecocokan'!$B$24</f>
        <v>Cukup</v>
      </c>
      <c r="F231" s="9" t="str">
        <f>'B.kriteria &amp; R.kecocokan'!$B$35</f>
        <v>Sangat Tinggi</v>
      </c>
      <c r="G231" s="191" t="str">
        <f>'B.kriteria &amp; R.kecocokan'!$B$41</f>
        <v>Rendah</v>
      </c>
      <c r="H231" s="191" t="str">
        <f>'B.kriteria &amp; R.kecocokan'!$B$72</f>
        <v>Rendah</v>
      </c>
      <c r="I231" s="191" t="str">
        <f>'B.kriteria &amp; R.kecocokan'!$B$95</f>
        <v>Rendah</v>
      </c>
      <c r="J231" s="191" t="str">
        <f>'B.kriteria &amp; R.kecocokan'!$B$80</f>
        <v>Rendah</v>
      </c>
      <c r="K231" s="191" t="str">
        <f>'B.kriteria &amp; R.kecocokan'!$B$89</f>
        <v>Sedikit</v>
      </c>
      <c r="L231" s="191" t="str">
        <f>'B.kriteria &amp; R.kecocokan'!$B$49</f>
        <v>Rendah</v>
      </c>
      <c r="M231" s="9" t="str">
        <f>'B.kriteria &amp; R.kecocokan'!$B$58</f>
        <v>Sedang</v>
      </c>
      <c r="N231" s="51" t="str">
        <f>'B.kriteria &amp; R.kecocokan'!$B$65</f>
        <v>Rendah</v>
      </c>
      <c r="O231" s="52" t="s">
        <v>347</v>
      </c>
      <c r="Q231" s="230" t="s">
        <v>437</v>
      </c>
      <c r="R231" s="230"/>
      <c r="S231">
        <f>S205</f>
        <v>5</v>
      </c>
      <c r="T231">
        <f>T205</f>
        <v>2</v>
      </c>
      <c r="U231">
        <f>U205</f>
        <v>3</v>
      </c>
      <c r="V231">
        <f t="shared" ref="V231" si="25">((-T231/S231)*IMLOG2(T231/S231))+((-U231/S231)*IMLOG2(U231/S231))</f>
        <v>0.97095059445466747</v>
      </c>
    </row>
    <row r="232" spans="1:23" hidden="1" x14ac:dyDescent="0.35">
      <c r="A232" s="147">
        <v>15</v>
      </c>
      <c r="B232" s="16" t="s">
        <v>276</v>
      </c>
      <c r="C232" s="2" t="s">
        <v>48</v>
      </c>
      <c r="D232" s="11" t="s">
        <v>13</v>
      </c>
      <c r="E232" s="9" t="str">
        <f>'B.kriteria &amp; R.kecocokan'!$B$23</f>
        <v>Banyak</v>
      </c>
      <c r="F232" s="9" t="str">
        <f>'B.kriteria &amp; R.kecocokan'!$B$35</f>
        <v>Sangat Tinggi</v>
      </c>
      <c r="G232" s="191" t="str">
        <f>'B.kriteria &amp; R.kecocokan'!$B$41</f>
        <v>Rendah</v>
      </c>
      <c r="H232" s="191" t="str">
        <f>'B.kriteria &amp; R.kecocokan'!$B$72</f>
        <v>Rendah</v>
      </c>
      <c r="I232" s="191" t="str">
        <f>'B.kriteria &amp; R.kecocokan'!$B$95</f>
        <v>Rendah</v>
      </c>
      <c r="J232" s="191" t="str">
        <f>'B.kriteria &amp; R.kecocokan'!$B$80</f>
        <v>Rendah</v>
      </c>
      <c r="K232" s="9" t="str">
        <f>'B.kriteria &amp; R.kecocokan'!$B$88</f>
        <v>Sedang</v>
      </c>
      <c r="L232" s="191" t="str">
        <f>'B.kriteria &amp; R.kecocokan'!$B$49</f>
        <v>Rendah</v>
      </c>
      <c r="M232" s="191" t="str">
        <f>'B.kriteria &amp; R.kecocokan'!$B$57</f>
        <v>Rendah</v>
      </c>
      <c r="N232" s="51" t="str">
        <f>'B.kriteria &amp; R.kecocokan'!$B$65</f>
        <v>Rendah</v>
      </c>
      <c r="O232" s="52" t="s">
        <v>347</v>
      </c>
    </row>
    <row r="233" spans="1:23" hidden="1" x14ac:dyDescent="0.35">
      <c r="A233" s="147">
        <v>16</v>
      </c>
      <c r="B233" s="16" t="s">
        <v>280</v>
      </c>
      <c r="C233" s="2" t="s">
        <v>49</v>
      </c>
      <c r="D233" s="11" t="s">
        <v>13</v>
      </c>
      <c r="E233" s="32" t="str">
        <f>'B.kriteria &amp; R.kecocokan'!$B$24</f>
        <v>Cukup</v>
      </c>
      <c r="F233" s="9" t="str">
        <f>'B.kriteria &amp; R.kecocokan'!$B$34</f>
        <v>Tinggi</v>
      </c>
      <c r="G233" s="191" t="str">
        <f>'B.kriteria &amp; R.kecocokan'!$B$41</f>
        <v>Rendah</v>
      </c>
      <c r="H233" s="191" t="str">
        <f>'B.kriteria &amp; R.kecocokan'!$B$72</f>
        <v>Rendah</v>
      </c>
      <c r="I233" s="191" t="str">
        <f>'B.kriteria &amp; R.kecocokan'!$B$95</f>
        <v>Rendah</v>
      </c>
      <c r="J233" s="9" t="str">
        <f>'B.kriteria &amp; R.kecocokan'!$B$81</f>
        <v>Tinggi</v>
      </c>
      <c r="K233" s="9" t="str">
        <f>'B.kriteria &amp; R.kecocokan'!$B$90</f>
        <v>Sangat Sedikit</v>
      </c>
      <c r="L233" s="191" t="str">
        <f>'B.kriteria &amp; R.kecocokan'!$B$49</f>
        <v>Rendah</v>
      </c>
      <c r="M233" s="191" t="str">
        <f>'B.kriteria &amp; R.kecocokan'!$B$57</f>
        <v>Rendah</v>
      </c>
      <c r="N233" s="51" t="str">
        <f>'B.kriteria &amp; R.kecocokan'!$B$65</f>
        <v>Rendah</v>
      </c>
      <c r="O233" s="52" t="s">
        <v>347</v>
      </c>
    </row>
    <row r="234" spans="1:23" hidden="1" x14ac:dyDescent="0.35">
      <c r="A234" s="57">
        <v>17</v>
      </c>
      <c r="B234" s="16" t="s">
        <v>277</v>
      </c>
      <c r="C234" s="2" t="s">
        <v>257</v>
      </c>
      <c r="D234" s="11" t="s">
        <v>13</v>
      </c>
      <c r="E234" s="32" t="str">
        <f>'B.kriteria &amp; R.kecocokan'!$B$24</f>
        <v>Cukup</v>
      </c>
      <c r="F234" s="9" t="str">
        <f>'B.kriteria &amp; R.kecocokan'!$B$35</f>
        <v>Sangat Tinggi</v>
      </c>
      <c r="G234" s="191" t="str">
        <f>'B.kriteria &amp; R.kecocokan'!$B$41</f>
        <v>Rendah</v>
      </c>
      <c r="H234" s="191" t="str">
        <f>'B.kriteria &amp; R.kecocokan'!$B$72</f>
        <v>Rendah</v>
      </c>
      <c r="I234" s="191" t="str">
        <f>'B.kriteria &amp; R.kecocokan'!$B$95</f>
        <v>Rendah</v>
      </c>
      <c r="J234" s="191" t="str">
        <f>'B.kriteria &amp; R.kecocokan'!$B$80</f>
        <v>Rendah</v>
      </c>
      <c r="K234" s="9" t="str">
        <f>'B.kriteria &amp; R.kecocokan'!$B$88</f>
        <v>Sedang</v>
      </c>
      <c r="L234" s="9" t="str">
        <f>'B.kriteria &amp; R.kecocokan'!$B$51</f>
        <v>Tinggi</v>
      </c>
      <c r="M234" s="9" t="str">
        <f>'B.kriteria &amp; R.kecocokan'!$B$58</f>
        <v>Sedang</v>
      </c>
      <c r="N234" s="51" t="str">
        <f>'B.kriteria &amp; R.kecocokan'!$B$65</f>
        <v>Rendah</v>
      </c>
      <c r="O234" s="52" t="s">
        <v>349</v>
      </c>
    </row>
    <row r="235" spans="1:23" hidden="1" x14ac:dyDescent="0.35">
      <c r="A235" s="147">
        <v>18</v>
      </c>
      <c r="B235" s="16" t="s">
        <v>271</v>
      </c>
      <c r="C235" s="2" t="s">
        <v>52</v>
      </c>
      <c r="D235" s="11" t="s">
        <v>13</v>
      </c>
      <c r="E235" s="32" t="str">
        <f>'B.kriteria &amp; R.kecocokan'!$B$24</f>
        <v>Cukup</v>
      </c>
      <c r="F235" s="9" t="str">
        <f>'B.kriteria &amp; R.kecocokan'!$B$35</f>
        <v>Sangat Tinggi</v>
      </c>
      <c r="G235" s="191" t="str">
        <f>'B.kriteria &amp; R.kecocokan'!$B$41</f>
        <v>Rendah</v>
      </c>
      <c r="H235" s="191" t="str">
        <f>'B.kriteria &amp; R.kecocokan'!$B$72</f>
        <v>Rendah</v>
      </c>
      <c r="I235" s="191" t="str">
        <f>'B.kriteria &amp; R.kecocokan'!$B$95</f>
        <v>Rendah</v>
      </c>
      <c r="J235" s="191" t="str">
        <f>'B.kriteria &amp; R.kecocokan'!$B$80</f>
        <v>Rendah</v>
      </c>
      <c r="K235" s="9" t="str">
        <f>'B.kriteria &amp; R.kecocokan'!$B$88</f>
        <v>Sedang</v>
      </c>
      <c r="L235" s="9" t="str">
        <f>'B.kriteria &amp; R.kecocokan'!$B$50</f>
        <v>Sedang</v>
      </c>
      <c r="M235" s="9" t="str">
        <f>'B.kriteria &amp; R.kecocokan'!$B$58</f>
        <v>Sedang</v>
      </c>
      <c r="N235" s="51" t="str">
        <f>'B.kriteria &amp; R.kecocokan'!$B$65</f>
        <v>Rendah</v>
      </c>
      <c r="O235" s="52" t="s">
        <v>349</v>
      </c>
    </row>
    <row r="236" spans="1:23" hidden="1" x14ac:dyDescent="0.35">
      <c r="A236" s="147">
        <v>19</v>
      </c>
      <c r="B236" s="16" t="s">
        <v>281</v>
      </c>
      <c r="C236" s="2" t="s">
        <v>55</v>
      </c>
      <c r="D236" s="11" t="s">
        <v>13</v>
      </c>
      <c r="E236" s="9" t="str">
        <f>'B.kriteria &amp; R.kecocokan'!$B$25</f>
        <v>Sedikit</v>
      </c>
      <c r="F236" s="9" t="str">
        <f>'B.kriteria &amp; R.kecocokan'!$B$34</f>
        <v>Tinggi</v>
      </c>
      <c r="G236" s="191" t="str">
        <f>'B.kriteria &amp; R.kecocokan'!$B$41</f>
        <v>Rendah</v>
      </c>
      <c r="H236" s="191" t="str">
        <f>'B.kriteria &amp; R.kecocokan'!$B$72</f>
        <v>Rendah</v>
      </c>
      <c r="I236" s="191" t="str">
        <f>'B.kriteria &amp; R.kecocokan'!$B$95</f>
        <v>Rendah</v>
      </c>
      <c r="J236" s="9" t="str">
        <f>'B.kriteria &amp; R.kecocokan'!$B$81</f>
        <v>Tinggi</v>
      </c>
      <c r="K236" s="9" t="str">
        <f>'B.kriteria &amp; R.kecocokan'!$B$90</f>
        <v>Sangat Sedikit</v>
      </c>
      <c r="L236" s="191" t="str">
        <f>'B.kriteria &amp; R.kecocokan'!$B$49</f>
        <v>Rendah</v>
      </c>
      <c r="M236" s="9" t="str">
        <f>'B.kriteria &amp; R.kecocokan'!$B$58</f>
        <v>Sedang</v>
      </c>
      <c r="N236" s="51" t="str">
        <f>'B.kriteria &amp; R.kecocokan'!$B$65</f>
        <v>Rendah</v>
      </c>
      <c r="O236" s="52" t="s">
        <v>349</v>
      </c>
    </row>
    <row r="237" spans="1:23" x14ac:dyDescent="0.35">
      <c r="A237" s="57">
        <v>20</v>
      </c>
      <c r="B237" s="16" t="s">
        <v>288</v>
      </c>
      <c r="C237" s="2" t="s">
        <v>56</v>
      </c>
      <c r="D237" s="11" t="s">
        <v>13</v>
      </c>
      <c r="E237" s="32" t="str">
        <f>'B.kriteria &amp; R.kecocokan'!$B$24</f>
        <v>Cukup</v>
      </c>
      <c r="F237" s="9" t="str">
        <f>'B.kriteria &amp; R.kecocokan'!$B$34</f>
        <v>Tinggi</v>
      </c>
      <c r="G237" s="191" t="str">
        <f>'B.kriteria &amp; R.kecocokan'!$B$41</f>
        <v>Rendah</v>
      </c>
      <c r="H237" s="191" t="str">
        <f>'B.kriteria &amp; R.kecocokan'!$B$72</f>
        <v>Rendah</v>
      </c>
      <c r="I237" s="191" t="str">
        <f>'B.kriteria &amp; R.kecocokan'!$B$95</f>
        <v>Rendah</v>
      </c>
      <c r="J237" s="191" t="str">
        <f>'B.kriteria &amp; R.kecocokan'!$B$80</f>
        <v>Rendah</v>
      </c>
      <c r="K237" s="191" t="str">
        <f>'B.kriteria &amp; R.kecocokan'!$B$89</f>
        <v>Sedikit</v>
      </c>
      <c r="L237" s="191" t="str">
        <f>'B.kriteria &amp; R.kecocokan'!$B$49</f>
        <v>Rendah</v>
      </c>
      <c r="M237" s="9" t="str">
        <f>'B.kriteria &amp; R.kecocokan'!$B$58</f>
        <v>Sedang</v>
      </c>
      <c r="N237" s="51" t="str">
        <f>'B.kriteria &amp; R.kecocokan'!$B$65</f>
        <v>Rendah</v>
      </c>
      <c r="O237" s="52" t="s">
        <v>347</v>
      </c>
      <c r="Q237" t="s">
        <v>4</v>
      </c>
      <c r="W237" s="206">
        <f>$V$231-((S245/$S$231*V245)+(S248/$S$231*V248)+(S300/$S$231*V300))</f>
        <v>0</v>
      </c>
    </row>
    <row r="238" spans="1:23" hidden="1" x14ac:dyDescent="0.35">
      <c r="A238" s="147">
        <v>21</v>
      </c>
      <c r="B238" s="16" t="s">
        <v>282</v>
      </c>
      <c r="C238" s="2" t="s">
        <v>57</v>
      </c>
      <c r="D238" s="11" t="s">
        <v>13</v>
      </c>
      <c r="E238" s="9" t="str">
        <f>'B.kriteria &amp; R.kecocokan'!$B$25</f>
        <v>Sedikit</v>
      </c>
      <c r="F238" s="9" t="str">
        <f>'B.kriteria &amp; R.kecocokan'!$B$35</f>
        <v>Sangat Tinggi</v>
      </c>
      <c r="G238" s="191" t="str">
        <f>'B.kriteria &amp; R.kecocokan'!$B$41</f>
        <v>Rendah</v>
      </c>
      <c r="H238" s="191" t="str">
        <f>'B.kriteria &amp; R.kecocokan'!$B$72</f>
        <v>Rendah</v>
      </c>
      <c r="I238" s="191" t="str">
        <f>'B.kriteria &amp; R.kecocokan'!$B$95</f>
        <v>Rendah</v>
      </c>
      <c r="J238" s="9" t="str">
        <f>'B.kriteria &amp; R.kecocokan'!$B$81</f>
        <v>Tinggi</v>
      </c>
      <c r="K238" s="9" t="str">
        <f>'B.kriteria &amp; R.kecocokan'!$B$90</f>
        <v>Sangat Sedikit</v>
      </c>
      <c r="L238" s="191" t="str">
        <f>'B.kriteria &amp; R.kecocokan'!$B$49</f>
        <v>Rendah</v>
      </c>
      <c r="M238" s="9" t="str">
        <f>'B.kriteria &amp; R.kecocokan'!$B$58</f>
        <v>Sedang</v>
      </c>
      <c r="N238" s="51" t="str">
        <f>'B.kriteria &amp; R.kecocokan'!$B$65</f>
        <v>Rendah</v>
      </c>
      <c r="O238" s="52" t="s">
        <v>349</v>
      </c>
    </row>
    <row r="239" spans="1:23" hidden="1" x14ac:dyDescent="0.35">
      <c r="A239" s="147">
        <v>22</v>
      </c>
      <c r="B239" s="16" t="s">
        <v>270</v>
      </c>
      <c r="C239" s="2" t="s">
        <v>59</v>
      </c>
      <c r="D239" s="11" t="s">
        <v>13</v>
      </c>
      <c r="E239" s="9" t="str">
        <f>'B.kriteria &amp; R.kecocokan'!$B$23</f>
        <v>Banyak</v>
      </c>
      <c r="F239" s="9" t="str">
        <f>'B.kriteria &amp; R.kecocokan'!$B$34</f>
        <v>Tinggi</v>
      </c>
      <c r="G239" s="191" t="str">
        <f>'B.kriteria &amp; R.kecocokan'!$B$41</f>
        <v>Rendah</v>
      </c>
      <c r="H239" s="191" t="str">
        <f>'B.kriteria &amp; R.kecocokan'!$B$72</f>
        <v>Rendah</v>
      </c>
      <c r="I239" s="191" t="str">
        <f>'B.kriteria &amp; R.kecocokan'!$B$95</f>
        <v>Rendah</v>
      </c>
      <c r="J239" s="191" t="str">
        <f>'B.kriteria &amp; R.kecocokan'!$B$80</f>
        <v>Rendah</v>
      </c>
      <c r="K239" s="9" t="str">
        <f>'B.kriteria &amp; R.kecocokan'!$B$88</f>
        <v>Sedang</v>
      </c>
      <c r="L239" s="191" t="str">
        <f>'B.kriteria &amp; R.kecocokan'!$B$49</f>
        <v>Rendah</v>
      </c>
      <c r="M239" s="191" t="str">
        <f>'B.kriteria &amp; R.kecocokan'!$B$57</f>
        <v>Rendah</v>
      </c>
      <c r="N239" s="51" t="str">
        <f>'B.kriteria &amp; R.kecocokan'!$B$65</f>
        <v>Rendah</v>
      </c>
      <c r="O239" s="52" t="s">
        <v>347</v>
      </c>
    </row>
    <row r="240" spans="1:23" hidden="1" x14ac:dyDescent="0.35">
      <c r="A240" s="57">
        <v>23</v>
      </c>
      <c r="B240" s="16" t="s">
        <v>265</v>
      </c>
      <c r="C240" s="2" t="s">
        <v>61</v>
      </c>
      <c r="D240" s="11" t="s">
        <v>13</v>
      </c>
      <c r="E240" s="32" t="str">
        <f>'B.kriteria &amp; R.kecocokan'!$B$24</f>
        <v>Cukup</v>
      </c>
      <c r="F240" s="9" t="str">
        <f>'B.kriteria &amp; R.kecocokan'!$B$34</f>
        <v>Tinggi</v>
      </c>
      <c r="G240" s="191" t="str">
        <f>'B.kriteria &amp; R.kecocokan'!$B$41</f>
        <v>Rendah</v>
      </c>
      <c r="H240" s="191" t="str">
        <f>'B.kriteria &amp; R.kecocokan'!$B$72</f>
        <v>Rendah</v>
      </c>
      <c r="I240" s="191" t="str">
        <f>'B.kriteria &amp; R.kecocokan'!$B$95</f>
        <v>Rendah</v>
      </c>
      <c r="J240" s="191" t="str">
        <f>'B.kriteria &amp; R.kecocokan'!$B$80</f>
        <v>Rendah</v>
      </c>
      <c r="K240" s="9" t="str">
        <f>'B.kriteria &amp; R.kecocokan'!$B$88</f>
        <v>Sedang</v>
      </c>
      <c r="L240" s="191" t="str">
        <f>'B.kriteria &amp; R.kecocokan'!$B$49</f>
        <v>Rendah</v>
      </c>
      <c r="M240" s="191" t="str">
        <f>'B.kriteria &amp; R.kecocokan'!$B$57</f>
        <v>Rendah</v>
      </c>
      <c r="N240" s="51" t="str">
        <f>'B.kriteria &amp; R.kecocokan'!$B$65</f>
        <v>Rendah</v>
      </c>
      <c r="O240" s="52" t="s">
        <v>347</v>
      </c>
    </row>
    <row r="241" spans="1:22" hidden="1" x14ac:dyDescent="0.35">
      <c r="A241" s="147">
        <v>24</v>
      </c>
      <c r="B241" s="16" t="s">
        <v>258</v>
      </c>
      <c r="C241" s="2" t="s">
        <v>62</v>
      </c>
      <c r="D241" s="11" t="s">
        <v>13</v>
      </c>
      <c r="E241" s="32" t="str">
        <f>'B.kriteria &amp; R.kecocokan'!$B$24</f>
        <v>Cukup</v>
      </c>
      <c r="F241" s="9" t="str">
        <f>'B.kriteria &amp; R.kecocokan'!$B$35</f>
        <v>Sangat Tinggi</v>
      </c>
      <c r="G241" s="191" t="str">
        <f>'B.kriteria &amp; R.kecocokan'!$B$41</f>
        <v>Rendah</v>
      </c>
      <c r="H241" s="191" t="str">
        <f>'B.kriteria &amp; R.kecocokan'!$B$72</f>
        <v>Rendah</v>
      </c>
      <c r="I241" s="191" t="str">
        <f>'B.kriteria &amp; R.kecocokan'!$B$95</f>
        <v>Rendah</v>
      </c>
      <c r="J241" s="191" t="str">
        <f>'B.kriteria &amp; R.kecocokan'!$B$80</f>
        <v>Rendah</v>
      </c>
      <c r="K241" s="9" t="str">
        <f>'B.kriteria &amp; R.kecocokan'!$B$88</f>
        <v>Sedang</v>
      </c>
      <c r="L241" s="191" t="str">
        <f>'B.kriteria &amp; R.kecocokan'!$B$49</f>
        <v>Rendah</v>
      </c>
      <c r="M241" s="191" t="str">
        <f>'B.kriteria &amp; R.kecocokan'!$B$57</f>
        <v>Rendah</v>
      </c>
      <c r="N241" s="51" t="str">
        <f>'B.kriteria &amp; R.kecocokan'!$B$65</f>
        <v>Rendah</v>
      </c>
      <c r="O241" s="52" t="s">
        <v>347</v>
      </c>
    </row>
    <row r="242" spans="1:22" hidden="1" x14ac:dyDescent="0.35">
      <c r="A242" s="147">
        <v>25</v>
      </c>
      <c r="B242" s="16" t="s">
        <v>261</v>
      </c>
      <c r="C242" s="2" t="s">
        <v>64</v>
      </c>
      <c r="D242" s="11" t="s">
        <v>13</v>
      </c>
      <c r="E242" s="9" t="str">
        <f>'B.kriteria &amp; R.kecocokan'!$B$25</f>
        <v>Sedikit</v>
      </c>
      <c r="F242" s="9" t="str">
        <f>'B.kriteria &amp; R.kecocokan'!$B$35</f>
        <v>Sangat Tinggi</v>
      </c>
      <c r="G242" s="191" t="str">
        <f>'B.kriteria &amp; R.kecocokan'!$B$41</f>
        <v>Rendah</v>
      </c>
      <c r="H242" s="191" t="str">
        <f>'B.kriteria &amp; R.kecocokan'!$B$72</f>
        <v>Rendah</v>
      </c>
      <c r="I242" s="191" t="str">
        <f>'B.kriteria &amp; R.kecocokan'!$B$95</f>
        <v>Rendah</v>
      </c>
      <c r="J242" s="9" t="str">
        <f>'B.kriteria &amp; R.kecocokan'!$B$81</f>
        <v>Tinggi</v>
      </c>
      <c r="K242" s="9" t="str">
        <f>'B.kriteria &amp; R.kecocokan'!$B$90</f>
        <v>Sangat Sedikit</v>
      </c>
      <c r="L242" s="191" t="str">
        <f>'B.kriteria &amp; R.kecocokan'!$B$49</f>
        <v>Rendah</v>
      </c>
      <c r="M242" s="9" t="str">
        <f>'B.kriteria &amp; R.kecocokan'!$B$58</f>
        <v>Sedang</v>
      </c>
      <c r="N242" s="51" t="str">
        <f>'B.kriteria &amp; R.kecocokan'!$B$65</f>
        <v>Rendah</v>
      </c>
      <c r="O242" s="52" t="s">
        <v>349</v>
      </c>
    </row>
    <row r="243" spans="1:22" hidden="1" x14ac:dyDescent="0.35">
      <c r="A243" s="57">
        <v>26</v>
      </c>
      <c r="B243" s="16" t="s">
        <v>263</v>
      </c>
      <c r="C243" s="2" t="s">
        <v>66</v>
      </c>
      <c r="D243" s="11" t="s">
        <v>13</v>
      </c>
      <c r="E243" s="9" t="str">
        <f>'B.kriteria &amp; R.kecocokan'!$B$25</f>
        <v>Sedikit</v>
      </c>
      <c r="F243" s="9" t="str">
        <f>'B.kriteria &amp; R.kecocokan'!$B$34</f>
        <v>Tinggi</v>
      </c>
      <c r="G243" s="191" t="str">
        <f>'B.kriteria &amp; R.kecocokan'!$B$41</f>
        <v>Rendah</v>
      </c>
      <c r="H243" s="191" t="str">
        <f>'B.kriteria &amp; R.kecocokan'!$B$72</f>
        <v>Rendah</v>
      </c>
      <c r="I243" s="191" t="str">
        <f>'B.kriteria &amp; R.kecocokan'!$B$95</f>
        <v>Rendah</v>
      </c>
      <c r="J243" s="9" t="str">
        <f>'B.kriteria &amp; R.kecocokan'!$B$81</f>
        <v>Tinggi</v>
      </c>
      <c r="K243" s="9" t="str">
        <f>'B.kriteria &amp; R.kecocokan'!$B$90</f>
        <v>Sangat Sedikit</v>
      </c>
      <c r="L243" s="191" t="str">
        <f>'B.kriteria &amp; R.kecocokan'!$B$49</f>
        <v>Rendah</v>
      </c>
      <c r="M243" s="191" t="str">
        <f>'B.kriteria &amp; R.kecocokan'!$B$57</f>
        <v>Rendah</v>
      </c>
      <c r="N243" s="51" t="str">
        <f>'B.kriteria &amp; R.kecocokan'!$B$65</f>
        <v>Rendah</v>
      </c>
      <c r="O243" s="52" t="s">
        <v>347</v>
      </c>
    </row>
    <row r="244" spans="1:22" hidden="1" x14ac:dyDescent="0.35">
      <c r="A244" s="147">
        <v>27</v>
      </c>
      <c r="B244" s="16" t="s">
        <v>264</v>
      </c>
      <c r="C244" s="2" t="s">
        <v>68</v>
      </c>
      <c r="D244" s="11" t="s">
        <v>13</v>
      </c>
      <c r="E244" s="32" t="str">
        <f>'B.kriteria &amp; R.kecocokan'!$B$24</f>
        <v>Cukup</v>
      </c>
      <c r="F244" s="9" t="str">
        <f>'B.kriteria &amp; R.kecocokan'!$B$34</f>
        <v>Tinggi</v>
      </c>
      <c r="G244" s="9" t="str">
        <f>'B.kriteria &amp; R.kecocokan'!$B$43</f>
        <v>Tinggi</v>
      </c>
      <c r="H244" s="191" t="str">
        <f>'B.kriteria &amp; R.kecocokan'!$B$72</f>
        <v>Rendah</v>
      </c>
      <c r="I244" s="191" t="str">
        <f>'B.kriteria &amp; R.kecocokan'!$B$95</f>
        <v>Rendah</v>
      </c>
      <c r="J244" s="191" t="str">
        <f>'B.kriteria &amp; R.kecocokan'!$B$80</f>
        <v>Rendah</v>
      </c>
      <c r="K244" s="9" t="str">
        <f>'B.kriteria &amp; R.kecocokan'!$B$88</f>
        <v>Sedang</v>
      </c>
      <c r="L244" s="191" t="str">
        <f>'B.kriteria &amp; R.kecocokan'!$B$49</f>
        <v>Rendah</v>
      </c>
      <c r="M244" s="191" t="str">
        <f>'B.kriteria &amp; R.kecocokan'!$B$57</f>
        <v>Rendah</v>
      </c>
      <c r="N244" s="51" t="str">
        <f>'B.kriteria &amp; R.kecocokan'!$B$65</f>
        <v>Rendah</v>
      </c>
      <c r="O244" s="52" t="s">
        <v>347</v>
      </c>
    </row>
    <row r="245" spans="1:22" x14ac:dyDescent="0.35">
      <c r="A245" s="147">
        <v>28</v>
      </c>
      <c r="B245" s="16" t="s">
        <v>262</v>
      </c>
      <c r="C245" s="2" t="s">
        <v>69</v>
      </c>
      <c r="D245" s="11" t="s">
        <v>13</v>
      </c>
      <c r="E245" s="32" t="str">
        <f>'B.kriteria &amp; R.kecocokan'!$B$24</f>
        <v>Cukup</v>
      </c>
      <c r="F245" s="9" t="str">
        <f>'B.kriteria &amp; R.kecocokan'!$B$34</f>
        <v>Tinggi</v>
      </c>
      <c r="G245" s="191" t="str">
        <f>'B.kriteria &amp; R.kecocokan'!$B$41</f>
        <v>Rendah</v>
      </c>
      <c r="H245" s="191" t="str">
        <f>'B.kriteria &amp; R.kecocokan'!$B$72</f>
        <v>Rendah</v>
      </c>
      <c r="I245" s="191" t="str">
        <f>'B.kriteria &amp; R.kecocokan'!$B$95</f>
        <v>Rendah</v>
      </c>
      <c r="J245" s="191" t="str">
        <f>'B.kriteria &amp; R.kecocokan'!$B$80</f>
        <v>Rendah</v>
      </c>
      <c r="K245" s="191" t="str">
        <f>'B.kriteria &amp; R.kecocokan'!$B$89</f>
        <v>Sedikit</v>
      </c>
      <c r="L245" s="191" t="str">
        <f>'B.kriteria &amp; R.kecocokan'!$B$49</f>
        <v>Rendah</v>
      </c>
      <c r="M245" s="9" t="str">
        <f>'B.kriteria &amp; R.kecocokan'!$B$58</f>
        <v>Sedang</v>
      </c>
      <c r="N245" s="51" t="str">
        <f>'B.kriteria &amp; R.kecocokan'!$B$65</f>
        <v>Rendah</v>
      </c>
      <c r="O245" s="52" t="s">
        <v>347</v>
      </c>
      <c r="R245" t="s">
        <v>434</v>
      </c>
      <c r="S245">
        <v>0</v>
      </c>
      <c r="T245">
        <v>0</v>
      </c>
      <c r="U245">
        <v>0</v>
      </c>
      <c r="V245">
        <v>0</v>
      </c>
    </row>
    <row r="246" spans="1:22" hidden="1" x14ac:dyDescent="0.35">
      <c r="A246" s="57">
        <v>29</v>
      </c>
      <c r="B246" s="16" t="s">
        <v>272</v>
      </c>
      <c r="C246" s="2" t="s">
        <v>70</v>
      </c>
      <c r="D246" s="11" t="s">
        <v>13</v>
      </c>
      <c r="E246" s="9" t="str">
        <f>'B.kriteria &amp; R.kecocokan'!$B$23</f>
        <v>Banyak</v>
      </c>
      <c r="F246" s="9" t="str">
        <f>'B.kriteria &amp; R.kecocokan'!$B$35</f>
        <v>Sangat Tinggi</v>
      </c>
      <c r="G246" s="191" t="str">
        <f>'B.kriteria &amp; R.kecocokan'!$B$41</f>
        <v>Rendah</v>
      </c>
      <c r="H246" s="191" t="str">
        <f>'B.kriteria &amp; R.kecocokan'!$B$72</f>
        <v>Rendah</v>
      </c>
      <c r="I246" s="191" t="str">
        <f>'B.kriteria &amp; R.kecocokan'!$B$95</f>
        <v>Rendah</v>
      </c>
      <c r="J246" s="191" t="str">
        <f>'B.kriteria &amp; R.kecocokan'!$B$80</f>
        <v>Rendah</v>
      </c>
      <c r="K246" s="9" t="str">
        <f>'B.kriteria &amp; R.kecocokan'!$B$90</f>
        <v>Sangat Sedikit</v>
      </c>
      <c r="L246" s="191" t="str">
        <f>'B.kriteria &amp; R.kecocokan'!$B$49</f>
        <v>Rendah</v>
      </c>
      <c r="M246" s="191" t="str">
        <f>'B.kriteria &amp; R.kecocokan'!$B$57</f>
        <v>Rendah</v>
      </c>
      <c r="N246" s="51" t="str">
        <f>'B.kriteria &amp; R.kecocokan'!$B$65</f>
        <v>Rendah</v>
      </c>
      <c r="O246" s="52" t="s">
        <v>347</v>
      </c>
      <c r="V246" t="e">
        <f t="shared" ref="V246:V299" si="26">((-T246/S246)*IMLOG2(T246/S246))+((-U246/S246)*IMLOG2(U246/S246))</f>
        <v>#DIV/0!</v>
      </c>
    </row>
    <row r="247" spans="1:22" hidden="1" x14ac:dyDescent="0.35">
      <c r="A247" s="147">
        <v>30</v>
      </c>
      <c r="B247" s="16" t="s">
        <v>259</v>
      </c>
      <c r="C247" s="2" t="s">
        <v>71</v>
      </c>
      <c r="D247" s="11" t="s">
        <v>13</v>
      </c>
      <c r="E247" s="9" t="str">
        <f>'B.kriteria &amp; R.kecocokan'!$B$25</f>
        <v>Sedikit</v>
      </c>
      <c r="F247" s="9" t="str">
        <f>'B.kriteria &amp; R.kecocokan'!$B$35</f>
        <v>Sangat Tinggi</v>
      </c>
      <c r="G247" s="191" t="str">
        <f>'B.kriteria &amp; R.kecocokan'!$B$41</f>
        <v>Rendah</v>
      </c>
      <c r="H247" s="191" t="str">
        <f>'B.kriteria &amp; R.kecocokan'!$B$72</f>
        <v>Rendah</v>
      </c>
      <c r="I247" s="191" t="str">
        <f>'B.kriteria &amp; R.kecocokan'!$B$95</f>
        <v>Rendah</v>
      </c>
      <c r="J247" s="9" t="str">
        <f>'B.kriteria &amp; R.kecocokan'!$B$81</f>
        <v>Tinggi</v>
      </c>
      <c r="K247" s="9" t="str">
        <f>'B.kriteria &amp; R.kecocokan'!$B$88</f>
        <v>Sedang</v>
      </c>
      <c r="L247" s="9" t="str">
        <f>'B.kriteria &amp; R.kecocokan'!$B$51</f>
        <v>Tinggi</v>
      </c>
      <c r="M247" s="9" t="str">
        <f>'B.kriteria &amp; R.kecocokan'!$B$59</f>
        <v>Tinggi</v>
      </c>
      <c r="N247" s="51" t="str">
        <f>'B.kriteria &amp; R.kecocokan'!$B$65</f>
        <v>Rendah</v>
      </c>
      <c r="O247" s="52" t="s">
        <v>349</v>
      </c>
      <c r="V247" t="e">
        <f t="shared" si="26"/>
        <v>#DIV/0!</v>
      </c>
    </row>
    <row r="248" spans="1:22" x14ac:dyDescent="0.35">
      <c r="A248" s="147">
        <v>31</v>
      </c>
      <c r="B248" s="16" t="s">
        <v>260</v>
      </c>
      <c r="C248" s="2" t="s">
        <v>74</v>
      </c>
      <c r="D248" s="11" t="s">
        <v>13</v>
      </c>
      <c r="E248" s="32" t="str">
        <f>'B.kriteria &amp; R.kecocokan'!$B$24</f>
        <v>Cukup</v>
      </c>
      <c r="F248" s="9" t="str">
        <f>'B.kriteria &amp; R.kecocokan'!$B$35</f>
        <v>Sangat Tinggi</v>
      </c>
      <c r="G248" s="191" t="str">
        <f>'B.kriteria &amp; R.kecocokan'!$B$41</f>
        <v>Rendah</v>
      </c>
      <c r="H248" s="191" t="str">
        <f>'B.kriteria &amp; R.kecocokan'!$B$72</f>
        <v>Rendah</v>
      </c>
      <c r="I248" s="191" t="str">
        <f>'B.kriteria &amp; R.kecocokan'!$B$95</f>
        <v>Rendah</v>
      </c>
      <c r="J248" s="191" t="str">
        <f>'B.kriteria &amp; R.kecocokan'!$B$80</f>
        <v>Rendah</v>
      </c>
      <c r="K248" s="191" t="str">
        <f>'B.kriteria &amp; R.kecocokan'!$B$89</f>
        <v>Sedikit</v>
      </c>
      <c r="L248" s="191" t="str">
        <f>'B.kriteria &amp; R.kecocokan'!$B$49</f>
        <v>Rendah</v>
      </c>
      <c r="M248" s="9" t="str">
        <f>'B.kriteria &amp; R.kecocokan'!$B$58</f>
        <v>Sedang</v>
      </c>
      <c r="N248" s="51" t="str">
        <f>'B.kriteria &amp; R.kecocokan'!$B$65</f>
        <v>Rendah</v>
      </c>
      <c r="O248" s="52" t="s">
        <v>349</v>
      </c>
      <c r="R248" t="s">
        <v>312</v>
      </c>
      <c r="S248">
        <v>5</v>
      </c>
      <c r="T248">
        <v>2</v>
      </c>
      <c r="U248">
        <v>3</v>
      </c>
      <c r="V248">
        <f t="shared" si="26"/>
        <v>0.97095059445466747</v>
      </c>
    </row>
    <row r="249" spans="1:22" hidden="1" x14ac:dyDescent="0.35">
      <c r="A249" s="57">
        <v>32</v>
      </c>
      <c r="B249" s="16" t="s">
        <v>289</v>
      </c>
      <c r="C249" s="2" t="s">
        <v>76</v>
      </c>
      <c r="D249" s="11" t="s">
        <v>13</v>
      </c>
      <c r="E249" s="32" t="str">
        <f>'B.kriteria &amp; R.kecocokan'!$B$24</f>
        <v>Cukup</v>
      </c>
      <c r="F249" s="9" t="str">
        <f>'B.kriteria &amp; R.kecocokan'!$B$34</f>
        <v>Tinggi</v>
      </c>
      <c r="G249" s="191" t="str">
        <f>'B.kriteria &amp; R.kecocokan'!$B$41</f>
        <v>Rendah</v>
      </c>
      <c r="H249" s="191" t="str">
        <f>'B.kriteria &amp; R.kecocokan'!$B$72</f>
        <v>Rendah</v>
      </c>
      <c r="I249" s="191" t="str">
        <f>'B.kriteria &amp; R.kecocokan'!$B$95</f>
        <v>Rendah</v>
      </c>
      <c r="J249" s="191" t="str">
        <f>'B.kriteria &amp; R.kecocokan'!$B$80</f>
        <v>Rendah</v>
      </c>
      <c r="K249" s="9" t="str">
        <f>'B.kriteria &amp; R.kecocokan'!$B$88</f>
        <v>Sedang</v>
      </c>
      <c r="L249" s="191" t="str">
        <f>'B.kriteria &amp; R.kecocokan'!$B$49</f>
        <v>Rendah</v>
      </c>
      <c r="M249" s="191" t="str">
        <f>'B.kriteria &amp; R.kecocokan'!$B$57</f>
        <v>Rendah</v>
      </c>
      <c r="N249" s="51" t="str">
        <f>'B.kriteria &amp; R.kecocokan'!$B$65</f>
        <v>Rendah</v>
      </c>
      <c r="O249" s="52" t="s">
        <v>347</v>
      </c>
      <c r="V249" t="e">
        <f t="shared" si="26"/>
        <v>#DIV/0!</v>
      </c>
    </row>
    <row r="250" spans="1:22" hidden="1" x14ac:dyDescent="0.35">
      <c r="A250" s="147">
        <v>33</v>
      </c>
      <c r="B250" s="16" t="s">
        <v>290</v>
      </c>
      <c r="C250" s="2" t="s">
        <v>79</v>
      </c>
      <c r="D250" s="11" t="s">
        <v>13</v>
      </c>
      <c r="E250" s="9" t="str">
        <f>'B.kriteria &amp; R.kecocokan'!$B$25</f>
        <v>Sedikit</v>
      </c>
      <c r="F250" s="9" t="str">
        <f>'B.kriteria &amp; R.kecocokan'!$B$34</f>
        <v>Tinggi</v>
      </c>
      <c r="G250" s="9" t="str">
        <f>'B.kriteria &amp; R.kecocokan'!$B$43</f>
        <v>Tinggi</v>
      </c>
      <c r="H250" s="191" t="str">
        <f>'B.kriteria &amp; R.kecocokan'!$B$72</f>
        <v>Rendah</v>
      </c>
      <c r="I250" s="191" t="str">
        <f>'B.kriteria &amp; R.kecocokan'!$B$95</f>
        <v>Rendah</v>
      </c>
      <c r="J250" s="9" t="str">
        <f>'B.kriteria &amp; R.kecocokan'!$B$81</f>
        <v>Tinggi</v>
      </c>
      <c r="K250" s="9" t="str">
        <f>'B.kriteria &amp; R.kecocokan'!$B$90</f>
        <v>Sangat Sedikit</v>
      </c>
      <c r="L250" s="191" t="str">
        <f>'B.kriteria &amp; R.kecocokan'!$B$49</f>
        <v>Rendah</v>
      </c>
      <c r="M250" s="191" t="str">
        <f>'B.kriteria &amp; R.kecocokan'!$B$57</f>
        <v>Rendah</v>
      </c>
      <c r="N250" s="51" t="str">
        <f>'B.kriteria &amp; R.kecocokan'!$B$65</f>
        <v>Rendah</v>
      </c>
      <c r="O250" s="52" t="s">
        <v>347</v>
      </c>
      <c r="V250" t="e">
        <f t="shared" si="26"/>
        <v>#DIV/0!</v>
      </c>
    </row>
    <row r="251" spans="1:22" hidden="1" x14ac:dyDescent="0.35">
      <c r="A251" s="147">
        <v>34</v>
      </c>
      <c r="B251" s="16" t="s">
        <v>291</v>
      </c>
      <c r="C251" s="2" t="s">
        <v>81</v>
      </c>
      <c r="D251" s="11" t="s">
        <v>13</v>
      </c>
      <c r="E251" s="9" t="str">
        <f>'B.kriteria &amp; R.kecocokan'!$B$23</f>
        <v>Banyak</v>
      </c>
      <c r="F251" s="9" t="str">
        <f>'B.kriteria &amp; R.kecocokan'!$B$34</f>
        <v>Tinggi</v>
      </c>
      <c r="G251" s="191" t="str">
        <f>'B.kriteria &amp; R.kecocokan'!$B$41</f>
        <v>Rendah</v>
      </c>
      <c r="H251" s="191" t="str">
        <f>'B.kriteria &amp; R.kecocokan'!$B$72</f>
        <v>Rendah</v>
      </c>
      <c r="I251" s="191" t="str">
        <f>'B.kriteria &amp; R.kecocokan'!$B$95</f>
        <v>Rendah</v>
      </c>
      <c r="J251" s="9" t="str">
        <f>'B.kriteria &amp; R.kecocokan'!$B$81</f>
        <v>Tinggi</v>
      </c>
      <c r="K251" s="9" t="str">
        <f>'B.kriteria &amp; R.kecocokan'!$B$90</f>
        <v>Sangat Sedikit</v>
      </c>
      <c r="L251" s="191" t="str">
        <f>'B.kriteria &amp; R.kecocokan'!$B$49</f>
        <v>Rendah</v>
      </c>
      <c r="M251" s="191" t="str">
        <f>'B.kriteria &amp; R.kecocokan'!$B$57</f>
        <v>Rendah</v>
      </c>
      <c r="N251" s="51" t="str">
        <f>'B.kriteria &amp; R.kecocokan'!$B$65</f>
        <v>Rendah</v>
      </c>
      <c r="O251" s="52" t="s">
        <v>347</v>
      </c>
      <c r="V251" t="e">
        <f t="shared" si="26"/>
        <v>#DIV/0!</v>
      </c>
    </row>
    <row r="252" spans="1:22" hidden="1" x14ac:dyDescent="0.35">
      <c r="A252" s="57">
        <v>35</v>
      </c>
      <c r="B252" s="16" t="s">
        <v>292</v>
      </c>
      <c r="C252" s="2" t="s">
        <v>83</v>
      </c>
      <c r="D252" s="11" t="s">
        <v>13</v>
      </c>
      <c r="E252" s="9" t="str">
        <f>'B.kriteria &amp; R.kecocokan'!$B$25</f>
        <v>Sedikit</v>
      </c>
      <c r="F252" s="9" t="str">
        <f>'B.kriteria &amp; R.kecocokan'!$B$34</f>
        <v>Tinggi</v>
      </c>
      <c r="G252" s="191" t="str">
        <f>'B.kriteria &amp; R.kecocokan'!$B$41</f>
        <v>Rendah</v>
      </c>
      <c r="H252" s="9" t="str">
        <f>'B.kriteria &amp; R.kecocokan'!$B$74</f>
        <v>Tinggi</v>
      </c>
      <c r="I252" s="191" t="str">
        <f>'B.kriteria &amp; R.kecocokan'!$B$95</f>
        <v>Rendah</v>
      </c>
      <c r="J252" s="9" t="str">
        <f>'B.kriteria &amp; R.kecocokan'!$B$81</f>
        <v>Tinggi</v>
      </c>
      <c r="K252" s="9" t="str">
        <f>'B.kriteria &amp; R.kecocokan'!$B$90</f>
        <v>Sangat Sedikit</v>
      </c>
      <c r="L252" s="9" t="str">
        <f>'B.kriteria &amp; R.kecocokan'!$B$50</f>
        <v>Sedang</v>
      </c>
      <c r="M252" s="9" t="str">
        <f>'B.kriteria &amp; R.kecocokan'!$B$59</f>
        <v>Tinggi</v>
      </c>
      <c r="N252" s="51" t="str">
        <f>'B.kriteria &amp; R.kecocokan'!$B$65</f>
        <v>Rendah</v>
      </c>
      <c r="O252" s="52" t="s">
        <v>349</v>
      </c>
      <c r="V252" t="e">
        <f t="shared" si="26"/>
        <v>#DIV/0!</v>
      </c>
    </row>
    <row r="253" spans="1:22" hidden="1" x14ac:dyDescent="0.35">
      <c r="A253" s="147">
        <v>36</v>
      </c>
      <c r="B253" s="16" t="s">
        <v>293</v>
      </c>
      <c r="C253" s="2" t="s">
        <v>84</v>
      </c>
      <c r="D253" s="11" t="s">
        <v>13</v>
      </c>
      <c r="E253" s="32" t="str">
        <f>'B.kriteria &amp; R.kecocokan'!$B$24</f>
        <v>Cukup</v>
      </c>
      <c r="F253" s="9" t="str">
        <f>'B.kriteria &amp; R.kecocokan'!$B$34</f>
        <v>Tinggi</v>
      </c>
      <c r="G253" s="191" t="str">
        <f>'B.kriteria &amp; R.kecocokan'!$B$41</f>
        <v>Rendah</v>
      </c>
      <c r="H253" s="191" t="str">
        <f>'B.kriteria &amp; R.kecocokan'!$B$72</f>
        <v>Rendah</v>
      </c>
      <c r="I253" s="191" t="str">
        <f>'B.kriteria &amp; R.kecocokan'!$B$95</f>
        <v>Rendah</v>
      </c>
      <c r="J253" s="191" t="str">
        <f>'B.kriteria &amp; R.kecocokan'!$B$80</f>
        <v>Rendah</v>
      </c>
      <c r="K253" s="9" t="str">
        <f>'B.kriteria &amp; R.kecocokan'!$B$90</f>
        <v>Sangat Sedikit</v>
      </c>
      <c r="L253" s="191" t="str">
        <f>'B.kriteria &amp; R.kecocokan'!$B$49</f>
        <v>Rendah</v>
      </c>
      <c r="M253" s="191" t="str">
        <f>'B.kriteria &amp; R.kecocokan'!$B$57</f>
        <v>Rendah</v>
      </c>
      <c r="N253" s="51" t="str">
        <f>'B.kriteria &amp; R.kecocokan'!$B$65</f>
        <v>Rendah</v>
      </c>
      <c r="O253" s="52" t="s">
        <v>347</v>
      </c>
      <c r="V253" t="e">
        <f t="shared" si="26"/>
        <v>#DIV/0!</v>
      </c>
    </row>
    <row r="254" spans="1:22" hidden="1" x14ac:dyDescent="0.35">
      <c r="A254" s="147">
        <v>37</v>
      </c>
      <c r="B254" s="16" t="s">
        <v>267</v>
      </c>
      <c r="C254" s="2" t="s">
        <v>85</v>
      </c>
      <c r="D254" s="11" t="s">
        <v>13</v>
      </c>
      <c r="E254" s="32" t="str">
        <f>'B.kriteria &amp; R.kecocokan'!$B$24</f>
        <v>Cukup</v>
      </c>
      <c r="F254" s="9" t="str">
        <f>'B.kriteria &amp; R.kecocokan'!$B$34</f>
        <v>Tinggi</v>
      </c>
      <c r="G254" s="191" t="str">
        <f>'B.kriteria &amp; R.kecocokan'!$B$41</f>
        <v>Rendah</v>
      </c>
      <c r="H254" s="191" t="str">
        <f>'B.kriteria &amp; R.kecocokan'!$B$72</f>
        <v>Rendah</v>
      </c>
      <c r="I254" s="191" t="str">
        <f>'B.kriteria &amp; R.kecocokan'!$B$95</f>
        <v>Rendah</v>
      </c>
      <c r="J254" s="191" t="str">
        <f>'B.kriteria &amp; R.kecocokan'!$B$80</f>
        <v>Rendah</v>
      </c>
      <c r="K254" s="9" t="str">
        <f>'B.kriteria &amp; R.kecocokan'!$B$88</f>
        <v>Sedang</v>
      </c>
      <c r="L254" s="191" t="str">
        <f>'B.kriteria &amp; R.kecocokan'!$B$49</f>
        <v>Rendah</v>
      </c>
      <c r="M254" s="191" t="str">
        <f>'B.kriteria &amp; R.kecocokan'!$B$57</f>
        <v>Rendah</v>
      </c>
      <c r="N254" s="51" t="str">
        <f>'B.kriteria &amp; R.kecocokan'!$B$65</f>
        <v>Rendah</v>
      </c>
      <c r="O254" s="52" t="s">
        <v>347</v>
      </c>
      <c r="V254" t="e">
        <f t="shared" si="26"/>
        <v>#DIV/0!</v>
      </c>
    </row>
    <row r="255" spans="1:22" hidden="1" x14ac:dyDescent="0.35">
      <c r="A255" s="57">
        <v>38</v>
      </c>
      <c r="B255" s="16" t="s">
        <v>268</v>
      </c>
      <c r="C255" s="2" t="s">
        <v>86</v>
      </c>
      <c r="D255" s="11" t="s">
        <v>13</v>
      </c>
      <c r="E255" s="9" t="str">
        <f>'B.kriteria &amp; R.kecocokan'!$B$25</f>
        <v>Sedikit</v>
      </c>
      <c r="F255" s="9" t="str">
        <f>'B.kriteria &amp; R.kecocokan'!$B$34</f>
        <v>Tinggi</v>
      </c>
      <c r="G255" s="9" t="str">
        <f>'B.kriteria &amp; R.kecocokan'!$B$43</f>
        <v>Tinggi</v>
      </c>
      <c r="H255" s="191" t="str">
        <f>'B.kriteria &amp; R.kecocokan'!$B$72</f>
        <v>Rendah</v>
      </c>
      <c r="I255" s="191" t="str">
        <f>'B.kriteria &amp; R.kecocokan'!$B$95</f>
        <v>Rendah</v>
      </c>
      <c r="J255" s="9" t="str">
        <f>'B.kriteria &amp; R.kecocokan'!$B$81</f>
        <v>Tinggi</v>
      </c>
      <c r="K255" s="9" t="str">
        <f>'B.kriteria &amp; R.kecocokan'!$B$90</f>
        <v>Sangat Sedikit</v>
      </c>
      <c r="L255" s="191" t="str">
        <f>'B.kriteria &amp; R.kecocokan'!$B$49</f>
        <v>Rendah</v>
      </c>
      <c r="M255" s="191" t="str">
        <f>'B.kriteria &amp; R.kecocokan'!$B$57</f>
        <v>Rendah</v>
      </c>
      <c r="N255" s="51" t="str">
        <f>'B.kriteria &amp; R.kecocokan'!$B$65</f>
        <v>Rendah</v>
      </c>
      <c r="O255" s="52" t="s">
        <v>347</v>
      </c>
      <c r="V255" t="e">
        <f t="shared" si="26"/>
        <v>#DIV/0!</v>
      </c>
    </row>
    <row r="256" spans="1:22" hidden="1" x14ac:dyDescent="0.35">
      <c r="A256" s="147">
        <v>39</v>
      </c>
      <c r="B256" s="16" t="s">
        <v>294</v>
      </c>
      <c r="C256" s="2" t="s">
        <v>87</v>
      </c>
      <c r="D256" s="11" t="s">
        <v>13</v>
      </c>
      <c r="E256" s="9" t="str">
        <f>'B.kriteria &amp; R.kecocokan'!$B$25</f>
        <v>Sedikit</v>
      </c>
      <c r="F256" s="9" t="str">
        <f>'B.kriteria &amp; R.kecocokan'!$B$34</f>
        <v>Tinggi</v>
      </c>
      <c r="G256" s="191" t="str">
        <f>'B.kriteria &amp; R.kecocokan'!$B$41</f>
        <v>Rendah</v>
      </c>
      <c r="H256" s="191" t="str">
        <f>'B.kriteria &amp; R.kecocokan'!$B$72</f>
        <v>Rendah</v>
      </c>
      <c r="I256" s="191" t="str">
        <f>'B.kriteria &amp; R.kecocokan'!$B$95</f>
        <v>Rendah</v>
      </c>
      <c r="J256" s="9" t="str">
        <f>'B.kriteria &amp; R.kecocokan'!$B$81</f>
        <v>Tinggi</v>
      </c>
      <c r="K256" s="9" t="str">
        <f>'B.kriteria &amp; R.kecocokan'!$B$90</f>
        <v>Sangat Sedikit</v>
      </c>
      <c r="L256" s="191" t="str">
        <f>'B.kriteria &amp; R.kecocokan'!$B$49</f>
        <v>Rendah</v>
      </c>
      <c r="M256" s="191" t="str">
        <f>'B.kriteria &amp; R.kecocokan'!$B$57</f>
        <v>Rendah</v>
      </c>
      <c r="N256" s="51" t="str">
        <f>'B.kriteria &amp; R.kecocokan'!$B$65</f>
        <v>Rendah</v>
      </c>
      <c r="O256" s="52" t="s">
        <v>347</v>
      </c>
      <c r="V256" t="e">
        <f t="shared" si="26"/>
        <v>#DIV/0!</v>
      </c>
    </row>
    <row r="257" spans="1:22" hidden="1" x14ac:dyDescent="0.35">
      <c r="A257" s="147">
        <v>40</v>
      </c>
      <c r="B257" s="16" t="s">
        <v>269</v>
      </c>
      <c r="C257" s="2" t="s">
        <v>88</v>
      </c>
      <c r="D257" s="11" t="s">
        <v>13</v>
      </c>
      <c r="E257" s="32" t="str">
        <f>'B.kriteria &amp; R.kecocokan'!$B$24</f>
        <v>Cukup</v>
      </c>
      <c r="F257" s="9" t="str">
        <f>'B.kriteria &amp; R.kecocokan'!$B$34</f>
        <v>Tinggi</v>
      </c>
      <c r="G257" s="9" t="str">
        <f>'B.kriteria &amp; R.kecocokan'!$B$43</f>
        <v>Tinggi</v>
      </c>
      <c r="H257" s="191" t="str">
        <f>'B.kriteria &amp; R.kecocokan'!$B$72</f>
        <v>Rendah</v>
      </c>
      <c r="I257" s="191" t="str">
        <f>'B.kriteria &amp; R.kecocokan'!$B$95</f>
        <v>Rendah</v>
      </c>
      <c r="J257" s="191" t="str">
        <f>'B.kriteria &amp; R.kecocokan'!$B$80</f>
        <v>Rendah</v>
      </c>
      <c r="K257" s="9" t="str">
        <f>'B.kriteria &amp; R.kecocokan'!$B$88</f>
        <v>Sedang</v>
      </c>
      <c r="L257" s="191" t="str">
        <f>'B.kriteria &amp; R.kecocokan'!$B$49</f>
        <v>Rendah</v>
      </c>
      <c r="M257" s="191" t="str">
        <f>'B.kriteria &amp; R.kecocokan'!$B$57</f>
        <v>Rendah</v>
      </c>
      <c r="N257" s="51" t="str">
        <f>'B.kriteria &amp; R.kecocokan'!$B$65</f>
        <v>Rendah</v>
      </c>
      <c r="O257" s="52" t="s">
        <v>347</v>
      </c>
      <c r="V257" t="e">
        <f t="shared" si="26"/>
        <v>#DIV/0!</v>
      </c>
    </row>
    <row r="258" spans="1:22" hidden="1" x14ac:dyDescent="0.35">
      <c r="A258" s="57">
        <v>41</v>
      </c>
      <c r="B258" s="16" t="s">
        <v>278</v>
      </c>
      <c r="C258" s="2" t="s">
        <v>89</v>
      </c>
      <c r="D258" s="11" t="s">
        <v>13</v>
      </c>
      <c r="E258" s="9" t="str">
        <f>'B.kriteria &amp; R.kecocokan'!$B$23</f>
        <v>Banyak</v>
      </c>
      <c r="F258" s="9" t="str">
        <f>'B.kriteria &amp; R.kecocokan'!$B$34</f>
        <v>Tinggi</v>
      </c>
      <c r="G258" s="191" t="str">
        <f>'B.kriteria &amp; R.kecocokan'!$B$41</f>
        <v>Rendah</v>
      </c>
      <c r="H258" s="191" t="str">
        <f>'B.kriteria &amp; R.kecocokan'!$B$72</f>
        <v>Rendah</v>
      </c>
      <c r="I258" s="191" t="str">
        <f>'B.kriteria &amp; R.kecocokan'!$B$95</f>
        <v>Rendah</v>
      </c>
      <c r="J258" s="9" t="str">
        <f>'B.kriteria &amp; R.kecocokan'!$B$81</f>
        <v>Tinggi</v>
      </c>
      <c r="K258" s="9" t="str">
        <f>'B.kriteria &amp; R.kecocokan'!$B$90</f>
        <v>Sangat Sedikit</v>
      </c>
      <c r="L258" s="191" t="str">
        <f>'B.kriteria &amp; R.kecocokan'!$B$49</f>
        <v>Rendah</v>
      </c>
      <c r="M258" s="191" t="str">
        <f>'B.kriteria &amp; R.kecocokan'!$B$57</f>
        <v>Rendah</v>
      </c>
      <c r="N258" s="51" t="str">
        <f>'B.kriteria &amp; R.kecocokan'!$B$65</f>
        <v>Rendah</v>
      </c>
      <c r="O258" s="52" t="s">
        <v>347</v>
      </c>
      <c r="V258" t="e">
        <f t="shared" si="26"/>
        <v>#DIV/0!</v>
      </c>
    </row>
    <row r="259" spans="1:22" hidden="1" x14ac:dyDescent="0.35">
      <c r="A259" s="147">
        <v>42</v>
      </c>
      <c r="B259" s="2">
        <f>Penghasilan!B236</f>
        <v>0</v>
      </c>
      <c r="C259" s="2" t="s">
        <v>91</v>
      </c>
      <c r="D259" s="11" t="s">
        <v>92</v>
      </c>
      <c r="E259" s="28" t="str">
        <f>'B.kriteria &amp; R.kecocokan'!$B$25</f>
        <v>Sedikit</v>
      </c>
      <c r="F259" s="9" t="str">
        <f>'B.kriteria &amp; R.kecocokan'!$B$34</f>
        <v>Tinggi</v>
      </c>
      <c r="G259" s="191" t="str">
        <f>'B.kriteria &amp; R.kecocokan'!$B$41</f>
        <v>Rendah</v>
      </c>
      <c r="H259" s="191" t="str">
        <f>'B.kriteria &amp; R.kecocokan'!$B$72</f>
        <v>Rendah</v>
      </c>
      <c r="I259" s="191" t="str">
        <f>'B.kriteria &amp; R.kecocokan'!$B$95</f>
        <v>Rendah</v>
      </c>
      <c r="J259" s="9" t="str">
        <f>'B.kriteria &amp; R.kecocokan'!$B$81</f>
        <v>Tinggi</v>
      </c>
      <c r="K259" s="9" t="str">
        <f>'B.kriteria &amp; R.kecocokan'!$B$88</f>
        <v>Sedang</v>
      </c>
      <c r="L259" s="9" t="str">
        <f>'B.kriteria &amp; R.kecocokan'!$B$50</f>
        <v>Sedang</v>
      </c>
      <c r="M259" s="191" t="str">
        <f>'B.kriteria &amp; R.kecocokan'!$B$57</f>
        <v>Rendah</v>
      </c>
      <c r="N259" s="51" t="str">
        <f>'B.kriteria &amp; R.kecocokan'!$B$65</f>
        <v>Rendah</v>
      </c>
      <c r="O259" s="52" t="s">
        <v>349</v>
      </c>
      <c r="V259" t="e">
        <f t="shared" si="26"/>
        <v>#DIV/0!</v>
      </c>
    </row>
    <row r="260" spans="1:22" hidden="1" x14ac:dyDescent="0.35">
      <c r="A260" s="147">
        <v>43</v>
      </c>
      <c r="B260" s="2">
        <f>Penghasilan!B249</f>
        <v>0</v>
      </c>
      <c r="C260" s="2" t="s">
        <v>94</v>
      </c>
      <c r="D260" s="11" t="s">
        <v>95</v>
      </c>
      <c r="E260" s="28" t="str">
        <f>'B.kriteria &amp; R.kecocokan'!$B$25</f>
        <v>Sedikit</v>
      </c>
      <c r="F260" s="9" t="str">
        <f>'B.kriteria &amp; R.kecocokan'!$B$34</f>
        <v>Tinggi</v>
      </c>
      <c r="G260" s="191" t="str">
        <f>'B.kriteria &amp; R.kecocokan'!$B$41</f>
        <v>Rendah</v>
      </c>
      <c r="H260" s="191" t="str">
        <f>'B.kriteria &amp; R.kecocokan'!$B$72</f>
        <v>Rendah</v>
      </c>
      <c r="I260" s="191" t="str">
        <f>'B.kriteria &amp; R.kecocokan'!$B$95</f>
        <v>Rendah</v>
      </c>
      <c r="J260" s="191" t="str">
        <f>'B.kriteria &amp; R.kecocokan'!$B$80</f>
        <v>Rendah</v>
      </c>
      <c r="K260" s="9" t="str">
        <f>'B.kriteria &amp; R.kecocokan'!$B$90</f>
        <v>Sangat Sedikit</v>
      </c>
      <c r="L260" s="191" t="str">
        <f>'B.kriteria &amp; R.kecocokan'!$B$49</f>
        <v>Rendah</v>
      </c>
      <c r="M260" s="191" t="str">
        <f>'B.kriteria &amp; R.kecocokan'!$B$57</f>
        <v>Rendah</v>
      </c>
      <c r="N260" s="51" t="str">
        <f>'B.kriteria &amp; R.kecocokan'!$B$65</f>
        <v>Rendah</v>
      </c>
      <c r="O260" s="52" t="s">
        <v>347</v>
      </c>
      <c r="V260" t="e">
        <f t="shared" si="26"/>
        <v>#DIV/0!</v>
      </c>
    </row>
    <row r="261" spans="1:22" hidden="1" x14ac:dyDescent="0.35">
      <c r="A261" s="57">
        <v>44</v>
      </c>
      <c r="B261" s="2">
        <f>Penghasilan!B248</f>
        <v>0</v>
      </c>
      <c r="C261" s="2" t="s">
        <v>96</v>
      </c>
      <c r="D261" s="11" t="s">
        <v>95</v>
      </c>
      <c r="E261" s="28" t="str">
        <f>'B.kriteria &amp; R.kecocokan'!$B$25</f>
        <v>Sedikit</v>
      </c>
      <c r="F261" s="9" t="str">
        <f>'B.kriteria &amp; R.kecocokan'!$B$35</f>
        <v>Sangat Tinggi</v>
      </c>
      <c r="G261" s="191" t="str">
        <f>'B.kriteria &amp; R.kecocokan'!$B$41</f>
        <v>Rendah</v>
      </c>
      <c r="H261" s="191" t="str">
        <f>'B.kriteria &amp; R.kecocokan'!$B$72</f>
        <v>Rendah</v>
      </c>
      <c r="I261" s="191" t="str">
        <f>'B.kriteria &amp; R.kecocokan'!$B$95</f>
        <v>Rendah</v>
      </c>
      <c r="J261" s="9" t="str">
        <f>'B.kriteria &amp; R.kecocokan'!$B$81</f>
        <v>Tinggi</v>
      </c>
      <c r="K261" s="9" t="str">
        <f>'B.kriteria &amp; R.kecocokan'!$B$90</f>
        <v>Sangat Sedikit</v>
      </c>
      <c r="L261" s="9" t="str">
        <f>'B.kriteria &amp; R.kecocokan'!$B$50</f>
        <v>Sedang</v>
      </c>
      <c r="M261" s="9" t="str">
        <f>'B.kriteria &amp; R.kecocokan'!$B$59</f>
        <v>Tinggi</v>
      </c>
      <c r="N261" s="51" t="str">
        <f>'B.kriteria &amp; R.kecocokan'!$B$65</f>
        <v>Rendah</v>
      </c>
      <c r="O261" s="52" t="s">
        <v>349</v>
      </c>
      <c r="V261" t="e">
        <f t="shared" si="26"/>
        <v>#DIV/0!</v>
      </c>
    </row>
    <row r="262" spans="1:22" hidden="1" x14ac:dyDescent="0.35">
      <c r="A262" s="147">
        <v>45</v>
      </c>
      <c r="B262" s="2">
        <f>Penghasilan!B250</f>
        <v>0</v>
      </c>
      <c r="C262" s="2" t="s">
        <v>98</v>
      </c>
      <c r="D262" s="11" t="s">
        <v>95</v>
      </c>
      <c r="E262" s="32" t="str">
        <f>'B.kriteria &amp; R.kecocokan'!$B$24</f>
        <v>Cukup</v>
      </c>
      <c r="F262" s="9" t="str">
        <f>'B.kriteria &amp; R.kecocokan'!$B$34</f>
        <v>Tinggi</v>
      </c>
      <c r="G262" s="191" t="str">
        <f>'B.kriteria &amp; R.kecocokan'!$B$41</f>
        <v>Rendah</v>
      </c>
      <c r="H262" s="191" t="str">
        <f>'B.kriteria &amp; R.kecocokan'!$B$72</f>
        <v>Rendah</v>
      </c>
      <c r="I262" s="191" t="str">
        <f>'B.kriteria &amp; R.kecocokan'!$B$95</f>
        <v>Rendah</v>
      </c>
      <c r="J262" s="9" t="str">
        <f>'B.kriteria &amp; R.kecocokan'!$B$81</f>
        <v>Tinggi</v>
      </c>
      <c r="K262" s="9" t="str">
        <f>'B.kriteria &amp; R.kecocokan'!$B$90</f>
        <v>Sangat Sedikit</v>
      </c>
      <c r="L262" s="191" t="str">
        <f>'B.kriteria &amp; R.kecocokan'!$B$49</f>
        <v>Rendah</v>
      </c>
      <c r="M262" s="191" t="str">
        <f>'B.kriteria &amp; R.kecocokan'!$B$57</f>
        <v>Rendah</v>
      </c>
      <c r="N262" s="51" t="str">
        <f>'B.kriteria &amp; R.kecocokan'!$B$65</f>
        <v>Rendah</v>
      </c>
      <c r="O262" s="52" t="s">
        <v>347</v>
      </c>
      <c r="V262" t="e">
        <f t="shared" si="26"/>
        <v>#DIV/0!</v>
      </c>
    </row>
    <row r="263" spans="1:22" hidden="1" x14ac:dyDescent="0.35">
      <c r="A263" s="147">
        <v>46</v>
      </c>
      <c r="B263" s="2">
        <f>Penghasilan!B254</f>
        <v>0</v>
      </c>
      <c r="C263" s="2" t="s">
        <v>100</v>
      </c>
      <c r="D263" s="11" t="s">
        <v>92</v>
      </c>
      <c r="E263" s="32" t="str">
        <f>'B.kriteria &amp; R.kecocokan'!$B$24</f>
        <v>Cukup</v>
      </c>
      <c r="F263" s="9" t="str">
        <f>'B.kriteria &amp; R.kecocokan'!$B$34</f>
        <v>Tinggi</v>
      </c>
      <c r="G263" s="191" t="str">
        <f>'B.kriteria &amp; R.kecocokan'!$B$41</f>
        <v>Rendah</v>
      </c>
      <c r="H263" s="191" t="str">
        <f>'B.kriteria &amp; R.kecocokan'!$B$72</f>
        <v>Rendah</v>
      </c>
      <c r="I263" s="191" t="str">
        <f>'B.kriteria &amp; R.kecocokan'!$B$95</f>
        <v>Rendah</v>
      </c>
      <c r="J263" s="191" t="str">
        <f>'B.kriteria &amp; R.kecocokan'!$B$80</f>
        <v>Rendah</v>
      </c>
      <c r="K263" s="9" t="str">
        <f>'B.kriteria &amp; R.kecocokan'!$B$88</f>
        <v>Sedang</v>
      </c>
      <c r="L263" s="191" t="str">
        <f>'B.kriteria &amp; R.kecocokan'!$B$49</f>
        <v>Rendah</v>
      </c>
      <c r="M263" s="191" t="str">
        <f>'B.kriteria &amp; R.kecocokan'!$B$57</f>
        <v>Rendah</v>
      </c>
      <c r="N263" s="51" t="str">
        <f>'B.kriteria &amp; R.kecocokan'!$B$65</f>
        <v>Rendah</v>
      </c>
      <c r="O263" s="52" t="s">
        <v>347</v>
      </c>
      <c r="V263" t="e">
        <f t="shared" si="26"/>
        <v>#DIV/0!</v>
      </c>
    </row>
    <row r="264" spans="1:22" hidden="1" x14ac:dyDescent="0.35">
      <c r="A264" s="57">
        <v>47</v>
      </c>
      <c r="B264" s="2">
        <f>Penghasilan!B246</f>
        <v>0</v>
      </c>
      <c r="C264" s="2" t="s">
        <v>101</v>
      </c>
      <c r="D264" s="11" t="s">
        <v>92</v>
      </c>
      <c r="E264" s="28" t="str">
        <f>'B.kriteria &amp; R.kecocokan'!$B$25</f>
        <v>Sedikit</v>
      </c>
      <c r="F264" s="9" t="str">
        <f>'B.kriteria &amp; R.kecocokan'!$B$34</f>
        <v>Tinggi</v>
      </c>
      <c r="G264" s="191" t="str">
        <f>'B.kriteria &amp; R.kecocokan'!$B$41</f>
        <v>Rendah</v>
      </c>
      <c r="H264" s="191" t="str">
        <f>'B.kriteria &amp; R.kecocokan'!$B$72</f>
        <v>Rendah</v>
      </c>
      <c r="I264" s="191" t="str">
        <f>'B.kriteria &amp; R.kecocokan'!$B$95</f>
        <v>Rendah</v>
      </c>
      <c r="J264" s="9" t="str">
        <f>'B.kriteria &amp; R.kecocokan'!$B$81</f>
        <v>Tinggi</v>
      </c>
      <c r="K264" s="9" t="str">
        <f>'B.kriteria &amp; R.kecocokan'!$B$90</f>
        <v>Sangat Sedikit</v>
      </c>
      <c r="L264" s="191" t="str">
        <f>'B.kriteria &amp; R.kecocokan'!$B$49</f>
        <v>Rendah</v>
      </c>
      <c r="M264" s="191" t="str">
        <f>'B.kriteria &amp; R.kecocokan'!$B$57</f>
        <v>Rendah</v>
      </c>
      <c r="N264" s="51" t="str">
        <f>'B.kriteria &amp; R.kecocokan'!$B$65</f>
        <v>Rendah</v>
      </c>
      <c r="O264" s="52" t="s">
        <v>347</v>
      </c>
      <c r="V264" t="e">
        <f t="shared" si="26"/>
        <v>#DIV/0!</v>
      </c>
    </row>
    <row r="265" spans="1:22" hidden="1" x14ac:dyDescent="0.35">
      <c r="A265" s="147">
        <v>48</v>
      </c>
      <c r="B265" s="2">
        <f>Penghasilan!B252</f>
        <v>0</v>
      </c>
      <c r="C265" s="2" t="s">
        <v>102</v>
      </c>
      <c r="D265" s="11" t="s">
        <v>95</v>
      </c>
      <c r="E265" s="32" t="str">
        <f>'B.kriteria &amp; R.kecocokan'!$B$24</f>
        <v>Cukup</v>
      </c>
      <c r="F265" s="9" t="str">
        <f>'B.kriteria &amp; R.kecocokan'!$B$34</f>
        <v>Tinggi</v>
      </c>
      <c r="G265" s="191" t="str">
        <f>'B.kriteria &amp; R.kecocokan'!$B$41</f>
        <v>Rendah</v>
      </c>
      <c r="H265" s="191" t="str">
        <f>'B.kriteria &amp; R.kecocokan'!$B$72</f>
        <v>Rendah</v>
      </c>
      <c r="I265" s="191" t="str">
        <f>'B.kriteria &amp; R.kecocokan'!$B$95</f>
        <v>Rendah</v>
      </c>
      <c r="J265" s="191" t="str">
        <f>'B.kriteria &amp; R.kecocokan'!$B$80</f>
        <v>Rendah</v>
      </c>
      <c r="K265" s="191" t="str">
        <f>'B.kriteria &amp; R.kecocokan'!$B$89</f>
        <v>Sedikit</v>
      </c>
      <c r="L265" s="191" t="str">
        <f>'B.kriteria &amp; R.kecocokan'!$B$49</f>
        <v>Rendah</v>
      </c>
      <c r="M265" s="191" t="str">
        <f>'B.kriteria &amp; R.kecocokan'!$B$57</f>
        <v>Rendah</v>
      </c>
      <c r="N265" s="51" t="str">
        <f>'B.kriteria &amp; R.kecocokan'!$B$65</f>
        <v>Rendah</v>
      </c>
      <c r="O265" s="52" t="s">
        <v>347</v>
      </c>
      <c r="V265" t="e">
        <f t="shared" si="26"/>
        <v>#DIV/0!</v>
      </c>
    </row>
    <row r="266" spans="1:22" hidden="1" x14ac:dyDescent="0.35">
      <c r="A266" s="147">
        <v>49</v>
      </c>
      <c r="B266" s="2">
        <f>Penghasilan!B251</f>
        <v>0</v>
      </c>
      <c r="C266" s="2" t="s">
        <v>104</v>
      </c>
      <c r="D266" s="11" t="s">
        <v>92</v>
      </c>
      <c r="E266" s="28" t="str">
        <f>'B.kriteria &amp; R.kecocokan'!$B$25</f>
        <v>Sedikit</v>
      </c>
      <c r="F266" s="9" t="str">
        <f>'B.kriteria &amp; R.kecocokan'!$B$35</f>
        <v>Sangat Tinggi</v>
      </c>
      <c r="G266" s="191" t="str">
        <f>'B.kriteria &amp; R.kecocokan'!$B$41</f>
        <v>Rendah</v>
      </c>
      <c r="H266" s="191" t="str">
        <f>'B.kriteria &amp; R.kecocokan'!$B$72</f>
        <v>Rendah</v>
      </c>
      <c r="I266" s="191" t="str">
        <f>'B.kriteria &amp; R.kecocokan'!$B$95</f>
        <v>Rendah</v>
      </c>
      <c r="J266" s="9" t="str">
        <f>'B.kriteria &amp; R.kecocokan'!$B$81</f>
        <v>Tinggi</v>
      </c>
      <c r="K266" s="9" t="str">
        <f>'B.kriteria &amp; R.kecocokan'!$B$90</f>
        <v>Sangat Sedikit</v>
      </c>
      <c r="L266" s="191" t="str">
        <f>'B.kriteria &amp; R.kecocokan'!$B$49</f>
        <v>Rendah</v>
      </c>
      <c r="M266" s="191" t="str">
        <f>'B.kriteria &amp; R.kecocokan'!$B$57</f>
        <v>Rendah</v>
      </c>
      <c r="N266" s="51" t="str">
        <f>'B.kriteria &amp; R.kecocokan'!$B$65</f>
        <v>Rendah</v>
      </c>
      <c r="O266" s="52" t="s">
        <v>349</v>
      </c>
      <c r="V266" t="e">
        <f t="shared" si="26"/>
        <v>#DIV/0!</v>
      </c>
    </row>
    <row r="267" spans="1:22" hidden="1" x14ac:dyDescent="0.35">
      <c r="A267" s="57">
        <v>50</v>
      </c>
      <c r="B267" s="2">
        <f>Penghasilan!B242</f>
        <v>0</v>
      </c>
      <c r="C267" s="2" t="s">
        <v>105</v>
      </c>
      <c r="D267" s="11" t="s">
        <v>92</v>
      </c>
      <c r="E267" s="28" t="str">
        <f>'B.kriteria &amp; R.kecocokan'!$B$25</f>
        <v>Sedikit</v>
      </c>
      <c r="F267" s="9" t="str">
        <f>'B.kriteria &amp; R.kecocokan'!$B$34</f>
        <v>Tinggi</v>
      </c>
      <c r="G267" s="191" t="str">
        <f>'B.kriteria &amp; R.kecocokan'!$B$41</f>
        <v>Rendah</v>
      </c>
      <c r="H267" s="191" t="str">
        <f>'B.kriteria &amp; R.kecocokan'!$B$72</f>
        <v>Rendah</v>
      </c>
      <c r="I267" s="191" t="str">
        <f>'B.kriteria &amp; R.kecocokan'!$B$95</f>
        <v>Rendah</v>
      </c>
      <c r="J267" s="191" t="str">
        <f>'B.kriteria &amp; R.kecocokan'!$B$80</f>
        <v>Rendah</v>
      </c>
      <c r="K267" s="9" t="str">
        <f>'B.kriteria &amp; R.kecocokan'!$B$88</f>
        <v>Sedang</v>
      </c>
      <c r="L267" s="9" t="str">
        <f>'B.kriteria &amp; R.kecocokan'!$B$50</f>
        <v>Sedang</v>
      </c>
      <c r="M267" s="9" t="str">
        <f>'B.kriteria &amp; R.kecocokan'!$B$59</f>
        <v>Tinggi</v>
      </c>
      <c r="N267" s="51" t="str">
        <f>'B.kriteria &amp; R.kecocokan'!$B$65</f>
        <v>Rendah</v>
      </c>
      <c r="O267" s="52" t="s">
        <v>349</v>
      </c>
      <c r="V267" t="e">
        <f t="shared" si="26"/>
        <v>#DIV/0!</v>
      </c>
    </row>
    <row r="268" spans="1:22" hidden="1" x14ac:dyDescent="0.35">
      <c r="A268" s="147">
        <v>51</v>
      </c>
      <c r="B268" s="2">
        <f>Penghasilan!B244</f>
        <v>0</v>
      </c>
      <c r="C268" s="2" t="s">
        <v>106</v>
      </c>
      <c r="D268" s="11" t="s">
        <v>92</v>
      </c>
      <c r="E268" s="28" t="str">
        <f>'B.kriteria &amp; R.kecocokan'!$B$25</f>
        <v>Sedikit</v>
      </c>
      <c r="F268" s="9" t="str">
        <f>'B.kriteria &amp; R.kecocokan'!$B$34</f>
        <v>Tinggi</v>
      </c>
      <c r="G268" s="191" t="str">
        <f>'B.kriteria &amp; R.kecocokan'!$B$41</f>
        <v>Rendah</v>
      </c>
      <c r="H268" s="191" t="str">
        <f>'B.kriteria &amp; R.kecocokan'!$B$72</f>
        <v>Rendah</v>
      </c>
      <c r="I268" s="191" t="str">
        <f>'B.kriteria &amp; R.kecocokan'!$B$95</f>
        <v>Rendah</v>
      </c>
      <c r="J268" s="191" t="str">
        <f>'B.kriteria &amp; R.kecocokan'!$B$80</f>
        <v>Rendah</v>
      </c>
      <c r="K268" s="9" t="str">
        <f>'B.kriteria &amp; R.kecocokan'!$B$88</f>
        <v>Sedang</v>
      </c>
      <c r="L268" s="191" t="str">
        <f>'B.kriteria &amp; R.kecocokan'!$B$49</f>
        <v>Rendah</v>
      </c>
      <c r="M268" s="9" t="str">
        <f>'B.kriteria &amp; R.kecocokan'!$B$58</f>
        <v>Sedang</v>
      </c>
      <c r="N268" s="51" t="str">
        <f>'B.kriteria &amp; R.kecocokan'!$B$65</f>
        <v>Rendah</v>
      </c>
      <c r="O268" s="52" t="s">
        <v>347</v>
      </c>
      <c r="V268" t="e">
        <f t="shared" si="26"/>
        <v>#DIV/0!</v>
      </c>
    </row>
    <row r="269" spans="1:22" hidden="1" x14ac:dyDescent="0.35">
      <c r="A269" s="147">
        <v>52</v>
      </c>
      <c r="B269" s="2">
        <f>Penghasilan!B245</f>
        <v>0</v>
      </c>
      <c r="C269" s="2" t="s">
        <v>107</v>
      </c>
      <c r="D269" s="11" t="s">
        <v>92</v>
      </c>
      <c r="E269" s="28" t="str">
        <f>'B.kriteria &amp; R.kecocokan'!$B$25</f>
        <v>Sedikit</v>
      </c>
      <c r="F269" s="9" t="str">
        <f>'B.kriteria &amp; R.kecocokan'!$B$34</f>
        <v>Tinggi</v>
      </c>
      <c r="G269" s="191" t="str">
        <f>'B.kriteria &amp; R.kecocokan'!$B$41</f>
        <v>Rendah</v>
      </c>
      <c r="H269" s="191" t="str">
        <f>'B.kriteria &amp; R.kecocokan'!$B$72</f>
        <v>Rendah</v>
      </c>
      <c r="I269" s="191" t="str">
        <f>'B.kriteria &amp; R.kecocokan'!$B$95</f>
        <v>Rendah</v>
      </c>
      <c r="J269" s="191" t="str">
        <f>'B.kriteria &amp; R.kecocokan'!$B$80</f>
        <v>Rendah</v>
      </c>
      <c r="K269" s="191" t="str">
        <f>'B.kriteria &amp; R.kecocokan'!$B$89</f>
        <v>Sedikit</v>
      </c>
      <c r="L269" s="191" t="str">
        <f>'B.kriteria &amp; R.kecocokan'!$B$49</f>
        <v>Rendah</v>
      </c>
      <c r="M269" s="191" t="str">
        <f>'B.kriteria &amp; R.kecocokan'!$B$57</f>
        <v>Rendah</v>
      </c>
      <c r="N269" s="51" t="str">
        <f>'B.kriteria &amp; R.kecocokan'!$B$65</f>
        <v>Rendah</v>
      </c>
      <c r="O269" s="52" t="s">
        <v>347</v>
      </c>
      <c r="V269" t="e">
        <f t="shared" si="26"/>
        <v>#DIV/0!</v>
      </c>
    </row>
    <row r="270" spans="1:22" hidden="1" x14ac:dyDescent="0.35">
      <c r="A270" s="57">
        <v>53</v>
      </c>
      <c r="B270" s="2">
        <f>Penghasilan!B247</f>
        <v>0</v>
      </c>
      <c r="C270" s="2" t="s">
        <v>109</v>
      </c>
      <c r="D270" s="11" t="s">
        <v>95</v>
      </c>
      <c r="E270" s="9" t="str">
        <f>'B.kriteria &amp; R.kecocokan'!$B$23</f>
        <v>Banyak</v>
      </c>
      <c r="F270" s="9" t="str">
        <f>'B.kriteria &amp; R.kecocokan'!$B$34</f>
        <v>Tinggi</v>
      </c>
      <c r="G270" s="191" t="str">
        <f>'B.kriteria &amp; R.kecocokan'!$B$41</f>
        <v>Rendah</v>
      </c>
      <c r="H270" s="191" t="str">
        <f>'B.kriteria &amp; R.kecocokan'!$B$72</f>
        <v>Rendah</v>
      </c>
      <c r="I270" s="191" t="str">
        <f>'B.kriteria &amp; R.kecocokan'!$B$95</f>
        <v>Rendah</v>
      </c>
      <c r="J270" s="191" t="str">
        <f>'B.kriteria &amp; R.kecocokan'!$B$80</f>
        <v>Rendah</v>
      </c>
      <c r="K270" s="9" t="str">
        <f>'B.kriteria &amp; R.kecocokan'!$B$88</f>
        <v>Sedang</v>
      </c>
      <c r="L270" s="191" t="str">
        <f>'B.kriteria &amp; R.kecocokan'!$B$49</f>
        <v>Rendah</v>
      </c>
      <c r="M270" s="191" t="str">
        <f>'B.kriteria &amp; R.kecocokan'!$B$57</f>
        <v>Rendah</v>
      </c>
      <c r="N270" s="51" t="str">
        <f>'B.kriteria &amp; R.kecocokan'!$B$65</f>
        <v>Rendah</v>
      </c>
      <c r="O270" s="52" t="s">
        <v>347</v>
      </c>
      <c r="V270" t="e">
        <f t="shared" si="26"/>
        <v>#DIV/0!</v>
      </c>
    </row>
    <row r="271" spans="1:22" hidden="1" x14ac:dyDescent="0.35">
      <c r="A271" s="147">
        <v>54</v>
      </c>
      <c r="B271" s="2">
        <f>Penghasilan!B243</f>
        <v>0</v>
      </c>
      <c r="C271" s="2" t="s">
        <v>111</v>
      </c>
      <c r="D271" s="11" t="s">
        <v>92</v>
      </c>
      <c r="E271" s="9" t="str">
        <f>'B.kriteria &amp; R.kecocokan'!$B$23</f>
        <v>Banyak</v>
      </c>
      <c r="F271" s="9" t="str">
        <f>'B.kriteria &amp; R.kecocokan'!$B$34</f>
        <v>Tinggi</v>
      </c>
      <c r="G271" s="191" t="str">
        <f>'B.kriteria &amp; R.kecocokan'!$B$41</f>
        <v>Rendah</v>
      </c>
      <c r="H271" s="191" t="str">
        <f>'B.kriteria &amp; R.kecocokan'!$B$72</f>
        <v>Rendah</v>
      </c>
      <c r="I271" s="191" t="str">
        <f>'B.kriteria &amp; R.kecocokan'!$B$95</f>
        <v>Rendah</v>
      </c>
      <c r="J271" s="191" t="str">
        <f>'B.kriteria &amp; R.kecocokan'!$B$80</f>
        <v>Rendah</v>
      </c>
      <c r="K271" s="191" t="str">
        <f>'B.kriteria &amp; R.kecocokan'!$B$89</f>
        <v>Sedikit</v>
      </c>
      <c r="L271" s="191" t="str">
        <f>'B.kriteria &amp; R.kecocokan'!$B$49</f>
        <v>Rendah</v>
      </c>
      <c r="M271" s="191" t="str">
        <f>'B.kriteria &amp; R.kecocokan'!$B$57</f>
        <v>Rendah</v>
      </c>
      <c r="N271" s="51" t="str">
        <f>'B.kriteria &amp; R.kecocokan'!$B$65</f>
        <v>Rendah</v>
      </c>
      <c r="O271" s="52" t="s">
        <v>347</v>
      </c>
      <c r="V271" t="e">
        <f t="shared" si="26"/>
        <v>#DIV/0!</v>
      </c>
    </row>
    <row r="272" spans="1:22" hidden="1" x14ac:dyDescent="0.35">
      <c r="A272" s="147">
        <v>55</v>
      </c>
      <c r="B272" s="2">
        <f>Penghasilan!B255</f>
        <v>0</v>
      </c>
      <c r="C272" s="2" t="s">
        <v>113</v>
      </c>
      <c r="D272" s="11" t="s">
        <v>92</v>
      </c>
      <c r="E272" s="28" t="str">
        <f>'B.kriteria &amp; R.kecocokan'!$B$25</f>
        <v>Sedikit</v>
      </c>
      <c r="F272" s="9" t="str">
        <f>'B.kriteria &amp; R.kecocokan'!$B$34</f>
        <v>Tinggi</v>
      </c>
      <c r="G272" s="9" t="str">
        <f>'B.kriteria &amp; R.kecocokan'!$B$43</f>
        <v>Tinggi</v>
      </c>
      <c r="H272" s="191" t="str">
        <f>'B.kriteria &amp; R.kecocokan'!$B$72</f>
        <v>Rendah</v>
      </c>
      <c r="I272" s="191" t="str">
        <f>'B.kriteria &amp; R.kecocokan'!$B$95</f>
        <v>Rendah</v>
      </c>
      <c r="J272" s="191" t="str">
        <f>'B.kriteria &amp; R.kecocokan'!$B$80</f>
        <v>Rendah</v>
      </c>
      <c r="K272" s="191" t="str">
        <f>'B.kriteria &amp; R.kecocokan'!$B$89</f>
        <v>Sedikit</v>
      </c>
      <c r="L272" s="191" t="str">
        <f>'B.kriteria &amp; R.kecocokan'!$B$49</f>
        <v>Rendah</v>
      </c>
      <c r="M272" s="191" t="str">
        <f>'B.kriteria &amp; R.kecocokan'!$B$57</f>
        <v>Rendah</v>
      </c>
      <c r="N272" s="51" t="str">
        <f>'B.kriteria &amp; R.kecocokan'!$B$65</f>
        <v>Rendah</v>
      </c>
      <c r="O272" s="52" t="s">
        <v>347</v>
      </c>
      <c r="V272" t="e">
        <f t="shared" si="26"/>
        <v>#DIV/0!</v>
      </c>
    </row>
    <row r="273" spans="1:22" hidden="1" x14ac:dyDescent="0.35">
      <c r="A273" s="57">
        <v>56</v>
      </c>
      <c r="B273" s="2">
        <f>Penghasilan!B256</f>
        <v>0</v>
      </c>
      <c r="C273" s="2" t="s">
        <v>114</v>
      </c>
      <c r="D273" s="11" t="s">
        <v>95</v>
      </c>
      <c r="E273" s="9" t="str">
        <f>'B.kriteria &amp; R.kecocokan'!$B$23</f>
        <v>Banyak</v>
      </c>
      <c r="F273" s="9" t="str">
        <f>'B.kriteria &amp; R.kecocokan'!$B$34</f>
        <v>Tinggi</v>
      </c>
      <c r="G273" s="191" t="str">
        <f>'B.kriteria &amp; R.kecocokan'!$B$41</f>
        <v>Rendah</v>
      </c>
      <c r="H273" s="191" t="str">
        <f>'B.kriteria &amp; R.kecocokan'!$B$72</f>
        <v>Rendah</v>
      </c>
      <c r="I273" s="191" t="str">
        <f>'B.kriteria &amp; R.kecocokan'!$B$95</f>
        <v>Rendah</v>
      </c>
      <c r="J273" s="9" t="str">
        <f>'B.kriteria &amp; R.kecocokan'!$B$81</f>
        <v>Tinggi</v>
      </c>
      <c r="K273" s="9" t="str">
        <f>'B.kriteria &amp; R.kecocokan'!$B$90</f>
        <v>Sangat Sedikit</v>
      </c>
      <c r="L273" s="191" t="str">
        <f>'B.kriteria &amp; R.kecocokan'!$B$49</f>
        <v>Rendah</v>
      </c>
      <c r="M273" s="191" t="str">
        <f>'B.kriteria &amp; R.kecocokan'!$B$57</f>
        <v>Rendah</v>
      </c>
      <c r="N273" s="51" t="str">
        <f>'B.kriteria &amp; R.kecocokan'!$B$65</f>
        <v>Rendah</v>
      </c>
      <c r="O273" s="52" t="s">
        <v>347</v>
      </c>
      <c r="V273" t="e">
        <f t="shared" si="26"/>
        <v>#DIV/0!</v>
      </c>
    </row>
    <row r="274" spans="1:22" hidden="1" x14ac:dyDescent="0.35">
      <c r="A274" s="147">
        <v>57</v>
      </c>
      <c r="B274" s="2">
        <f>Penghasilan!B257</f>
        <v>0</v>
      </c>
      <c r="C274" s="2" t="s">
        <v>116</v>
      </c>
      <c r="D274" s="11" t="s">
        <v>92</v>
      </c>
      <c r="E274" s="9" t="str">
        <f>'B.kriteria &amp; R.kecocokan'!$B$23</f>
        <v>Banyak</v>
      </c>
      <c r="F274" s="9" t="str">
        <f>'B.kriteria &amp; R.kecocokan'!$B$34</f>
        <v>Tinggi</v>
      </c>
      <c r="G274" s="191" t="str">
        <f>'B.kriteria &amp; R.kecocokan'!$B$41</f>
        <v>Rendah</v>
      </c>
      <c r="H274" s="191" t="str">
        <f>'B.kriteria &amp; R.kecocokan'!$B$72</f>
        <v>Rendah</v>
      </c>
      <c r="I274" s="191" t="str">
        <f>'B.kriteria &amp; R.kecocokan'!$B$95</f>
        <v>Rendah</v>
      </c>
      <c r="J274" s="191" t="str">
        <f>'B.kriteria &amp; R.kecocokan'!$B$80</f>
        <v>Rendah</v>
      </c>
      <c r="K274" s="9" t="str">
        <f>'B.kriteria &amp; R.kecocokan'!$B$88</f>
        <v>Sedang</v>
      </c>
      <c r="L274" s="191" t="str">
        <f>'B.kriteria &amp; R.kecocokan'!$B$49</f>
        <v>Rendah</v>
      </c>
      <c r="M274" s="191" t="str">
        <f>'B.kriteria &amp; R.kecocokan'!$B$57</f>
        <v>Rendah</v>
      </c>
      <c r="N274" s="51" t="str">
        <f>'B.kriteria &amp; R.kecocokan'!$B$65</f>
        <v>Rendah</v>
      </c>
      <c r="O274" s="52" t="s">
        <v>347</v>
      </c>
      <c r="V274" t="e">
        <f t="shared" si="26"/>
        <v>#DIV/0!</v>
      </c>
    </row>
    <row r="275" spans="1:22" hidden="1" x14ac:dyDescent="0.35">
      <c r="A275" s="147">
        <v>58</v>
      </c>
      <c r="B275" s="2">
        <f>Penghasilan!B258</f>
        <v>0</v>
      </c>
      <c r="C275" s="2" t="s">
        <v>230</v>
      </c>
      <c r="D275" s="11" t="s">
        <v>92</v>
      </c>
      <c r="E275" s="28" t="str">
        <f>'B.kriteria &amp; R.kecocokan'!$B$25</f>
        <v>Sedikit</v>
      </c>
      <c r="F275" s="9" t="str">
        <f>'B.kriteria &amp; R.kecocokan'!$B$34</f>
        <v>Tinggi</v>
      </c>
      <c r="G275" s="191" t="str">
        <f>'B.kriteria &amp; R.kecocokan'!$B$41</f>
        <v>Rendah</v>
      </c>
      <c r="H275" s="191" t="str">
        <f>'B.kriteria &amp; R.kecocokan'!$B$72</f>
        <v>Rendah</v>
      </c>
      <c r="I275" s="191" t="str">
        <f>'B.kriteria &amp; R.kecocokan'!$B$95</f>
        <v>Rendah</v>
      </c>
      <c r="J275" s="191" t="str">
        <f>'B.kriteria &amp; R.kecocokan'!$B$80</f>
        <v>Rendah</v>
      </c>
      <c r="K275" s="9" t="str">
        <f>'B.kriteria &amp; R.kecocokan'!$B$88</f>
        <v>Sedang</v>
      </c>
      <c r="L275" s="191" t="str">
        <f>'B.kriteria &amp; R.kecocokan'!$B$49</f>
        <v>Rendah</v>
      </c>
      <c r="M275" s="191" t="str">
        <f>'B.kriteria &amp; R.kecocokan'!$B$57</f>
        <v>Rendah</v>
      </c>
      <c r="N275" s="51" t="str">
        <f>'B.kriteria &amp; R.kecocokan'!$B$65</f>
        <v>Rendah</v>
      </c>
      <c r="O275" s="52" t="s">
        <v>347</v>
      </c>
      <c r="V275" t="e">
        <f t="shared" si="26"/>
        <v>#DIV/0!</v>
      </c>
    </row>
    <row r="276" spans="1:22" hidden="1" x14ac:dyDescent="0.35">
      <c r="A276" s="57">
        <v>59</v>
      </c>
      <c r="B276" s="2">
        <f>Penghasilan!B259</f>
        <v>0</v>
      </c>
      <c r="C276" s="2" t="s">
        <v>118</v>
      </c>
      <c r="D276" s="11" t="s">
        <v>92</v>
      </c>
      <c r="E276" s="9" t="str">
        <f>'B.kriteria &amp; R.kecocokan'!$B$23</f>
        <v>Banyak</v>
      </c>
      <c r="F276" s="9" t="str">
        <f>'B.kriteria &amp; R.kecocokan'!$B$34</f>
        <v>Tinggi</v>
      </c>
      <c r="G276" s="191" t="str">
        <f>'B.kriteria &amp; R.kecocokan'!$B$41</f>
        <v>Rendah</v>
      </c>
      <c r="H276" s="191" t="str">
        <f>'B.kriteria &amp; R.kecocokan'!$B$72</f>
        <v>Rendah</v>
      </c>
      <c r="I276" s="191" t="str">
        <f>'B.kriteria &amp; R.kecocokan'!$B$95</f>
        <v>Rendah</v>
      </c>
      <c r="J276" s="191" t="str">
        <f>'B.kriteria &amp; R.kecocokan'!$B$80</f>
        <v>Rendah</v>
      </c>
      <c r="K276" s="9" t="str">
        <f>'B.kriteria &amp; R.kecocokan'!$B$90</f>
        <v>Sangat Sedikit</v>
      </c>
      <c r="L276" s="191" t="str">
        <f>'B.kriteria &amp; R.kecocokan'!$B$49</f>
        <v>Rendah</v>
      </c>
      <c r="M276" s="191" t="str">
        <f>'B.kriteria &amp; R.kecocokan'!$B$57</f>
        <v>Rendah</v>
      </c>
      <c r="N276" s="51" t="str">
        <f>'B.kriteria &amp; R.kecocokan'!$B$65</f>
        <v>Rendah</v>
      </c>
      <c r="O276" s="52" t="s">
        <v>347</v>
      </c>
      <c r="V276" t="e">
        <f t="shared" si="26"/>
        <v>#DIV/0!</v>
      </c>
    </row>
    <row r="277" spans="1:22" hidden="1" x14ac:dyDescent="0.35">
      <c r="A277" s="147">
        <v>60</v>
      </c>
      <c r="B277" s="2">
        <f>Penghasilan!B260</f>
        <v>0</v>
      </c>
      <c r="C277" s="2" t="s">
        <v>203</v>
      </c>
      <c r="D277" s="11" t="s">
        <v>95</v>
      </c>
      <c r="E277" s="28" t="str">
        <f>'B.kriteria &amp; R.kecocokan'!$B$25</f>
        <v>Sedikit</v>
      </c>
      <c r="F277" s="9" t="str">
        <f>'B.kriteria &amp; R.kecocokan'!$B$34</f>
        <v>Tinggi</v>
      </c>
      <c r="G277" s="191" t="str">
        <f>'B.kriteria &amp; R.kecocokan'!$B$41</f>
        <v>Rendah</v>
      </c>
      <c r="H277" s="191" t="str">
        <f>'B.kriteria &amp; R.kecocokan'!$B$72</f>
        <v>Rendah</v>
      </c>
      <c r="I277" s="191" t="str">
        <f>'B.kriteria &amp; R.kecocokan'!$B$95</f>
        <v>Rendah</v>
      </c>
      <c r="J277" s="9" t="str">
        <f>'B.kriteria &amp; R.kecocokan'!$B$81</f>
        <v>Tinggi</v>
      </c>
      <c r="K277" s="9" t="str">
        <f>'B.kriteria &amp; R.kecocokan'!$B$90</f>
        <v>Sangat Sedikit</v>
      </c>
      <c r="L277" s="191" t="str">
        <f>'B.kriteria &amp; R.kecocokan'!$B$49</f>
        <v>Rendah</v>
      </c>
      <c r="M277" s="191" t="str">
        <f>'B.kriteria &amp; R.kecocokan'!$B$57</f>
        <v>Rendah</v>
      </c>
      <c r="N277" s="51" t="str">
        <f>'B.kriteria &amp; R.kecocokan'!$B$65</f>
        <v>Rendah</v>
      </c>
      <c r="O277" s="52" t="s">
        <v>347</v>
      </c>
      <c r="V277" t="e">
        <f t="shared" si="26"/>
        <v>#DIV/0!</v>
      </c>
    </row>
    <row r="278" spans="1:22" hidden="1" x14ac:dyDescent="0.35">
      <c r="A278" s="147">
        <v>61</v>
      </c>
      <c r="B278" s="2">
        <f>Penghasilan!B220</f>
        <v>0</v>
      </c>
      <c r="C278" s="2" t="s">
        <v>123</v>
      </c>
      <c r="D278" s="11" t="s">
        <v>95</v>
      </c>
      <c r="E278" s="28" t="str">
        <f>'B.kriteria &amp; R.kecocokan'!$B$25</f>
        <v>Sedikit</v>
      </c>
      <c r="F278" s="9" t="str">
        <f>'B.kriteria &amp; R.kecocokan'!$B$34</f>
        <v>Tinggi</v>
      </c>
      <c r="G278" s="191" t="str">
        <f>'B.kriteria &amp; R.kecocokan'!$B$41</f>
        <v>Rendah</v>
      </c>
      <c r="H278" s="191" t="str">
        <f>'B.kriteria &amp; R.kecocokan'!$B$72</f>
        <v>Rendah</v>
      </c>
      <c r="I278" s="191" t="str">
        <f>'B.kriteria &amp; R.kecocokan'!$B$95</f>
        <v>Rendah</v>
      </c>
      <c r="J278" s="191" t="str">
        <f>'B.kriteria &amp; R.kecocokan'!$B$80</f>
        <v>Rendah</v>
      </c>
      <c r="K278" s="191" t="str">
        <f>'B.kriteria &amp; R.kecocokan'!$B$89</f>
        <v>Sedikit</v>
      </c>
      <c r="L278" s="191" t="str">
        <f>'B.kriteria &amp; R.kecocokan'!$B$49</f>
        <v>Rendah</v>
      </c>
      <c r="M278" s="191" t="str">
        <f>'B.kriteria &amp; R.kecocokan'!$B$57</f>
        <v>Rendah</v>
      </c>
      <c r="N278" s="51" t="str">
        <f>'B.kriteria &amp; R.kecocokan'!$B$65</f>
        <v>Rendah</v>
      </c>
      <c r="O278" s="52" t="s">
        <v>347</v>
      </c>
      <c r="V278" t="e">
        <f t="shared" si="26"/>
        <v>#DIV/0!</v>
      </c>
    </row>
    <row r="279" spans="1:22" hidden="1" x14ac:dyDescent="0.35">
      <c r="A279" s="57">
        <v>62</v>
      </c>
      <c r="B279" s="2">
        <f>Penghasilan!B261</f>
        <v>0</v>
      </c>
      <c r="C279" s="2" t="s">
        <v>233</v>
      </c>
      <c r="D279" s="11" t="s">
        <v>95</v>
      </c>
      <c r="E279" s="28" t="str">
        <f>'B.kriteria &amp; R.kecocokan'!$B$25</f>
        <v>Sedikit</v>
      </c>
      <c r="F279" s="9" t="str">
        <f>'B.kriteria &amp; R.kecocokan'!$B$34</f>
        <v>Tinggi</v>
      </c>
      <c r="G279" s="191" t="str">
        <f>'B.kriteria &amp; R.kecocokan'!$B$41</f>
        <v>Rendah</v>
      </c>
      <c r="H279" s="191" t="str">
        <f>'B.kriteria &amp; R.kecocokan'!$B$72</f>
        <v>Rendah</v>
      </c>
      <c r="I279" s="191" t="str">
        <f>'B.kriteria &amp; R.kecocokan'!$B$95</f>
        <v>Rendah</v>
      </c>
      <c r="J279" s="9" t="str">
        <f>'B.kriteria &amp; R.kecocokan'!$B$81</f>
        <v>Tinggi</v>
      </c>
      <c r="K279" s="9" t="str">
        <f>'B.kriteria &amp; R.kecocokan'!$B$90</f>
        <v>Sangat Sedikit</v>
      </c>
      <c r="L279" s="191" t="str">
        <f>'B.kriteria &amp; R.kecocokan'!$B$49</f>
        <v>Rendah</v>
      </c>
      <c r="M279" s="191" t="str">
        <f>'B.kriteria &amp; R.kecocokan'!$B$57</f>
        <v>Rendah</v>
      </c>
      <c r="N279" s="51" t="str">
        <f>'B.kriteria &amp; R.kecocokan'!$B$65</f>
        <v>Rendah</v>
      </c>
      <c r="O279" s="52" t="s">
        <v>349</v>
      </c>
      <c r="V279" t="e">
        <f t="shared" si="26"/>
        <v>#DIV/0!</v>
      </c>
    </row>
    <row r="280" spans="1:22" hidden="1" x14ac:dyDescent="0.35">
      <c r="A280" s="147">
        <v>63</v>
      </c>
      <c r="B280" s="2">
        <f>Penghasilan!B264</f>
        <v>0</v>
      </c>
      <c r="C280" s="2" t="s">
        <v>211</v>
      </c>
      <c r="D280" s="11" t="s">
        <v>95</v>
      </c>
      <c r="E280" s="9" t="str">
        <f>'B.kriteria &amp; R.kecocokan'!$B$23</f>
        <v>Banyak</v>
      </c>
      <c r="F280" s="9" t="str">
        <f>'B.kriteria &amp; R.kecocokan'!$B$34</f>
        <v>Tinggi</v>
      </c>
      <c r="G280" s="191" t="str">
        <f>'B.kriteria &amp; R.kecocokan'!$B$41</f>
        <v>Rendah</v>
      </c>
      <c r="H280" s="191" t="str">
        <f>'B.kriteria &amp; R.kecocokan'!$B$72</f>
        <v>Rendah</v>
      </c>
      <c r="I280" s="191" t="str">
        <f>'B.kriteria &amp; R.kecocokan'!$B$95</f>
        <v>Rendah</v>
      </c>
      <c r="J280" s="9" t="str">
        <f>'B.kriteria &amp; R.kecocokan'!$B$81</f>
        <v>Tinggi</v>
      </c>
      <c r="K280" s="9" t="str">
        <f>'B.kriteria &amp; R.kecocokan'!$B$90</f>
        <v>Sangat Sedikit</v>
      </c>
      <c r="L280" s="191" t="str">
        <f>'B.kriteria &amp; R.kecocokan'!$B$49</f>
        <v>Rendah</v>
      </c>
      <c r="M280" s="191" t="str">
        <f>'B.kriteria &amp; R.kecocokan'!$B$57</f>
        <v>Rendah</v>
      </c>
      <c r="N280" s="51" t="str">
        <f>'B.kriteria &amp; R.kecocokan'!$B$65</f>
        <v>Rendah</v>
      </c>
      <c r="O280" s="52" t="s">
        <v>347</v>
      </c>
      <c r="V280" t="e">
        <f t="shared" si="26"/>
        <v>#DIV/0!</v>
      </c>
    </row>
    <row r="281" spans="1:22" hidden="1" x14ac:dyDescent="0.35">
      <c r="A281" s="147">
        <v>64</v>
      </c>
      <c r="B281" s="2">
        <f>Penghasilan!B262</f>
        <v>0</v>
      </c>
      <c r="C281" s="2" t="s">
        <v>207</v>
      </c>
      <c r="D281" s="11" t="s">
        <v>235</v>
      </c>
      <c r="E281" s="28" t="str">
        <f>'B.kriteria &amp; R.kecocokan'!$B$25</f>
        <v>Sedikit</v>
      </c>
      <c r="F281" s="9" t="str">
        <f>'B.kriteria &amp; R.kecocokan'!$B$34</f>
        <v>Tinggi</v>
      </c>
      <c r="G281" s="191" t="str">
        <f>'B.kriteria &amp; R.kecocokan'!$B$41</f>
        <v>Rendah</v>
      </c>
      <c r="H281" s="191" t="str">
        <f>'B.kriteria &amp; R.kecocokan'!$B$72</f>
        <v>Rendah</v>
      </c>
      <c r="I281" s="191" t="str">
        <f>'B.kriteria &amp; R.kecocokan'!$B$95</f>
        <v>Rendah</v>
      </c>
      <c r="J281" s="9" t="str">
        <f>'B.kriteria &amp; R.kecocokan'!$B$81</f>
        <v>Tinggi</v>
      </c>
      <c r="K281" s="9" t="str">
        <f>'B.kriteria &amp; R.kecocokan'!$B$90</f>
        <v>Sangat Sedikit</v>
      </c>
      <c r="L281" s="191" t="str">
        <f>'B.kriteria &amp; R.kecocokan'!$B$49</f>
        <v>Rendah</v>
      </c>
      <c r="M281" s="191" t="str">
        <f>'B.kriteria &amp; R.kecocokan'!$B$57</f>
        <v>Rendah</v>
      </c>
      <c r="N281" s="51" t="str">
        <f>'B.kriteria &amp; R.kecocokan'!$B$65</f>
        <v>Rendah</v>
      </c>
      <c r="O281" s="52" t="s">
        <v>347</v>
      </c>
      <c r="V281" t="e">
        <f t="shared" si="26"/>
        <v>#DIV/0!</v>
      </c>
    </row>
    <row r="282" spans="1:22" hidden="1" x14ac:dyDescent="0.35">
      <c r="A282" s="57">
        <v>65</v>
      </c>
      <c r="B282" s="2">
        <f>Penghasilan!B263</f>
        <v>0</v>
      </c>
      <c r="C282" s="2" t="s">
        <v>209</v>
      </c>
      <c r="D282" s="11" t="s">
        <v>95</v>
      </c>
      <c r="E282" s="9" t="str">
        <f>'B.kriteria &amp; R.kecocokan'!$B$23</f>
        <v>Banyak</v>
      </c>
      <c r="F282" s="9" t="str">
        <f>'B.kriteria &amp; R.kecocokan'!$B$34</f>
        <v>Tinggi</v>
      </c>
      <c r="G282" s="191" t="str">
        <f>'B.kriteria &amp; R.kecocokan'!$B$41</f>
        <v>Rendah</v>
      </c>
      <c r="H282" s="191" t="str">
        <f>'B.kriteria &amp; R.kecocokan'!$B$72</f>
        <v>Rendah</v>
      </c>
      <c r="I282" s="191" t="str">
        <f>'B.kriteria &amp; R.kecocokan'!$B$95</f>
        <v>Rendah</v>
      </c>
      <c r="J282" s="191" t="str">
        <f>'B.kriteria &amp; R.kecocokan'!$B$80</f>
        <v>Rendah</v>
      </c>
      <c r="K282" s="191" t="str">
        <f>'B.kriteria &amp; R.kecocokan'!$B$89</f>
        <v>Sedikit</v>
      </c>
      <c r="L282" s="191" t="str">
        <f>'B.kriteria &amp; R.kecocokan'!$B$49</f>
        <v>Rendah</v>
      </c>
      <c r="M282" s="191" t="str">
        <f>'B.kriteria &amp; R.kecocokan'!$B$57</f>
        <v>Rendah</v>
      </c>
      <c r="N282" s="51" t="str">
        <f>'B.kriteria &amp; R.kecocokan'!$B$65</f>
        <v>Rendah</v>
      </c>
      <c r="O282" s="52" t="s">
        <v>347</v>
      </c>
      <c r="V282" t="e">
        <f t="shared" si="26"/>
        <v>#DIV/0!</v>
      </c>
    </row>
    <row r="283" spans="1:22" hidden="1" x14ac:dyDescent="0.35">
      <c r="A283" s="147">
        <v>66</v>
      </c>
      <c r="B283" s="2">
        <f>Penghasilan!B265</f>
        <v>0</v>
      </c>
      <c r="C283" s="2" t="s">
        <v>213</v>
      </c>
      <c r="D283" s="11" t="s">
        <v>95</v>
      </c>
      <c r="E283" s="9" t="str">
        <f>'B.kriteria &amp; R.kecocokan'!$B$23</f>
        <v>Banyak</v>
      </c>
      <c r="F283" s="9" t="str">
        <f>'B.kriteria &amp; R.kecocokan'!$B$34</f>
        <v>Tinggi</v>
      </c>
      <c r="G283" s="191" t="str">
        <f>'B.kriteria &amp; R.kecocokan'!$B$41</f>
        <v>Rendah</v>
      </c>
      <c r="H283" s="191" t="str">
        <f>'B.kriteria &amp; R.kecocokan'!$B$72</f>
        <v>Rendah</v>
      </c>
      <c r="I283" s="191" t="str">
        <f>'B.kriteria &amp; R.kecocokan'!$B$95</f>
        <v>Rendah</v>
      </c>
      <c r="J283" s="191" t="str">
        <f>'B.kriteria &amp; R.kecocokan'!$B$80</f>
        <v>Rendah</v>
      </c>
      <c r="K283" s="191" t="str">
        <f>'B.kriteria &amp; R.kecocokan'!$B$89</f>
        <v>Sedikit</v>
      </c>
      <c r="L283" s="191" t="str">
        <f>'B.kriteria &amp; R.kecocokan'!$B$49</f>
        <v>Rendah</v>
      </c>
      <c r="M283" s="191" t="str">
        <f>'B.kriteria &amp; R.kecocokan'!$B$57</f>
        <v>Rendah</v>
      </c>
      <c r="N283" s="51" t="str">
        <f>'B.kriteria &amp; R.kecocokan'!$B$65</f>
        <v>Rendah</v>
      </c>
      <c r="O283" s="52" t="s">
        <v>347</v>
      </c>
      <c r="V283" t="e">
        <f t="shared" si="26"/>
        <v>#DIV/0!</v>
      </c>
    </row>
    <row r="284" spans="1:22" hidden="1" x14ac:dyDescent="0.35">
      <c r="A284" s="147">
        <v>67</v>
      </c>
      <c r="B284" s="2">
        <f>Penghasilan!B266</f>
        <v>0</v>
      </c>
      <c r="C284" s="2" t="s">
        <v>215</v>
      </c>
      <c r="D284" s="11" t="s">
        <v>95</v>
      </c>
      <c r="E284" s="32" t="str">
        <f>'B.kriteria &amp; R.kecocokan'!$B$24</f>
        <v>Cukup</v>
      </c>
      <c r="F284" s="9" t="str">
        <f>'B.kriteria &amp; R.kecocokan'!$B$34</f>
        <v>Tinggi</v>
      </c>
      <c r="G284" s="191" t="str">
        <f>'B.kriteria &amp; R.kecocokan'!$B$41</f>
        <v>Rendah</v>
      </c>
      <c r="H284" s="191" t="str">
        <f>'B.kriteria &amp; R.kecocokan'!$B$72</f>
        <v>Rendah</v>
      </c>
      <c r="I284" s="191" t="str">
        <f>'B.kriteria &amp; R.kecocokan'!$B$95</f>
        <v>Rendah</v>
      </c>
      <c r="J284" s="191" t="str">
        <f>'B.kriteria &amp; R.kecocokan'!$B$80</f>
        <v>Rendah</v>
      </c>
      <c r="K284" s="191" t="str">
        <f>'B.kriteria &amp; R.kecocokan'!$B$89</f>
        <v>Sedikit</v>
      </c>
      <c r="L284" s="191" t="str">
        <f>'B.kriteria &amp; R.kecocokan'!$B$49</f>
        <v>Rendah</v>
      </c>
      <c r="M284" s="191" t="str">
        <f>'B.kriteria &amp; R.kecocokan'!$B$57</f>
        <v>Rendah</v>
      </c>
      <c r="N284" s="51" t="str">
        <f>'B.kriteria &amp; R.kecocokan'!$B$65</f>
        <v>Rendah</v>
      </c>
      <c r="O284" s="52" t="s">
        <v>347</v>
      </c>
      <c r="V284" t="e">
        <f t="shared" si="26"/>
        <v>#DIV/0!</v>
      </c>
    </row>
    <row r="285" spans="1:22" hidden="1" x14ac:dyDescent="0.35">
      <c r="A285" s="57">
        <v>68</v>
      </c>
      <c r="B285" s="2">
        <f>Penghasilan!B267</f>
        <v>0</v>
      </c>
      <c r="C285" s="2" t="s">
        <v>239</v>
      </c>
      <c r="D285" s="11" t="s">
        <v>92</v>
      </c>
      <c r="E285" s="32" t="str">
        <f>'B.kriteria &amp; R.kecocokan'!$B$24</f>
        <v>Cukup</v>
      </c>
      <c r="F285" s="9" t="str">
        <f>'B.kriteria &amp; R.kecocokan'!$B$34</f>
        <v>Tinggi</v>
      </c>
      <c r="G285" s="191" t="str">
        <f>'B.kriteria &amp; R.kecocokan'!$B$41</f>
        <v>Rendah</v>
      </c>
      <c r="H285" s="191" t="str">
        <f>'B.kriteria &amp; R.kecocokan'!$B$72</f>
        <v>Rendah</v>
      </c>
      <c r="I285" s="191" t="str">
        <f>'B.kriteria &amp; R.kecocokan'!$B$95</f>
        <v>Rendah</v>
      </c>
      <c r="J285" s="191" t="str">
        <f>'B.kriteria &amp; R.kecocokan'!$B$80</f>
        <v>Rendah</v>
      </c>
      <c r="K285" s="191" t="str">
        <f>'B.kriteria &amp; R.kecocokan'!$B$89</f>
        <v>Sedikit</v>
      </c>
      <c r="L285" s="191" t="str">
        <f>'B.kriteria &amp; R.kecocokan'!$B$49</f>
        <v>Rendah</v>
      </c>
      <c r="M285" s="191" t="str">
        <f>'B.kriteria &amp; R.kecocokan'!$B$57</f>
        <v>Rendah</v>
      </c>
      <c r="N285" s="51" t="str">
        <f>'B.kriteria &amp; R.kecocokan'!$B$65</f>
        <v>Rendah</v>
      </c>
      <c r="O285" s="52" t="s">
        <v>347</v>
      </c>
      <c r="V285" t="e">
        <f t="shared" si="26"/>
        <v>#DIV/0!</v>
      </c>
    </row>
    <row r="286" spans="1:22" hidden="1" x14ac:dyDescent="0.35">
      <c r="A286" s="147">
        <v>69</v>
      </c>
      <c r="B286" s="2">
        <f>Penghasilan!B269</f>
        <v>0</v>
      </c>
      <c r="C286" s="2" t="s">
        <v>221</v>
      </c>
      <c r="D286" s="11" t="s">
        <v>240</v>
      </c>
      <c r="E286" s="28" t="str">
        <f>'B.kriteria &amp; R.kecocokan'!$B$25</f>
        <v>Sedikit</v>
      </c>
      <c r="F286" s="9" t="str">
        <f>'B.kriteria &amp; R.kecocokan'!$B$34</f>
        <v>Tinggi</v>
      </c>
      <c r="G286" s="191" t="str">
        <f>'B.kriteria &amp; R.kecocokan'!$B$41</f>
        <v>Rendah</v>
      </c>
      <c r="H286" s="191" t="str">
        <f>'B.kriteria &amp; R.kecocokan'!$B$72</f>
        <v>Rendah</v>
      </c>
      <c r="I286" s="191" t="str">
        <f>'B.kriteria &amp; R.kecocokan'!$B$95</f>
        <v>Rendah</v>
      </c>
      <c r="J286" s="9" t="str">
        <f>'B.kriteria &amp; R.kecocokan'!$B$81</f>
        <v>Tinggi</v>
      </c>
      <c r="K286" s="9" t="str">
        <f>'B.kriteria &amp; R.kecocokan'!$B$90</f>
        <v>Sangat Sedikit</v>
      </c>
      <c r="L286" s="191" t="str">
        <f>'B.kriteria &amp; R.kecocokan'!$B$49</f>
        <v>Rendah</v>
      </c>
      <c r="M286" s="191" t="str">
        <f>'B.kriteria &amp; R.kecocokan'!$B$57</f>
        <v>Rendah</v>
      </c>
      <c r="N286" s="51" t="str">
        <f>'B.kriteria &amp; R.kecocokan'!$B$65</f>
        <v>Rendah</v>
      </c>
      <c r="O286" s="52" t="s">
        <v>347</v>
      </c>
      <c r="V286" t="e">
        <f t="shared" si="26"/>
        <v>#DIV/0!</v>
      </c>
    </row>
    <row r="287" spans="1:22" hidden="1" x14ac:dyDescent="0.35">
      <c r="A287" s="147">
        <v>70</v>
      </c>
      <c r="B287" s="2">
        <f>Penghasilan!B268</f>
        <v>0</v>
      </c>
      <c r="C287" s="2" t="s">
        <v>219</v>
      </c>
      <c r="D287" s="11" t="s">
        <v>95</v>
      </c>
      <c r="E287" s="9" t="str">
        <f>'B.kriteria &amp; R.kecocokan'!$B$23</f>
        <v>Banyak</v>
      </c>
      <c r="F287" s="9" t="str">
        <f>'B.kriteria &amp; R.kecocokan'!$B$34</f>
        <v>Tinggi</v>
      </c>
      <c r="G287" s="191" t="str">
        <f>'B.kriteria &amp; R.kecocokan'!$B$41</f>
        <v>Rendah</v>
      </c>
      <c r="H287" s="191" t="str">
        <f>'B.kriteria &amp; R.kecocokan'!$B$72</f>
        <v>Rendah</v>
      </c>
      <c r="I287" s="191" t="str">
        <f>'B.kriteria &amp; R.kecocokan'!$B$95</f>
        <v>Rendah</v>
      </c>
      <c r="J287" s="191" t="str">
        <f>'B.kriteria &amp; R.kecocokan'!$B$80</f>
        <v>Rendah</v>
      </c>
      <c r="K287" s="9" t="str">
        <f>'B.kriteria &amp; R.kecocokan'!$B$88</f>
        <v>Sedang</v>
      </c>
      <c r="L287" s="191" t="str">
        <f>'B.kriteria &amp; R.kecocokan'!$B$49</f>
        <v>Rendah</v>
      </c>
      <c r="M287" s="191" t="str">
        <f>'B.kriteria &amp; R.kecocokan'!$B$57</f>
        <v>Rendah</v>
      </c>
      <c r="N287" s="51" t="str">
        <f>'B.kriteria &amp; R.kecocokan'!$B$65</f>
        <v>Rendah</v>
      </c>
      <c r="O287" s="52" t="s">
        <v>347</v>
      </c>
      <c r="V287" t="e">
        <f t="shared" si="26"/>
        <v>#DIV/0!</v>
      </c>
    </row>
    <row r="288" spans="1:22" hidden="1" x14ac:dyDescent="0.35">
      <c r="A288" s="57">
        <v>71</v>
      </c>
      <c r="B288" s="2">
        <f>Penghasilan!B270</f>
        <v>0</v>
      </c>
      <c r="C288" s="2" t="s">
        <v>241</v>
      </c>
      <c r="D288" s="11" t="s">
        <v>95</v>
      </c>
      <c r="E288" s="9" t="str">
        <f>'B.kriteria &amp; R.kecocokan'!$B$23</f>
        <v>Banyak</v>
      </c>
      <c r="F288" s="9" t="str">
        <f>'B.kriteria &amp; R.kecocokan'!$B$34</f>
        <v>Tinggi</v>
      </c>
      <c r="G288" s="191" t="str">
        <f>'B.kriteria &amp; R.kecocokan'!$B$41</f>
        <v>Rendah</v>
      </c>
      <c r="H288" s="191" t="str">
        <f>'B.kriteria &amp; R.kecocokan'!$B$72</f>
        <v>Rendah</v>
      </c>
      <c r="I288" s="191" t="str">
        <f>'B.kriteria &amp; R.kecocokan'!$B$95</f>
        <v>Rendah</v>
      </c>
      <c r="J288" s="191" t="str">
        <f>'B.kriteria &amp; R.kecocokan'!$B$80</f>
        <v>Rendah</v>
      </c>
      <c r="K288" s="9" t="str">
        <f>'B.kriteria &amp; R.kecocokan'!$B$88</f>
        <v>Sedang</v>
      </c>
      <c r="L288" s="191" t="str">
        <f>'B.kriteria &amp; R.kecocokan'!$B$49</f>
        <v>Rendah</v>
      </c>
      <c r="M288" s="191" t="str">
        <f>'B.kriteria &amp; R.kecocokan'!$B$57</f>
        <v>Rendah</v>
      </c>
      <c r="N288" s="51" t="str">
        <f>'B.kriteria &amp; R.kecocokan'!$B$65</f>
        <v>Rendah</v>
      </c>
      <c r="O288" s="52" t="s">
        <v>347</v>
      </c>
      <c r="V288" t="e">
        <f t="shared" si="26"/>
        <v>#DIV/0!</v>
      </c>
    </row>
    <row r="289" spans="1:22" hidden="1" x14ac:dyDescent="0.35">
      <c r="A289" s="147">
        <v>72</v>
      </c>
      <c r="B289" s="2">
        <f>Penghasilan!B271</f>
        <v>0</v>
      </c>
      <c r="C289" s="2" t="s">
        <v>225</v>
      </c>
      <c r="D289" s="11" t="s">
        <v>95</v>
      </c>
      <c r="E289" s="9" t="str">
        <f>'B.kriteria &amp; R.kecocokan'!$B$23</f>
        <v>Banyak</v>
      </c>
      <c r="F289" s="9" t="str">
        <f>'B.kriteria &amp; R.kecocokan'!$B$34</f>
        <v>Tinggi</v>
      </c>
      <c r="G289" s="191" t="str">
        <f>'B.kriteria &amp; R.kecocokan'!$B$41</f>
        <v>Rendah</v>
      </c>
      <c r="H289" s="191" t="str">
        <f>'B.kriteria &amp; R.kecocokan'!$B$72</f>
        <v>Rendah</v>
      </c>
      <c r="I289" s="191" t="str">
        <f>'B.kriteria &amp; R.kecocokan'!$B$95</f>
        <v>Rendah</v>
      </c>
      <c r="J289" s="9" t="str">
        <f>'B.kriteria &amp; R.kecocokan'!$B$81</f>
        <v>Tinggi</v>
      </c>
      <c r="K289" s="9" t="str">
        <f>'B.kriteria &amp; R.kecocokan'!$B$90</f>
        <v>Sangat Sedikit</v>
      </c>
      <c r="L289" s="191" t="str">
        <f>'B.kriteria &amp; R.kecocokan'!$B$49</f>
        <v>Rendah</v>
      </c>
      <c r="M289" s="191" t="str">
        <f>'B.kriteria &amp; R.kecocokan'!$B$57</f>
        <v>Rendah</v>
      </c>
      <c r="N289" s="51" t="str">
        <f>'B.kriteria &amp; R.kecocokan'!$B$65</f>
        <v>Rendah</v>
      </c>
      <c r="O289" s="52" t="s">
        <v>347</v>
      </c>
      <c r="V289" t="e">
        <f t="shared" si="26"/>
        <v>#DIV/0!</v>
      </c>
    </row>
    <row r="290" spans="1:22" hidden="1" x14ac:dyDescent="0.35">
      <c r="A290" s="147">
        <v>73</v>
      </c>
      <c r="B290" s="2">
        <f>Penghasilan!B272</f>
        <v>0</v>
      </c>
      <c r="C290" s="2" t="s">
        <v>227</v>
      </c>
      <c r="D290" s="11" t="s">
        <v>95</v>
      </c>
      <c r="E290" s="9" t="str">
        <f>'B.kriteria &amp; R.kecocokan'!$B$23</f>
        <v>Banyak</v>
      </c>
      <c r="F290" s="9" t="str">
        <f>'B.kriteria &amp; R.kecocokan'!$B$35</f>
        <v>Sangat Tinggi</v>
      </c>
      <c r="G290" s="191" t="str">
        <f>'B.kriteria &amp; R.kecocokan'!$B$41</f>
        <v>Rendah</v>
      </c>
      <c r="H290" s="191" t="str">
        <f>'B.kriteria &amp; R.kecocokan'!$B$72</f>
        <v>Rendah</v>
      </c>
      <c r="I290" s="191" t="str">
        <f>'B.kriteria &amp; R.kecocokan'!$B$95</f>
        <v>Rendah</v>
      </c>
      <c r="J290" s="191" t="str">
        <f>'B.kriteria &amp; R.kecocokan'!$B$80</f>
        <v>Rendah</v>
      </c>
      <c r="K290" s="9" t="str">
        <f>'B.kriteria &amp; R.kecocokan'!$B$90</f>
        <v>Sangat Sedikit</v>
      </c>
      <c r="L290" s="9" t="str">
        <f>'B.kriteria &amp; R.kecocokan'!$B$51</f>
        <v>Tinggi</v>
      </c>
      <c r="M290" s="191" t="str">
        <f>'B.kriteria &amp; R.kecocokan'!$B$57</f>
        <v>Rendah</v>
      </c>
      <c r="N290" s="51" t="str">
        <f>'B.kriteria &amp; R.kecocokan'!$B$65</f>
        <v>Rendah</v>
      </c>
      <c r="O290" s="52" t="s">
        <v>347</v>
      </c>
      <c r="V290" t="e">
        <f t="shared" si="26"/>
        <v>#DIV/0!</v>
      </c>
    </row>
    <row r="291" spans="1:22" hidden="1" x14ac:dyDescent="0.35">
      <c r="A291" s="57">
        <v>74</v>
      </c>
      <c r="B291" s="2">
        <f>Penghasilan!B273</f>
        <v>0</v>
      </c>
      <c r="C291" s="2" t="s">
        <v>245</v>
      </c>
      <c r="D291" s="11" t="s">
        <v>95</v>
      </c>
      <c r="E291" s="32" t="str">
        <f>'B.kriteria &amp; R.kecocokan'!$B$24</f>
        <v>Cukup</v>
      </c>
      <c r="F291" s="9" t="str">
        <f>'B.kriteria &amp; R.kecocokan'!$B$34</f>
        <v>Tinggi</v>
      </c>
      <c r="G291" s="191" t="str">
        <f>'B.kriteria &amp; R.kecocokan'!$B$41</f>
        <v>Rendah</v>
      </c>
      <c r="H291" s="191" t="str">
        <f>'B.kriteria &amp; R.kecocokan'!$B$72</f>
        <v>Rendah</v>
      </c>
      <c r="I291" s="191" t="str">
        <f>'B.kriteria &amp; R.kecocokan'!$B$95</f>
        <v>Rendah</v>
      </c>
      <c r="J291" s="191" t="str">
        <f>'B.kriteria &amp; R.kecocokan'!$B$80</f>
        <v>Rendah</v>
      </c>
      <c r="K291" s="191" t="str">
        <f>'B.kriteria &amp; R.kecocokan'!$B$89</f>
        <v>Sedikit</v>
      </c>
      <c r="L291" s="191" t="str">
        <f>'B.kriteria &amp; R.kecocokan'!$B$49</f>
        <v>Rendah</v>
      </c>
      <c r="M291" s="191" t="str">
        <f>'B.kriteria &amp; R.kecocokan'!$B$57</f>
        <v>Rendah</v>
      </c>
      <c r="N291" s="51" t="str">
        <f>'B.kriteria &amp; R.kecocokan'!$B$65</f>
        <v>Rendah</v>
      </c>
      <c r="O291" s="52" t="s">
        <v>347</v>
      </c>
      <c r="V291" t="e">
        <f t="shared" si="26"/>
        <v>#DIV/0!</v>
      </c>
    </row>
    <row r="292" spans="1:22" hidden="1" x14ac:dyDescent="0.35">
      <c r="A292" s="147">
        <v>75</v>
      </c>
      <c r="B292" s="2">
        <f>Penghasilan!B230</f>
        <v>0</v>
      </c>
      <c r="C292" s="2" t="s">
        <v>155</v>
      </c>
      <c r="D292" s="11" t="s">
        <v>95</v>
      </c>
      <c r="E292" s="32" t="str">
        <f>'B.kriteria &amp; R.kecocokan'!$B$24</f>
        <v>Cukup</v>
      </c>
      <c r="F292" s="9" t="str">
        <f>'B.kriteria &amp; R.kecocokan'!$B$34</f>
        <v>Tinggi</v>
      </c>
      <c r="G292" s="9" t="str">
        <f>'B.kriteria &amp; R.kecocokan'!$B$43</f>
        <v>Tinggi</v>
      </c>
      <c r="H292" s="191" t="str">
        <f>'B.kriteria &amp; R.kecocokan'!$B$72</f>
        <v>Rendah</v>
      </c>
      <c r="I292" s="191" t="str">
        <f>'B.kriteria &amp; R.kecocokan'!$B$95</f>
        <v>Rendah</v>
      </c>
      <c r="J292" s="191" t="str">
        <f>'B.kriteria &amp; R.kecocokan'!$B$80</f>
        <v>Rendah</v>
      </c>
      <c r="K292" s="9" t="str">
        <f>'B.kriteria &amp; R.kecocokan'!$B$88</f>
        <v>Sedang</v>
      </c>
      <c r="L292" s="191" t="str">
        <f>'B.kriteria &amp; R.kecocokan'!$B$49</f>
        <v>Rendah</v>
      </c>
      <c r="M292" s="191" t="str">
        <f>'B.kriteria &amp; R.kecocokan'!$B$57</f>
        <v>Rendah</v>
      </c>
      <c r="N292" s="51" t="str">
        <f>'B.kriteria &amp; R.kecocokan'!$B$65</f>
        <v>Rendah</v>
      </c>
      <c r="O292" s="52" t="s">
        <v>347</v>
      </c>
      <c r="V292" t="e">
        <f t="shared" si="26"/>
        <v>#DIV/0!</v>
      </c>
    </row>
    <row r="293" spans="1:22" hidden="1" x14ac:dyDescent="0.35">
      <c r="A293" s="147">
        <v>76</v>
      </c>
      <c r="B293" s="2">
        <f>Penghasilan!B229</f>
        <v>0</v>
      </c>
      <c r="C293" s="2" t="s">
        <v>152</v>
      </c>
      <c r="D293" s="11" t="s">
        <v>95</v>
      </c>
      <c r="E293" s="9" t="str">
        <f>'B.kriteria &amp; R.kecocokan'!$B$23</f>
        <v>Banyak</v>
      </c>
      <c r="F293" s="9" t="str">
        <f>'B.kriteria &amp; R.kecocokan'!$B$34</f>
        <v>Tinggi</v>
      </c>
      <c r="G293" s="191" t="str">
        <f>'B.kriteria &amp; R.kecocokan'!$B$41</f>
        <v>Rendah</v>
      </c>
      <c r="H293" s="191" t="str">
        <f>'B.kriteria &amp; R.kecocokan'!$B$72</f>
        <v>Rendah</v>
      </c>
      <c r="I293" s="191" t="str">
        <f>'B.kriteria &amp; R.kecocokan'!$B$95</f>
        <v>Rendah</v>
      </c>
      <c r="J293" s="9" t="str">
        <f>'B.kriteria &amp; R.kecocokan'!$B$81</f>
        <v>Tinggi</v>
      </c>
      <c r="K293" s="9" t="str">
        <f>'B.kriteria &amp; R.kecocokan'!$B$88</f>
        <v>Sedang</v>
      </c>
      <c r="L293" s="191" t="str">
        <f>'B.kriteria &amp; R.kecocokan'!$B$49</f>
        <v>Rendah</v>
      </c>
      <c r="M293" s="191" t="str">
        <f>'B.kriteria &amp; R.kecocokan'!$B$57</f>
        <v>Rendah</v>
      </c>
      <c r="N293" s="51" t="str">
        <f>'B.kriteria &amp; R.kecocokan'!$B$65</f>
        <v>Rendah</v>
      </c>
      <c r="O293" s="52" t="s">
        <v>347</v>
      </c>
      <c r="V293" t="e">
        <f t="shared" si="26"/>
        <v>#DIV/0!</v>
      </c>
    </row>
    <row r="294" spans="1:22" hidden="1" x14ac:dyDescent="0.35">
      <c r="A294" s="57">
        <v>77</v>
      </c>
      <c r="B294" s="2">
        <f>Penghasilan!B231</f>
        <v>0</v>
      </c>
      <c r="C294" s="2" t="s">
        <v>157</v>
      </c>
      <c r="D294" s="11" t="s">
        <v>95</v>
      </c>
      <c r="E294" s="32" t="str">
        <f>'B.kriteria &amp; R.kecocokan'!$B$24</f>
        <v>Cukup</v>
      </c>
      <c r="F294" s="9" t="str">
        <f>'B.kriteria &amp; R.kecocokan'!$B$34</f>
        <v>Tinggi</v>
      </c>
      <c r="G294" s="191" t="str">
        <f>'B.kriteria &amp; R.kecocokan'!$B$41</f>
        <v>Rendah</v>
      </c>
      <c r="H294" s="191" t="str">
        <f>'B.kriteria &amp; R.kecocokan'!$B$72</f>
        <v>Rendah</v>
      </c>
      <c r="I294" s="191" t="str">
        <f>'B.kriteria &amp; R.kecocokan'!$B$95</f>
        <v>Rendah</v>
      </c>
      <c r="J294" s="9" t="str">
        <f>'B.kriteria &amp; R.kecocokan'!$B$81</f>
        <v>Tinggi</v>
      </c>
      <c r="K294" s="9" t="str">
        <f>'B.kriteria &amp; R.kecocokan'!$B$90</f>
        <v>Sangat Sedikit</v>
      </c>
      <c r="L294" s="191" t="str">
        <f>'B.kriteria &amp; R.kecocokan'!$B$49</f>
        <v>Rendah</v>
      </c>
      <c r="M294" s="191" t="str">
        <f>'B.kriteria &amp; R.kecocokan'!$B$57</f>
        <v>Rendah</v>
      </c>
      <c r="N294" s="51" t="str">
        <f>'B.kriteria &amp; R.kecocokan'!$B$65</f>
        <v>Rendah</v>
      </c>
      <c r="O294" s="52" t="s">
        <v>347</v>
      </c>
      <c r="V294" t="e">
        <f t="shared" si="26"/>
        <v>#DIV/0!</v>
      </c>
    </row>
    <row r="295" spans="1:22" hidden="1" x14ac:dyDescent="0.35">
      <c r="A295" s="147">
        <v>78</v>
      </c>
      <c r="B295" s="2">
        <f>Penghasilan!B226</f>
        <v>0</v>
      </c>
      <c r="C295" s="2" t="s">
        <v>146</v>
      </c>
      <c r="D295" s="11" t="s">
        <v>235</v>
      </c>
      <c r="E295" s="32" t="str">
        <f>'B.kriteria &amp; R.kecocokan'!$B$24</f>
        <v>Cukup</v>
      </c>
      <c r="F295" s="9" t="str">
        <f>'B.kriteria &amp; R.kecocokan'!$B$34</f>
        <v>Tinggi</v>
      </c>
      <c r="G295" s="9" t="str">
        <f>'B.kriteria &amp; R.kecocokan'!$B$43</f>
        <v>Tinggi</v>
      </c>
      <c r="H295" s="191" t="str">
        <f>'B.kriteria &amp; R.kecocokan'!$B$72</f>
        <v>Rendah</v>
      </c>
      <c r="I295" s="191" t="str">
        <f>'B.kriteria &amp; R.kecocokan'!$B$95</f>
        <v>Rendah</v>
      </c>
      <c r="J295" s="191" t="str">
        <f>'B.kriteria &amp; R.kecocokan'!$B$80</f>
        <v>Rendah</v>
      </c>
      <c r="K295" s="9" t="str">
        <f>'B.kriteria &amp; R.kecocokan'!$B$90</f>
        <v>Sangat Sedikit</v>
      </c>
      <c r="L295" s="191" t="str">
        <f>'B.kriteria &amp; R.kecocokan'!$B$49</f>
        <v>Rendah</v>
      </c>
      <c r="M295" s="191" t="str">
        <f>'B.kriteria &amp; R.kecocokan'!$B$57</f>
        <v>Rendah</v>
      </c>
      <c r="N295" s="51" t="str">
        <f>'B.kriteria &amp; R.kecocokan'!$B$65</f>
        <v>Rendah</v>
      </c>
      <c r="O295" s="52" t="s">
        <v>347</v>
      </c>
      <c r="V295" t="e">
        <f t="shared" si="26"/>
        <v>#DIV/0!</v>
      </c>
    </row>
    <row r="296" spans="1:22" hidden="1" x14ac:dyDescent="0.35">
      <c r="A296" s="147">
        <v>79</v>
      </c>
      <c r="B296" s="2">
        <f>Penghasilan!B239</f>
        <v>0</v>
      </c>
      <c r="C296" s="2" t="s">
        <v>173</v>
      </c>
      <c r="D296" s="11" t="s">
        <v>95</v>
      </c>
      <c r="E296" s="28" t="str">
        <f>'B.kriteria &amp; R.kecocokan'!$B$25</f>
        <v>Sedikit</v>
      </c>
      <c r="F296" s="9" t="str">
        <f>'B.kriteria &amp; R.kecocokan'!$B$34</f>
        <v>Tinggi</v>
      </c>
      <c r="G296" s="191" t="str">
        <f>'B.kriteria &amp; R.kecocokan'!$B$41</f>
        <v>Rendah</v>
      </c>
      <c r="H296" s="191" t="str">
        <f>'B.kriteria &amp; R.kecocokan'!$B$72</f>
        <v>Rendah</v>
      </c>
      <c r="I296" s="191" t="str">
        <f>'B.kriteria &amp; R.kecocokan'!$B$95</f>
        <v>Rendah</v>
      </c>
      <c r="J296" s="9" t="str">
        <f>'B.kriteria &amp; R.kecocokan'!$B$81</f>
        <v>Tinggi</v>
      </c>
      <c r="K296" s="9" t="str">
        <f>'B.kriteria &amp; R.kecocokan'!$B$90</f>
        <v>Sangat Sedikit</v>
      </c>
      <c r="L296" s="191" t="str">
        <f>'B.kriteria &amp; R.kecocokan'!$B$49</f>
        <v>Rendah</v>
      </c>
      <c r="M296" s="9" t="str">
        <f>'B.kriteria &amp; R.kecocokan'!$B$58</f>
        <v>Sedang</v>
      </c>
      <c r="N296" s="51" t="str">
        <f>'B.kriteria &amp; R.kecocokan'!$B$65</f>
        <v>Rendah</v>
      </c>
      <c r="O296" s="52" t="s">
        <v>349</v>
      </c>
      <c r="V296" t="e">
        <f t="shared" si="26"/>
        <v>#DIV/0!</v>
      </c>
    </row>
    <row r="297" spans="1:22" hidden="1" x14ac:dyDescent="0.35">
      <c r="A297" s="57">
        <v>80</v>
      </c>
      <c r="B297" s="2">
        <f>Penghasilan!B228</f>
        <v>0</v>
      </c>
      <c r="C297" s="2" t="s">
        <v>150</v>
      </c>
      <c r="D297" s="11" t="s">
        <v>95</v>
      </c>
      <c r="E297" s="28" t="str">
        <f>'B.kriteria &amp; R.kecocokan'!$B$25</f>
        <v>Sedikit</v>
      </c>
      <c r="F297" s="9" t="str">
        <f>'B.kriteria &amp; R.kecocokan'!$B$34</f>
        <v>Tinggi</v>
      </c>
      <c r="G297" s="9" t="str">
        <f>'B.kriteria &amp; R.kecocokan'!$B$43</f>
        <v>Tinggi</v>
      </c>
      <c r="H297" s="191" t="str">
        <f>'B.kriteria &amp; R.kecocokan'!$B$72</f>
        <v>Rendah</v>
      </c>
      <c r="I297" s="9" t="str">
        <f>'B.kriteria &amp; R.kecocokan'!$B$96</f>
        <v>Tinggi</v>
      </c>
      <c r="J297" s="191" t="str">
        <f>'B.kriteria &amp; R.kecocokan'!$B$80</f>
        <v>Rendah</v>
      </c>
      <c r="K297" s="191" t="str">
        <f>'B.kriteria &amp; R.kecocokan'!$B$89</f>
        <v>Sedikit</v>
      </c>
      <c r="L297" s="191" t="str">
        <f>'B.kriteria &amp; R.kecocokan'!$B$49</f>
        <v>Rendah</v>
      </c>
      <c r="M297" s="191" t="str">
        <f>'B.kriteria &amp; R.kecocokan'!$B$57</f>
        <v>Rendah</v>
      </c>
      <c r="N297" s="51" t="str">
        <f>'B.kriteria &amp; R.kecocokan'!$B$65</f>
        <v>Rendah</v>
      </c>
      <c r="O297" s="52" t="s">
        <v>347</v>
      </c>
      <c r="V297" t="e">
        <f t="shared" si="26"/>
        <v>#DIV/0!</v>
      </c>
    </row>
    <row r="298" spans="1:22" hidden="1" x14ac:dyDescent="0.35">
      <c r="A298" s="147">
        <v>81</v>
      </c>
      <c r="B298" s="2">
        <f>Penghasilan!B227</f>
        <v>0</v>
      </c>
      <c r="C298" s="2" t="s">
        <v>147</v>
      </c>
      <c r="D298" s="11" t="s">
        <v>95</v>
      </c>
      <c r="E298" s="28" t="str">
        <f>'B.kriteria &amp; R.kecocokan'!$B$25</f>
        <v>Sedikit</v>
      </c>
      <c r="F298" s="9" t="str">
        <f>'B.kriteria &amp; R.kecocokan'!$B$34</f>
        <v>Tinggi</v>
      </c>
      <c r="G298" s="191" t="str">
        <f>'B.kriteria &amp; R.kecocokan'!$B$41</f>
        <v>Rendah</v>
      </c>
      <c r="H298" s="191" t="str">
        <f>'B.kriteria &amp; R.kecocokan'!$B$72</f>
        <v>Rendah</v>
      </c>
      <c r="I298" s="191" t="str">
        <f>'B.kriteria &amp; R.kecocokan'!$B$95</f>
        <v>Rendah</v>
      </c>
      <c r="J298" s="9" t="str">
        <f>'B.kriteria &amp; R.kecocokan'!$B$81</f>
        <v>Tinggi</v>
      </c>
      <c r="K298" s="9" t="str">
        <f>'B.kriteria &amp; R.kecocokan'!$B$90</f>
        <v>Sangat Sedikit</v>
      </c>
      <c r="L298" s="191" t="str">
        <f>'B.kriteria &amp; R.kecocokan'!$B$49</f>
        <v>Rendah</v>
      </c>
      <c r="M298" s="191" t="str">
        <f>'B.kriteria &amp; R.kecocokan'!$B$57</f>
        <v>Rendah</v>
      </c>
      <c r="N298" s="51" t="str">
        <f>'B.kriteria &amp; R.kecocokan'!$B$65</f>
        <v>Rendah</v>
      </c>
      <c r="O298" s="52" t="s">
        <v>347</v>
      </c>
      <c r="V298" t="e">
        <f t="shared" si="26"/>
        <v>#DIV/0!</v>
      </c>
    </row>
    <row r="299" spans="1:22" hidden="1" x14ac:dyDescent="0.35">
      <c r="A299" s="147">
        <v>82</v>
      </c>
      <c r="B299" s="2">
        <f>Penghasilan!B221</f>
        <v>0</v>
      </c>
      <c r="C299" s="2" t="s">
        <v>126</v>
      </c>
      <c r="D299" s="11" t="s">
        <v>95</v>
      </c>
      <c r="E299" s="28" t="str">
        <f>'B.kriteria &amp; R.kecocokan'!$B$25</f>
        <v>Sedikit</v>
      </c>
      <c r="F299" s="9" t="str">
        <f>'B.kriteria &amp; R.kecocokan'!$B$34</f>
        <v>Tinggi</v>
      </c>
      <c r="G299" s="191" t="str">
        <f>'B.kriteria &amp; R.kecocokan'!$B$41</f>
        <v>Rendah</v>
      </c>
      <c r="H299" s="191" t="str">
        <f>'B.kriteria &amp; R.kecocokan'!$B$72</f>
        <v>Rendah</v>
      </c>
      <c r="I299" s="191" t="str">
        <f>'B.kriteria &amp; R.kecocokan'!$B$95</f>
        <v>Rendah</v>
      </c>
      <c r="J299" s="191" t="str">
        <f>'B.kriteria &amp; R.kecocokan'!$B$80</f>
        <v>Rendah</v>
      </c>
      <c r="K299" s="9" t="str">
        <f>'B.kriteria &amp; R.kecocokan'!$B$88</f>
        <v>Sedang</v>
      </c>
      <c r="L299" s="191" t="str">
        <f>'B.kriteria &amp; R.kecocokan'!$B$49</f>
        <v>Rendah</v>
      </c>
      <c r="M299" s="191" t="str">
        <f>'B.kriteria &amp; R.kecocokan'!$B$57</f>
        <v>Rendah</v>
      </c>
      <c r="N299" s="51" t="str">
        <f>'B.kriteria &amp; R.kecocokan'!$B$65</f>
        <v>Rendah</v>
      </c>
      <c r="O299" s="52" t="s">
        <v>347</v>
      </c>
      <c r="V299" t="e">
        <f t="shared" si="26"/>
        <v>#DIV/0!</v>
      </c>
    </row>
    <row r="300" spans="1:22" x14ac:dyDescent="0.35">
      <c r="A300" s="57">
        <v>83</v>
      </c>
      <c r="B300" s="2">
        <f>Penghasilan!B241</f>
        <v>0</v>
      </c>
      <c r="C300" s="2" t="s">
        <v>178</v>
      </c>
      <c r="D300" s="11" t="s">
        <v>95</v>
      </c>
      <c r="E300" s="32" t="str">
        <f>'B.kriteria &amp; R.kecocokan'!$B$24</f>
        <v>Cukup</v>
      </c>
      <c r="F300" s="9" t="str">
        <f>'B.kriteria &amp; R.kecocokan'!$B$34</f>
        <v>Tinggi</v>
      </c>
      <c r="G300" s="191" t="str">
        <f>'B.kriteria &amp; R.kecocokan'!$B$41</f>
        <v>Rendah</v>
      </c>
      <c r="H300" s="191" t="str">
        <f>'B.kriteria &amp; R.kecocokan'!$B$72</f>
        <v>Rendah</v>
      </c>
      <c r="I300" s="191" t="str">
        <f>'B.kriteria &amp; R.kecocokan'!$B$95</f>
        <v>Rendah</v>
      </c>
      <c r="J300" s="191" t="str">
        <f>'B.kriteria &amp; R.kecocokan'!$B$80</f>
        <v>Rendah</v>
      </c>
      <c r="K300" s="191" t="str">
        <f>'B.kriteria &amp; R.kecocokan'!$B$89</f>
        <v>Sedikit</v>
      </c>
      <c r="L300" s="191" t="str">
        <f>'B.kriteria &amp; R.kecocokan'!$B$49</f>
        <v>Rendah</v>
      </c>
      <c r="M300" s="9" t="str">
        <f>'B.kriteria &amp; R.kecocokan'!$B$58</f>
        <v>Sedang</v>
      </c>
      <c r="N300" s="51" t="str">
        <f>'B.kriteria &amp; R.kecocokan'!$B$65</f>
        <v>Rendah</v>
      </c>
      <c r="O300" s="52" t="s">
        <v>349</v>
      </c>
      <c r="R300" t="s">
        <v>313</v>
      </c>
      <c r="S300">
        <v>0</v>
      </c>
      <c r="T300">
        <v>0</v>
      </c>
      <c r="U300">
        <v>0</v>
      </c>
      <c r="V300">
        <v>0</v>
      </c>
    </row>
    <row r="301" spans="1:22" hidden="1" x14ac:dyDescent="0.35">
      <c r="A301" s="147">
        <v>84</v>
      </c>
      <c r="B301" s="2">
        <f>Penghasilan!B221</f>
        <v>0</v>
      </c>
      <c r="C301" s="2" t="s">
        <v>133</v>
      </c>
      <c r="D301" s="11" t="s">
        <v>95</v>
      </c>
      <c r="E301" s="32" t="str">
        <f>'B.kriteria &amp; R.kecocokan'!$B$24</f>
        <v>Cukup</v>
      </c>
      <c r="F301" s="9" t="str">
        <f>'B.kriteria &amp; R.kecocokan'!$B$34</f>
        <v>Tinggi</v>
      </c>
      <c r="G301" s="191" t="str">
        <f>'B.kriteria &amp; R.kecocokan'!$B$41</f>
        <v>Rendah</v>
      </c>
      <c r="H301" s="191" t="str">
        <f>'B.kriteria &amp; R.kecocokan'!$B$72</f>
        <v>Rendah</v>
      </c>
      <c r="I301" s="191" t="str">
        <f>'B.kriteria &amp; R.kecocokan'!$B$95</f>
        <v>Rendah</v>
      </c>
      <c r="J301" s="191" t="str">
        <f>'B.kriteria &amp; R.kecocokan'!$B$80</f>
        <v>Rendah</v>
      </c>
      <c r="K301" s="9" t="str">
        <f>'B.kriteria &amp; R.kecocokan'!$B$90</f>
        <v>Sangat Sedikit</v>
      </c>
      <c r="L301" s="191" t="str">
        <f>'B.kriteria &amp; R.kecocokan'!$B$49</f>
        <v>Rendah</v>
      </c>
      <c r="M301" s="191" t="str">
        <f>'B.kriteria &amp; R.kecocokan'!$B$57</f>
        <v>Rendah</v>
      </c>
      <c r="N301" s="51" t="str">
        <f>'B.kriteria &amp; R.kecocokan'!$B$65</f>
        <v>Rendah</v>
      </c>
      <c r="O301" s="52" t="s">
        <v>347</v>
      </c>
    </row>
    <row r="302" spans="1:22" hidden="1" x14ac:dyDescent="0.35">
      <c r="A302" s="147">
        <v>85</v>
      </c>
      <c r="B302" s="2">
        <f>Penghasilan!B232</f>
        <v>0</v>
      </c>
      <c r="C302" s="2" t="s">
        <v>159</v>
      </c>
      <c r="D302" s="11" t="s">
        <v>95</v>
      </c>
      <c r="E302" s="9" t="str">
        <f>'B.kriteria &amp; R.kecocokan'!$B$23</f>
        <v>Banyak</v>
      </c>
      <c r="F302" s="9" t="str">
        <f>'B.kriteria &amp; R.kecocokan'!$B$34</f>
        <v>Tinggi</v>
      </c>
      <c r="G302" s="191" t="str">
        <f>'B.kriteria &amp; R.kecocokan'!$B$41</f>
        <v>Rendah</v>
      </c>
      <c r="H302" s="191" t="str">
        <f>'B.kriteria &amp; R.kecocokan'!$B$72</f>
        <v>Rendah</v>
      </c>
      <c r="I302" s="9" t="str">
        <f>'B.kriteria &amp; R.kecocokan'!$B$96</f>
        <v>Tinggi</v>
      </c>
      <c r="J302" s="191" t="str">
        <f>'B.kriteria &amp; R.kecocokan'!$B$80</f>
        <v>Rendah</v>
      </c>
      <c r="K302" s="9" t="str">
        <f>'B.kriteria &amp; R.kecocokan'!$B$90</f>
        <v>Sangat Sedikit</v>
      </c>
      <c r="L302" s="191" t="str">
        <f>'B.kriteria &amp; R.kecocokan'!$B$49</f>
        <v>Rendah</v>
      </c>
      <c r="M302" s="191" t="str">
        <f>'B.kriteria &amp; R.kecocokan'!$B$57</f>
        <v>Rendah</v>
      </c>
      <c r="N302" s="51" t="str">
        <f>'B.kriteria &amp; R.kecocokan'!$B$65</f>
        <v>Rendah</v>
      </c>
      <c r="O302" s="52" t="s">
        <v>347</v>
      </c>
    </row>
    <row r="303" spans="1:22" hidden="1" x14ac:dyDescent="0.35">
      <c r="A303" s="57">
        <v>86</v>
      </c>
      <c r="B303" s="2">
        <f>Penghasilan!B235</f>
        <v>0</v>
      </c>
      <c r="C303" s="2" t="s">
        <v>165</v>
      </c>
      <c r="D303" s="11" t="s">
        <v>95</v>
      </c>
      <c r="E303" s="28" t="str">
        <f>'B.kriteria &amp; R.kecocokan'!$B$25</f>
        <v>Sedikit</v>
      </c>
      <c r="F303" s="9" t="str">
        <f>'B.kriteria &amp; R.kecocokan'!$B$34</f>
        <v>Tinggi</v>
      </c>
      <c r="G303" s="191" t="str">
        <f>'B.kriteria &amp; R.kecocokan'!$B$41</f>
        <v>Rendah</v>
      </c>
      <c r="H303" s="191" t="str">
        <f>'B.kriteria &amp; R.kecocokan'!$B$72</f>
        <v>Rendah</v>
      </c>
      <c r="I303" s="191" t="str">
        <f>'B.kriteria &amp; R.kecocokan'!$B$95</f>
        <v>Rendah</v>
      </c>
      <c r="J303" s="9" t="str">
        <f>'B.kriteria &amp; R.kecocokan'!$B$81</f>
        <v>Tinggi</v>
      </c>
      <c r="K303" s="9" t="str">
        <f>'B.kriteria &amp; R.kecocokan'!$B$90</f>
        <v>Sangat Sedikit</v>
      </c>
      <c r="L303" s="191" t="str">
        <f>'B.kriteria &amp; R.kecocokan'!$B$49</f>
        <v>Rendah</v>
      </c>
      <c r="M303" s="191" t="str">
        <f>'B.kriteria &amp; R.kecocokan'!$B$57</f>
        <v>Rendah</v>
      </c>
      <c r="N303" s="51" t="str">
        <f>'B.kriteria &amp; R.kecocokan'!$B$65</f>
        <v>Rendah</v>
      </c>
      <c r="O303" s="52" t="s">
        <v>349</v>
      </c>
    </row>
    <row r="304" spans="1:22" hidden="1" x14ac:dyDescent="0.35">
      <c r="A304" s="147">
        <v>87</v>
      </c>
      <c r="B304" s="2">
        <f>Penghasilan!B234</f>
        <v>0</v>
      </c>
      <c r="C304" s="2" t="s">
        <v>163</v>
      </c>
      <c r="D304" s="11" t="s">
        <v>248</v>
      </c>
      <c r="E304" s="28" t="str">
        <f>'B.kriteria &amp; R.kecocokan'!$B$25</f>
        <v>Sedikit</v>
      </c>
      <c r="F304" s="9" t="str">
        <f>'B.kriteria &amp; R.kecocokan'!$B$35</f>
        <v>Sangat Tinggi</v>
      </c>
      <c r="G304" s="9" t="str">
        <f>'B.kriteria &amp; R.kecocokan'!$B$43</f>
        <v>Tinggi</v>
      </c>
      <c r="H304" s="191" t="str">
        <f>'B.kriteria &amp; R.kecocokan'!$B$72</f>
        <v>Rendah</v>
      </c>
      <c r="I304" s="191" t="str">
        <f>'B.kriteria &amp; R.kecocokan'!$B$95</f>
        <v>Rendah</v>
      </c>
      <c r="J304" s="191" t="str">
        <f>'B.kriteria &amp; R.kecocokan'!$B$80</f>
        <v>Rendah</v>
      </c>
      <c r="K304" s="191" t="str">
        <f>'B.kriteria &amp; R.kecocokan'!$B$89</f>
        <v>Sedikit</v>
      </c>
      <c r="L304" s="191" t="str">
        <f>'B.kriteria &amp; R.kecocokan'!$B$49</f>
        <v>Rendah</v>
      </c>
      <c r="M304" s="191" t="str">
        <f>'B.kriteria &amp; R.kecocokan'!$B$57</f>
        <v>Rendah</v>
      </c>
      <c r="N304" s="51" t="str">
        <f>'B.kriteria &amp; R.kecocokan'!$B$65</f>
        <v>Rendah</v>
      </c>
      <c r="O304" s="52" t="s">
        <v>347</v>
      </c>
    </row>
    <row r="305" spans="1:23" hidden="1" x14ac:dyDescent="0.35">
      <c r="A305" s="147">
        <v>88</v>
      </c>
      <c r="B305" s="30">
        <f>Penghasilan!B222</f>
        <v>0</v>
      </c>
      <c r="C305" s="30" t="s">
        <v>24</v>
      </c>
      <c r="D305" s="11" t="s">
        <v>248</v>
      </c>
      <c r="E305" s="28" t="str">
        <f>'B.kriteria &amp; R.kecocokan'!$B$25</f>
        <v>Sedikit</v>
      </c>
      <c r="F305" s="9" t="str">
        <f>'B.kriteria &amp; R.kecocokan'!$B$35</f>
        <v>Sangat Tinggi</v>
      </c>
      <c r="G305" s="191" t="str">
        <f>'B.kriteria &amp; R.kecocokan'!$B$41</f>
        <v>Rendah</v>
      </c>
      <c r="H305" s="191" t="str">
        <f>'B.kriteria &amp; R.kecocokan'!$B$72</f>
        <v>Rendah</v>
      </c>
      <c r="I305" s="191" t="str">
        <f>'B.kriteria &amp; R.kecocokan'!$B$95</f>
        <v>Rendah</v>
      </c>
      <c r="J305" s="9" t="str">
        <f>'B.kriteria &amp; R.kecocokan'!$B$81</f>
        <v>Tinggi</v>
      </c>
      <c r="K305" s="9" t="str">
        <f>'B.kriteria &amp; R.kecocokan'!$B$90</f>
        <v>Sangat Sedikit</v>
      </c>
      <c r="L305" s="9" t="str">
        <f>'B.kriteria &amp; R.kecocokan'!$B$51</f>
        <v>Tinggi</v>
      </c>
      <c r="M305" s="9" t="str">
        <f>'B.kriteria &amp; R.kecocokan'!$B$59</f>
        <v>Tinggi</v>
      </c>
      <c r="N305" s="51" t="str">
        <f>'B.kriteria &amp; R.kecocokan'!$B$65</f>
        <v>Rendah</v>
      </c>
      <c r="O305" s="52" t="s">
        <v>349</v>
      </c>
    </row>
    <row r="306" spans="1:23" hidden="1" x14ac:dyDescent="0.35">
      <c r="A306" s="57">
        <v>89</v>
      </c>
      <c r="B306" s="2">
        <f>Penghasilan!B220</f>
        <v>0</v>
      </c>
      <c r="C306" s="2" t="s">
        <v>128</v>
      </c>
      <c r="D306" s="11" t="s">
        <v>95</v>
      </c>
      <c r="E306" s="32" t="str">
        <f>'B.kriteria &amp; R.kecocokan'!$B$24</f>
        <v>Cukup</v>
      </c>
      <c r="F306" s="9" t="str">
        <f>'B.kriteria &amp; R.kecocokan'!$B$34</f>
        <v>Tinggi</v>
      </c>
      <c r="G306" s="191" t="str">
        <f>'B.kriteria &amp; R.kecocokan'!$B$41</f>
        <v>Rendah</v>
      </c>
      <c r="H306" s="191" t="str">
        <f>'B.kriteria &amp; R.kecocokan'!$B$72</f>
        <v>Rendah</v>
      </c>
      <c r="I306" s="191" t="str">
        <f>'B.kriteria &amp; R.kecocokan'!$B$95</f>
        <v>Rendah</v>
      </c>
      <c r="J306" s="9" t="str">
        <f>'B.kriteria &amp; R.kecocokan'!$B$81</f>
        <v>Tinggi</v>
      </c>
      <c r="K306" s="9" t="str">
        <f>'B.kriteria &amp; R.kecocokan'!$B$90</f>
        <v>Sangat Sedikit</v>
      </c>
      <c r="L306" s="191" t="str">
        <f>'B.kriteria &amp; R.kecocokan'!$B$49</f>
        <v>Rendah</v>
      </c>
      <c r="M306" s="191" t="str">
        <f>'B.kriteria &amp; R.kecocokan'!$B$57</f>
        <v>Rendah</v>
      </c>
      <c r="N306" s="51" t="str">
        <f>'B.kriteria &amp; R.kecocokan'!$B$65</f>
        <v>Rendah</v>
      </c>
      <c r="O306" s="52" t="s">
        <v>347</v>
      </c>
    </row>
    <row r="307" spans="1:23" hidden="1" x14ac:dyDescent="0.35">
      <c r="A307" s="147">
        <v>90</v>
      </c>
      <c r="B307" s="30">
        <f>Penghasilan!B223</f>
        <v>0</v>
      </c>
      <c r="C307" s="30" t="s">
        <v>136</v>
      </c>
      <c r="D307" s="11" t="s">
        <v>95</v>
      </c>
      <c r="E307" s="28" t="str">
        <f>'B.kriteria &amp; R.kecocokan'!$B$25</f>
        <v>Sedikit</v>
      </c>
      <c r="F307" s="9" t="str">
        <f>'B.kriteria &amp; R.kecocokan'!$B$35</f>
        <v>Sangat Tinggi</v>
      </c>
      <c r="G307" s="191" t="str">
        <f>'B.kriteria &amp; R.kecocokan'!$B$41</f>
        <v>Rendah</v>
      </c>
      <c r="H307" s="191" t="str">
        <f>'B.kriteria &amp; R.kecocokan'!$B$72</f>
        <v>Rendah</v>
      </c>
      <c r="I307" s="191" t="str">
        <f>'B.kriteria &amp; R.kecocokan'!$B$95</f>
        <v>Rendah</v>
      </c>
      <c r="J307" s="9" t="str">
        <f>'B.kriteria &amp; R.kecocokan'!$B$81</f>
        <v>Tinggi</v>
      </c>
      <c r="K307" s="9" t="str">
        <f>'B.kriteria &amp; R.kecocokan'!$B$90</f>
        <v>Sangat Sedikit</v>
      </c>
      <c r="L307" s="9" t="str">
        <f>'B.kriteria &amp; R.kecocokan'!$B$51</f>
        <v>Tinggi</v>
      </c>
      <c r="M307" s="9" t="str">
        <f>'B.kriteria &amp; R.kecocokan'!$B$59</f>
        <v>Tinggi</v>
      </c>
      <c r="N307" s="51" t="str">
        <f>'B.kriteria &amp; R.kecocokan'!$B$65</f>
        <v>Rendah</v>
      </c>
      <c r="O307" s="52" t="s">
        <v>349</v>
      </c>
    </row>
    <row r="308" spans="1:23" hidden="1" x14ac:dyDescent="0.35">
      <c r="A308" s="147">
        <v>91</v>
      </c>
      <c r="B308" s="2">
        <f>Penghasilan!B224</f>
        <v>0</v>
      </c>
      <c r="C308" s="2" t="s">
        <v>140</v>
      </c>
      <c r="D308" s="11" t="s">
        <v>95</v>
      </c>
      <c r="E308" s="28" t="str">
        <f>'B.kriteria &amp; R.kecocokan'!$B$25</f>
        <v>Sedikit</v>
      </c>
      <c r="F308" s="9" t="str">
        <f>'B.kriteria &amp; R.kecocokan'!$B$34</f>
        <v>Tinggi</v>
      </c>
      <c r="G308" s="191" t="str">
        <f>'B.kriteria &amp; R.kecocokan'!$B$41</f>
        <v>Rendah</v>
      </c>
      <c r="H308" s="191" t="str">
        <f>'B.kriteria &amp; R.kecocokan'!$B$72</f>
        <v>Rendah</v>
      </c>
      <c r="I308" s="191" t="str">
        <f>'B.kriteria &amp; R.kecocokan'!$B$95</f>
        <v>Rendah</v>
      </c>
      <c r="J308" s="9" t="str">
        <f>'B.kriteria &amp; R.kecocokan'!$B$81</f>
        <v>Tinggi</v>
      </c>
      <c r="K308" s="9" t="str">
        <f>'B.kriteria &amp; R.kecocokan'!$B$90</f>
        <v>Sangat Sedikit</v>
      </c>
      <c r="L308" s="191" t="str">
        <f>'B.kriteria &amp; R.kecocokan'!$B$49</f>
        <v>Rendah</v>
      </c>
      <c r="M308" s="9" t="str">
        <f>'B.kriteria &amp; R.kecocokan'!$B$58</f>
        <v>Sedang</v>
      </c>
      <c r="N308" s="51" t="str">
        <f>'B.kriteria &amp; R.kecocokan'!$B$65</f>
        <v>Rendah</v>
      </c>
      <c r="O308" s="52" t="s">
        <v>349</v>
      </c>
    </row>
    <row r="309" spans="1:23" hidden="1" x14ac:dyDescent="0.35">
      <c r="A309" s="57">
        <v>92</v>
      </c>
      <c r="B309" s="2">
        <f>Penghasilan!B225</f>
        <v>0</v>
      </c>
      <c r="C309" s="2" t="s">
        <v>251</v>
      </c>
      <c r="D309" s="11" t="s">
        <v>95</v>
      </c>
      <c r="E309" s="28" t="str">
        <f>'B.kriteria &amp; R.kecocokan'!$B$25</f>
        <v>Sedikit</v>
      </c>
      <c r="F309" s="9" t="str">
        <f>'B.kriteria &amp; R.kecocokan'!$B$34</f>
        <v>Tinggi</v>
      </c>
      <c r="G309" s="191" t="str">
        <f>'B.kriteria &amp; R.kecocokan'!$B$41</f>
        <v>Rendah</v>
      </c>
      <c r="H309" s="191" t="str">
        <f>'B.kriteria &amp; R.kecocokan'!$B$72</f>
        <v>Rendah</v>
      </c>
      <c r="I309" s="191" t="str">
        <f>'B.kriteria &amp; R.kecocokan'!$B$95</f>
        <v>Rendah</v>
      </c>
      <c r="J309" s="191" t="str">
        <f>'B.kriteria &amp; R.kecocokan'!$B$80</f>
        <v>Rendah</v>
      </c>
      <c r="K309" s="9" t="str">
        <f>'B.kriteria &amp; R.kecocokan'!$B$88</f>
        <v>Sedang</v>
      </c>
      <c r="L309" s="191" t="str">
        <f>'B.kriteria &amp; R.kecocokan'!$B$49</f>
        <v>Rendah</v>
      </c>
      <c r="M309" s="9" t="str">
        <f>'B.kriteria &amp; R.kecocokan'!$B$58</f>
        <v>Sedang</v>
      </c>
      <c r="N309" s="51" t="str">
        <f>'B.kriteria &amp; R.kecocokan'!$B$65</f>
        <v>Rendah</v>
      </c>
      <c r="O309" s="52" t="s">
        <v>349</v>
      </c>
    </row>
    <row r="310" spans="1:23" hidden="1" x14ac:dyDescent="0.35">
      <c r="A310" s="202">
        <v>93</v>
      </c>
      <c r="B310" s="38">
        <f>Penghasilan!B238</f>
        <v>0</v>
      </c>
      <c r="C310" s="38" t="s">
        <v>252</v>
      </c>
      <c r="D310" s="203" t="s">
        <v>95</v>
      </c>
      <c r="E310" s="190" t="str">
        <f>'B.kriteria &amp; R.kecocokan'!$B$23</f>
        <v>Banyak</v>
      </c>
      <c r="F310" s="190" t="str">
        <f>'B.kriteria &amp; R.kecocokan'!$B$34</f>
        <v>Tinggi</v>
      </c>
      <c r="G310" s="204" t="str">
        <f>'B.kriteria &amp; R.kecocokan'!$B$41</f>
        <v>Rendah</v>
      </c>
      <c r="H310" s="204" t="str">
        <f>'B.kriteria &amp; R.kecocokan'!$B$72</f>
        <v>Rendah</v>
      </c>
      <c r="I310" s="204" t="str">
        <f>'B.kriteria &amp; R.kecocokan'!$B$95</f>
        <v>Rendah</v>
      </c>
      <c r="J310" s="204" t="str">
        <f>'B.kriteria &amp; R.kecocokan'!$B$80</f>
        <v>Rendah</v>
      </c>
      <c r="K310" s="190" t="str">
        <f>'B.kriteria &amp; R.kecocokan'!$B$88</f>
        <v>Sedang</v>
      </c>
      <c r="L310" s="204" t="str">
        <f>'B.kriteria &amp; R.kecocokan'!$B$49</f>
        <v>Rendah</v>
      </c>
      <c r="M310" s="204" t="str">
        <f>'B.kriteria &amp; R.kecocokan'!$B$57</f>
        <v>Rendah</v>
      </c>
      <c r="N310" s="205" t="str">
        <f>'B.kriteria &amp; R.kecocokan'!$B$65</f>
        <v>Rendah</v>
      </c>
      <c r="O310" s="154" t="s">
        <v>347</v>
      </c>
    </row>
    <row r="312" spans="1:23" x14ac:dyDescent="0.35">
      <c r="Q312" t="s">
        <v>5</v>
      </c>
      <c r="W312">
        <f>$V$231-((S313/$S$231*V313)+(S314/$S$231*V314))</f>
        <v>1.9973094021973115E-2</v>
      </c>
    </row>
    <row r="313" spans="1:23" x14ac:dyDescent="0.35">
      <c r="R313" t="s">
        <v>323</v>
      </c>
      <c r="S313">
        <v>3</v>
      </c>
      <c r="T313">
        <v>1</v>
      </c>
      <c r="U313">
        <v>2</v>
      </c>
      <c r="V313">
        <f t="shared" ref="V313:V314" si="27">((-T313/S313)*IMLOG2(T313/S313))+((-U313/S313)*IMLOG2(U313/S313))</f>
        <v>0.91829583405449056</v>
      </c>
    </row>
    <row r="314" spans="1:23" x14ac:dyDescent="0.35">
      <c r="R314" t="s">
        <v>325</v>
      </c>
      <c r="S314">
        <v>2</v>
      </c>
      <c r="T314">
        <v>1</v>
      </c>
      <c r="U314">
        <v>1</v>
      </c>
      <c r="V314">
        <f t="shared" si="27"/>
        <v>1</v>
      </c>
    </row>
    <row r="316" spans="1:23" x14ac:dyDescent="0.35">
      <c r="Q316" t="s">
        <v>436</v>
      </c>
      <c r="W316" s="206">
        <f>$V$231-((S317/$S$231*V317)+(S318/$S$231*V318))</f>
        <v>0</v>
      </c>
    </row>
    <row r="317" spans="1:23" x14ac:dyDescent="0.35">
      <c r="R317" t="s">
        <v>327</v>
      </c>
      <c r="S317">
        <v>5</v>
      </c>
      <c r="T317">
        <v>2</v>
      </c>
      <c r="U317">
        <v>3</v>
      </c>
      <c r="V317">
        <f t="shared" ref="V317" si="28">((-T317/S317)*IMLOG2(T317/S317))+((-U317/S317)*IMLOG2(U317/S317))</f>
        <v>0.97095059445466747</v>
      </c>
    </row>
    <row r="318" spans="1:23" x14ac:dyDescent="0.35">
      <c r="R318" t="s">
        <v>323</v>
      </c>
      <c r="S318">
        <v>0</v>
      </c>
      <c r="T318">
        <v>0</v>
      </c>
      <c r="U318">
        <v>0</v>
      </c>
      <c r="V318">
        <v>0</v>
      </c>
    </row>
    <row r="320" spans="1:23" x14ac:dyDescent="0.35">
      <c r="Q320" t="s">
        <v>21</v>
      </c>
      <c r="W320" s="206">
        <f>$V$231-((S321/$S$231*V321)+(S322/$S$231*V322))</f>
        <v>0</v>
      </c>
    </row>
    <row r="321" spans="17:23" x14ac:dyDescent="0.35">
      <c r="R321" t="s">
        <v>319</v>
      </c>
      <c r="S321">
        <v>5</v>
      </c>
      <c r="T321">
        <v>2</v>
      </c>
      <c r="U321">
        <v>3</v>
      </c>
      <c r="V321">
        <f t="shared" ref="V321" si="29">((-T321/S321)*IMLOG2(T321/S321))+((-U321/S321)*IMLOG2(U321/S321))</f>
        <v>0.97095059445466747</v>
      </c>
    </row>
    <row r="322" spans="17:23" x14ac:dyDescent="0.35">
      <c r="R322" t="s">
        <v>362</v>
      </c>
      <c r="S322">
        <v>0</v>
      </c>
      <c r="T322">
        <v>0</v>
      </c>
      <c r="U322">
        <v>0</v>
      </c>
      <c r="V322">
        <v>0</v>
      </c>
    </row>
    <row r="324" spans="17:23" x14ac:dyDescent="0.35">
      <c r="Q324" t="s">
        <v>372</v>
      </c>
      <c r="W324" s="206">
        <f>$V$231-((S325/$S$231*V325)+(S326/$S$231*V326))</f>
        <v>0</v>
      </c>
    </row>
    <row r="325" spans="17:23" x14ac:dyDescent="0.35">
      <c r="R325" t="s">
        <v>319</v>
      </c>
      <c r="S325">
        <v>5</v>
      </c>
      <c r="T325">
        <v>2</v>
      </c>
      <c r="U325">
        <v>3</v>
      </c>
      <c r="V325">
        <f t="shared" ref="V325" si="30">((-T325/S325)*IMLOG2(T325/S325))+((-U325/S325)*IMLOG2(U325/S325))</f>
        <v>0.97095059445466747</v>
      </c>
    </row>
    <row r="326" spans="17:23" x14ac:dyDescent="0.35">
      <c r="R326" t="s">
        <v>362</v>
      </c>
      <c r="S326">
        <v>0</v>
      </c>
      <c r="T326">
        <v>0</v>
      </c>
      <c r="U326">
        <v>0</v>
      </c>
      <c r="V326">
        <v>0</v>
      </c>
    </row>
    <row r="328" spans="17:23" x14ac:dyDescent="0.35">
      <c r="Q328" t="s">
        <v>8</v>
      </c>
      <c r="W328" s="208">
        <f>$V$231-((S329/$S$231*V329)+(S330/$S$231*V330))</f>
        <v>0</v>
      </c>
    </row>
    <row r="329" spans="17:23" x14ac:dyDescent="0.35">
      <c r="R329" t="s">
        <v>365</v>
      </c>
      <c r="S329">
        <v>5</v>
      </c>
      <c r="T329">
        <v>2</v>
      </c>
      <c r="U329">
        <v>3</v>
      </c>
      <c r="V329">
        <f t="shared" ref="V329" si="31">((-T329/S329)*IMLOG2(T329/S329))+((-U329/S329)*IMLOG2(U329/S329))</f>
        <v>0.97095059445466747</v>
      </c>
    </row>
    <row r="330" spans="17:23" x14ac:dyDescent="0.35">
      <c r="R330" t="s">
        <v>362</v>
      </c>
      <c r="S330">
        <v>0</v>
      </c>
      <c r="T330">
        <v>0</v>
      </c>
      <c r="U330">
        <v>0</v>
      </c>
      <c r="V330">
        <v>0</v>
      </c>
    </row>
    <row r="332" spans="17:23" x14ac:dyDescent="0.35">
      <c r="Q332" t="s">
        <v>9</v>
      </c>
      <c r="W332" s="208">
        <f>$V$231-((S333/$S$231*V333)+(S334/$S$231*V334)+(S335/$S$231*V335))</f>
        <v>0</v>
      </c>
    </row>
    <row r="333" spans="17:23" x14ac:dyDescent="0.35">
      <c r="R333" t="s">
        <v>319</v>
      </c>
      <c r="S333">
        <v>5</v>
      </c>
      <c r="T333">
        <v>2</v>
      </c>
      <c r="U333">
        <v>3</v>
      </c>
      <c r="V333">
        <f t="shared" ref="V333" si="32">((-T333/S333)*IMLOG2(T333/S333))+((-U333/S333)*IMLOG2(U333/S333))</f>
        <v>0.97095059445466747</v>
      </c>
    </row>
    <row r="334" spans="17:23" x14ac:dyDescent="0.35">
      <c r="R334" t="s">
        <v>366</v>
      </c>
      <c r="S334">
        <v>0</v>
      </c>
      <c r="T334">
        <v>0</v>
      </c>
      <c r="U334">
        <v>0</v>
      </c>
      <c r="V334">
        <v>0</v>
      </c>
    </row>
    <row r="335" spans="17:23" x14ac:dyDescent="0.35">
      <c r="R335" t="s">
        <v>362</v>
      </c>
      <c r="S335">
        <v>0</v>
      </c>
      <c r="T335">
        <v>0</v>
      </c>
      <c r="U335">
        <v>0</v>
      </c>
      <c r="V335">
        <v>0</v>
      </c>
    </row>
    <row r="337" spans="17:23" x14ac:dyDescent="0.35">
      <c r="Q337" t="s">
        <v>11</v>
      </c>
      <c r="W337" s="206">
        <f>$V$231-((S338/$S$231*V338)+(S339/$S$231*V339))</f>
        <v>0</v>
      </c>
    </row>
    <row r="338" spans="17:23" x14ac:dyDescent="0.35">
      <c r="R338" t="s">
        <v>365</v>
      </c>
      <c r="S338">
        <v>5</v>
      </c>
      <c r="T338">
        <v>2</v>
      </c>
      <c r="U338">
        <v>3</v>
      </c>
      <c r="V338">
        <f t="shared" ref="V338" si="33">((-T338/S338)*IMLOG2(T338/S338))+((-U338/S338)*IMLOG2(U338/S338))</f>
        <v>0.97095059445466747</v>
      </c>
    </row>
    <row r="339" spans="17:23" x14ac:dyDescent="0.35">
      <c r="R339" t="s">
        <v>366</v>
      </c>
      <c r="S339">
        <v>0</v>
      </c>
      <c r="T339">
        <v>0</v>
      </c>
      <c r="U339">
        <v>0</v>
      </c>
      <c r="V339">
        <v>0</v>
      </c>
    </row>
  </sheetData>
  <mergeCells count="5">
    <mergeCell ref="Q231:R231"/>
    <mergeCell ref="AC32:AD32"/>
    <mergeCell ref="AA32:AB33"/>
    <mergeCell ref="AA34:AB34"/>
    <mergeCell ref="AA35:AB35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4165-A27E-4A0C-A884-482343C537F4}">
  <dimension ref="A1:AR48"/>
  <sheetViews>
    <sheetView topLeftCell="AD1" zoomScale="74" zoomScaleNormal="74" workbookViewId="0">
      <selection activeCell="AR7" sqref="AR7"/>
    </sheetView>
  </sheetViews>
  <sheetFormatPr defaultRowHeight="14.5" x14ac:dyDescent="0.35"/>
  <cols>
    <col min="1" max="1" width="4.1796875" bestFit="1" customWidth="1"/>
    <col min="2" max="2" width="14.453125" customWidth="1"/>
    <col min="3" max="3" width="8.1796875" customWidth="1"/>
    <col min="4" max="4" width="5.36328125" hidden="1" customWidth="1"/>
    <col min="5" max="5" width="11.26953125" bestFit="1" customWidth="1"/>
    <col min="6" max="6" width="3.08984375" hidden="1" customWidth="1"/>
    <col min="7" max="7" width="8.7265625" customWidth="1"/>
    <col min="8" max="8" width="6" hidden="1" customWidth="1"/>
    <col min="9" max="9" width="12.90625" customWidth="1"/>
    <col min="10" max="10" width="3.36328125" hidden="1" customWidth="1"/>
    <col min="11" max="11" width="12.6328125" customWidth="1"/>
    <col min="12" max="12" width="10.36328125" hidden="1" customWidth="1"/>
    <col min="13" max="13" width="11.54296875" customWidth="1"/>
    <col min="14" max="14" width="3.6328125" hidden="1" customWidth="1"/>
    <col min="15" max="15" width="5.6328125" bestFit="1" customWidth="1"/>
    <col min="16" max="16" width="6.1796875" hidden="1" customWidth="1"/>
    <col min="17" max="17" width="11.6328125" customWidth="1"/>
    <col min="18" max="18" width="9.54296875" hidden="1" customWidth="1"/>
    <col min="20" max="20" width="5.08984375" hidden="1" customWidth="1"/>
    <col min="22" max="22" width="6.08984375" hidden="1" customWidth="1"/>
    <col min="25" max="25" width="10.7265625" customWidth="1"/>
    <col min="26" max="26" width="10.1796875" customWidth="1"/>
    <col min="27" max="28" width="10.36328125" bestFit="1" customWidth="1"/>
    <col min="30" max="30" width="8.7265625" customWidth="1"/>
    <col min="31" max="31" width="20.7265625" customWidth="1"/>
    <col min="33" max="33" width="11.26953125" bestFit="1" customWidth="1"/>
    <col min="34" max="34" width="11.6328125" bestFit="1" customWidth="1"/>
    <col min="35" max="35" width="12.453125" customWidth="1"/>
    <col min="38" max="38" width="8.7265625" customWidth="1"/>
    <col min="39" max="39" width="12.26953125" bestFit="1" customWidth="1"/>
    <col min="43" max="43" width="9.6328125" customWidth="1"/>
    <col min="44" max="44" width="10.08984375" customWidth="1"/>
    <col min="46" max="46" width="10.1796875" customWidth="1"/>
    <col min="48" max="48" width="10.54296875" customWidth="1"/>
  </cols>
  <sheetData>
    <row r="1" spans="1:44" x14ac:dyDescent="0.35">
      <c r="A1" s="221" t="s">
        <v>428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D1" s="221" t="s">
        <v>427</v>
      </c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</row>
    <row r="2" spans="1:44" x14ac:dyDescent="0.35">
      <c r="A2" s="177" t="s">
        <v>424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44" x14ac:dyDescent="0.35">
      <c r="A3" s="178" t="s">
        <v>404</v>
      </c>
      <c r="B3" s="179"/>
      <c r="C3" s="179"/>
      <c r="D3" s="179"/>
      <c r="E3" s="180">
        <f>E10</f>
        <v>7.5</v>
      </c>
      <c r="F3" s="180" t="str">
        <f t="shared" ref="F3:W3" si="0">F10</f>
        <v>Tinggi</v>
      </c>
      <c r="G3" s="180">
        <f t="shared" si="0"/>
        <v>7.5</v>
      </c>
      <c r="H3" s="180" t="str">
        <f t="shared" si="0"/>
        <v>Rendah</v>
      </c>
      <c r="I3" s="180">
        <f t="shared" si="0"/>
        <v>2.5</v>
      </c>
      <c r="J3" s="180" t="str">
        <f t="shared" si="0"/>
        <v>Rendah</v>
      </c>
      <c r="K3" s="180">
        <f t="shared" si="0"/>
        <v>2.5</v>
      </c>
      <c r="L3" s="180" t="str">
        <f t="shared" si="0"/>
        <v>Rendah</v>
      </c>
      <c r="M3" s="180">
        <f t="shared" si="0"/>
        <v>2.5</v>
      </c>
      <c r="N3" s="180" t="str">
        <f t="shared" si="0"/>
        <v>Tinggi</v>
      </c>
      <c r="O3" s="180">
        <f t="shared" si="0"/>
        <v>7.5</v>
      </c>
      <c r="P3" s="180" t="str">
        <f t="shared" si="0"/>
        <v>Sangat Sedikit</v>
      </c>
      <c r="Q3" s="180">
        <f t="shared" si="0"/>
        <v>1</v>
      </c>
      <c r="R3" s="180" t="str">
        <f t="shared" si="0"/>
        <v>Rendah</v>
      </c>
      <c r="S3" s="180">
        <f t="shared" si="0"/>
        <v>2.5</v>
      </c>
      <c r="T3" s="180" t="str">
        <f t="shared" si="0"/>
        <v>Sedang</v>
      </c>
      <c r="U3" s="180">
        <f t="shared" si="0"/>
        <v>5</v>
      </c>
      <c r="V3" s="180" t="str">
        <f t="shared" si="0"/>
        <v>Rendah</v>
      </c>
      <c r="W3" s="180">
        <f t="shared" si="0"/>
        <v>1</v>
      </c>
      <c r="X3" s="151"/>
      <c r="Y3" s="151"/>
      <c r="Z3" s="151"/>
      <c r="AA3" s="151"/>
    </row>
    <row r="4" spans="1:44" x14ac:dyDescent="0.35">
      <c r="A4" s="178" t="s">
        <v>405</v>
      </c>
      <c r="B4" s="179"/>
      <c r="C4" s="179"/>
      <c r="D4" s="179"/>
      <c r="E4" s="180">
        <f>E13</f>
        <v>2.5</v>
      </c>
      <c r="F4" s="180" t="str">
        <f t="shared" ref="F4:W4" si="1">F13</f>
        <v>Tinggi</v>
      </c>
      <c r="G4" s="180">
        <f t="shared" si="1"/>
        <v>7.5</v>
      </c>
      <c r="H4" s="180" t="str">
        <f t="shared" si="1"/>
        <v>Rendah</v>
      </c>
      <c r="I4" s="180">
        <f t="shared" si="1"/>
        <v>2.5</v>
      </c>
      <c r="J4" s="180" t="str">
        <f t="shared" si="1"/>
        <v>Rendah</v>
      </c>
      <c r="K4" s="180">
        <f t="shared" si="1"/>
        <v>2.5</v>
      </c>
      <c r="L4" s="180" t="str">
        <f t="shared" si="1"/>
        <v>Rendah</v>
      </c>
      <c r="M4" s="180">
        <f t="shared" si="1"/>
        <v>2.5</v>
      </c>
      <c r="N4" s="180" t="str">
        <f t="shared" si="1"/>
        <v>Rendah</v>
      </c>
      <c r="O4" s="180">
        <f t="shared" si="1"/>
        <v>2.5</v>
      </c>
      <c r="P4" s="180" t="str">
        <f t="shared" si="1"/>
        <v>Sedang</v>
      </c>
      <c r="Q4" s="180">
        <f t="shared" si="1"/>
        <v>5</v>
      </c>
      <c r="R4" s="180" t="str">
        <f t="shared" si="1"/>
        <v>Rendah</v>
      </c>
      <c r="S4" s="180">
        <f t="shared" si="1"/>
        <v>2.5</v>
      </c>
      <c r="T4" s="180" t="str">
        <f t="shared" si="1"/>
        <v>Rendah</v>
      </c>
      <c r="U4" s="180">
        <f t="shared" si="1"/>
        <v>2.5</v>
      </c>
      <c r="V4" s="180" t="str">
        <f t="shared" si="1"/>
        <v>Rendah</v>
      </c>
      <c r="W4" s="180">
        <f t="shared" si="1"/>
        <v>1</v>
      </c>
      <c r="X4" s="151"/>
      <c r="Y4" s="151"/>
      <c r="Z4" s="151"/>
      <c r="AA4" s="151"/>
    </row>
    <row r="5" spans="1:44" x14ac:dyDescent="0.3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</row>
    <row r="6" spans="1:44" ht="59" customHeight="1" x14ac:dyDescent="0.35">
      <c r="A6" s="172" t="s">
        <v>0</v>
      </c>
      <c r="B6" s="150" t="s">
        <v>2</v>
      </c>
      <c r="C6" s="172" t="s">
        <v>3</v>
      </c>
      <c r="D6" s="172" t="s">
        <v>4</v>
      </c>
      <c r="E6" s="176" t="str">
        <f>$D$6</f>
        <v xml:space="preserve">Penghasilan </v>
      </c>
      <c r="F6" s="150" t="s">
        <v>5</v>
      </c>
      <c r="G6" s="150" t="str">
        <f>$F$6</f>
        <v>Luas Rumah</v>
      </c>
      <c r="H6" s="150" t="s">
        <v>6</v>
      </c>
      <c r="I6" s="150" t="str">
        <f>$H$6</f>
        <v xml:space="preserve">Status Kepemilikan Rumah </v>
      </c>
      <c r="J6" s="150" t="s">
        <v>21</v>
      </c>
      <c r="K6" s="150" t="str">
        <f>$J$6</f>
        <v>Sumber Air</v>
      </c>
      <c r="L6" s="150" t="s">
        <v>7</v>
      </c>
      <c r="M6" s="150" t="str">
        <f>$L$6</f>
        <v>ibu Hamil / menyusui</v>
      </c>
      <c r="N6" s="150" t="s">
        <v>8</v>
      </c>
      <c r="O6" s="150" t="str">
        <f>$N$6</f>
        <v>lansia</v>
      </c>
      <c r="P6" s="150" t="s">
        <v>25</v>
      </c>
      <c r="Q6" s="150" t="str">
        <f>$P$6</f>
        <v>jumlah tanggungan (Anak)</v>
      </c>
      <c r="R6" s="150" t="s">
        <v>9</v>
      </c>
      <c r="S6" s="150" t="str">
        <f>$R$6</f>
        <v>jenis dinding</v>
      </c>
      <c r="T6" s="150" t="s">
        <v>10</v>
      </c>
      <c r="U6" s="150" t="str">
        <f>$T$6</f>
        <v xml:space="preserve">jenis lantai </v>
      </c>
      <c r="V6" s="150" t="s">
        <v>11</v>
      </c>
      <c r="W6" s="150" t="str">
        <f>$V$6</f>
        <v>jenis atap</v>
      </c>
      <c r="X6" s="150" t="s">
        <v>400</v>
      </c>
      <c r="Y6" s="150" t="s">
        <v>401</v>
      </c>
      <c r="Z6" s="150" t="s">
        <v>402</v>
      </c>
      <c r="AA6" s="150" t="s">
        <v>403</v>
      </c>
      <c r="AD6" s="172" t="s">
        <v>0</v>
      </c>
      <c r="AE6" s="150" t="s">
        <v>2</v>
      </c>
      <c r="AF6" s="172" t="s">
        <v>3</v>
      </c>
      <c r="AG6" s="172" t="s">
        <v>4</v>
      </c>
      <c r="AH6" s="150" t="s">
        <v>5</v>
      </c>
      <c r="AI6" s="150" t="s">
        <v>6</v>
      </c>
      <c r="AJ6" s="150" t="s">
        <v>21</v>
      </c>
      <c r="AK6" s="150" t="s">
        <v>7</v>
      </c>
      <c r="AL6" s="150" t="s">
        <v>8</v>
      </c>
      <c r="AM6" s="150" t="s">
        <v>25</v>
      </c>
      <c r="AN6" s="150" t="s">
        <v>9</v>
      </c>
      <c r="AO6" s="150" t="s">
        <v>10</v>
      </c>
      <c r="AP6" s="150" t="s">
        <v>11</v>
      </c>
      <c r="AQ6" s="150" t="s">
        <v>346</v>
      </c>
      <c r="AR6" s="150" t="s">
        <v>429</v>
      </c>
    </row>
    <row r="7" spans="1:44" x14ac:dyDescent="0.35">
      <c r="A7" s="2">
        <v>16</v>
      </c>
      <c r="B7" s="2" t="s">
        <v>49</v>
      </c>
      <c r="C7" s="11" t="s">
        <v>13</v>
      </c>
      <c r="D7" s="28" t="str">
        <f>'B.kriteria &amp; R.kecocokan'!$B$24</f>
        <v>Cukup</v>
      </c>
      <c r="E7" s="173">
        <f>_xlfn.IFS(D7="Banyak",'B.kriteria &amp; R.kecocokan'!$C$23,D7="Cukup",'B.kriteria &amp; R.kecocokan'!$C$24,D7="Sedikit",'B.kriteria &amp; R.kecocokan'!$C$25)</f>
        <v>5</v>
      </c>
      <c r="F7" s="9" t="str">
        <f>'B.kriteria &amp; R.kecocokan'!$B$34</f>
        <v>Tinggi</v>
      </c>
      <c r="G7" s="9">
        <f>_xlfn.IFS(F7="Tinggi",'B.kriteria &amp; R.kecocokan'!$C$34,F7="Sangat Tinggi",'B.kriteria &amp; R.kecocokan'!$C$35)</f>
        <v>7.5</v>
      </c>
      <c r="H7" s="9" t="str">
        <f>'B.kriteria &amp; R.kecocokan'!$B$41</f>
        <v>Rendah</v>
      </c>
      <c r="I7" s="9">
        <f>_xlfn.IFS(H7="Rendah",'B.kriteria &amp; R.kecocokan'!$C$41,H7="Sedang",'B.kriteria &amp; R.kecocokan'!$C$42,H7="Tinggi",'B.kriteria &amp; R.kecocokan'!$C$43)</f>
        <v>2.5</v>
      </c>
      <c r="J7" s="9" t="str">
        <f>'B.kriteria &amp; R.kecocokan'!$B$72</f>
        <v>Rendah</v>
      </c>
      <c r="K7" s="9">
        <f>_xlfn.IFS(J7="Rendah",'B.kriteria &amp; R.kecocokan'!$C$72,J7="Sedang",'B.kriteria &amp; R.kecocokan'!$C$73,J7="Tinggi",'B.kriteria &amp; R.kecocokan'!$C$74)</f>
        <v>2.5</v>
      </c>
      <c r="L7" s="9" t="str">
        <f>'B.kriteria &amp; R.kecocokan'!$B$95</f>
        <v>Rendah</v>
      </c>
      <c r="M7" s="9">
        <f>_xlfn.IFS(L7="Rendah",'B.kriteria &amp; R.kecocokan'!$C$95,L7="Tinggi",'B.kriteria &amp; R.kecocokan'!$C$96)</f>
        <v>2.5</v>
      </c>
      <c r="N7" s="9" t="str">
        <f>'B.kriteria &amp; R.kecocokan'!$B$81</f>
        <v>Tinggi</v>
      </c>
      <c r="O7" s="9">
        <f>_xlfn.IFS(N7="Rendah",'B.kriteria &amp; R.kecocokan'!$C$80,N7="Tinggi",'B.kriteria &amp; R.kecocokan'!$C$81)</f>
        <v>7.5</v>
      </c>
      <c r="P7" s="9" t="str">
        <f>'B.kriteria &amp; R.kecocokan'!$B$90</f>
        <v>Sangat Sedikit</v>
      </c>
      <c r="Q7" s="9">
        <f>_xlfn.IFS(P7="Sedikit",'B.kriteria &amp; R.kecocokan'!$C$89,P7="Sedang",'B.kriteria &amp; R.kecocokan'!$C$88,P7="Sangat Sedikit",'B.kriteria &amp; R.kecocokan'!$C$90)</f>
        <v>1</v>
      </c>
      <c r="R7" s="9" t="str">
        <f>'B.kriteria &amp; R.kecocokan'!$B$49</f>
        <v>Rendah</v>
      </c>
      <c r="S7" s="9">
        <f>_xlfn.IFS(R7="Rendah",'B.kriteria &amp; R.kecocokan'!$C$49,R7="Sedang",'B.kriteria &amp; R.kecocokan'!$C$50,R7="Tinggi",'B.kriteria &amp; R.kecocokan'!$C$51)</f>
        <v>2.5</v>
      </c>
      <c r="T7" s="9" t="str">
        <f>'B.kriteria &amp; R.kecocokan'!$B$57</f>
        <v>Rendah</v>
      </c>
      <c r="U7" s="9">
        <f>_xlfn.IFS(T7="Rendah",'B.kriteria &amp; R.kecocokan'!$C$57,T7="Sedang",'B.kriteria &amp; R.kecocokan'!$C$58,T7="Tinggi",'B.kriteria &amp; R.kecocokan'!$C$59)</f>
        <v>2.5</v>
      </c>
      <c r="V7" s="9" t="str">
        <f>'B.kriteria &amp; R.kecocokan'!$B$65</f>
        <v>Rendah</v>
      </c>
      <c r="W7" s="9">
        <f>_xlfn.IFS(V7="Rendah",'B.kriteria &amp; R.kecocokan'!$C$65,V7="Sedang",'B.kriteria &amp; R.kecocokan'!$C$66,V7="Tinggi",'B.kriteria &amp; R.kecocokan'!$C$67)</f>
        <v>1</v>
      </c>
      <c r="X7" s="117">
        <f>SQRT(((E7-$E$3)^2)+((G7-$G$3)^2)+((I7-$I$3)^2+((K7-$K$3)^2)+((M7-$M$3)^2)+((O7-$O$3)^2)+((Q7-$Q$3)^2)+((S7-$S$3)^2)+((U7-$U$3)^2)+((W7-$W$3)^2)))</f>
        <v>3.5355339059327378</v>
      </c>
      <c r="Y7" s="117">
        <f>SQRT(((E7-$E$4)^2)+((G7-$G$4)^2)+((I7-$I$4)^2)+((K7-$K$4)^2)+((M7-$M$4)^2+((O7-$O$4)^2)+((Q7-$Q$4)^2)+((S7-$S$4)^2)+((U7-$U$4)^2)+((W7-$W$4^2))))</f>
        <v>6.8738635424337602</v>
      </c>
      <c r="Z7" s="117">
        <f t="shared" ref="Z7:Z16" si="2">MIN(X7:Y7)</f>
        <v>3.5355339059327378</v>
      </c>
      <c r="AA7" s="9" t="str">
        <f t="shared" ref="AA7:AA16" si="3">IF(X7&lt;Y7,"Layak","Tidak Layak")</f>
        <v>Layak</v>
      </c>
      <c r="AD7" s="2">
        <v>84</v>
      </c>
      <c r="AE7" s="2" t="s">
        <v>133</v>
      </c>
      <c r="AF7" s="11" t="s">
        <v>95</v>
      </c>
      <c r="AG7" s="28" t="str">
        <f>'B.kriteria &amp; R.kecocokan'!$B$24</f>
        <v>Cukup</v>
      </c>
      <c r="AH7" s="9" t="str">
        <f>'B.kriteria &amp; R.kecocokan'!$B$34</f>
        <v>Tinggi</v>
      </c>
      <c r="AI7" s="9" t="str">
        <f>'B.kriteria &amp; R.kecocokan'!$B$41</f>
        <v>Rendah</v>
      </c>
      <c r="AJ7" s="9" t="str">
        <f>'B.kriteria &amp; R.kecocokan'!$B$72</f>
        <v>Rendah</v>
      </c>
      <c r="AK7" s="9" t="str">
        <f>'B.kriteria &amp; R.kecocokan'!$B$95</f>
        <v>Rendah</v>
      </c>
      <c r="AL7" s="9" t="str">
        <f>'B.kriteria &amp; R.kecocokan'!$B$80</f>
        <v>Rendah</v>
      </c>
      <c r="AM7" s="9" t="str">
        <f>'B.kriteria &amp; R.kecocokan'!$B$90</f>
        <v>Sangat Sedikit</v>
      </c>
      <c r="AN7" s="9" t="str">
        <f>'B.kriteria &amp; R.kecocokan'!$B$49</f>
        <v>Rendah</v>
      </c>
      <c r="AO7" s="9" t="str">
        <f>'B.kriteria &amp; R.kecocokan'!$B$57</f>
        <v>Rendah</v>
      </c>
      <c r="AP7" s="9" t="str">
        <f>'B.kriteria &amp; R.kecocokan'!$B$65</f>
        <v>Rendah</v>
      </c>
      <c r="AQ7" s="9" t="s">
        <v>358</v>
      </c>
      <c r="AR7" s="2" t="str">
        <f>_xlfn.IFS(AO7="Rendah","Tidak Layak",AO7="Tinggi","Layak",AO7="sedang",IF(OR(AM7="Sedang",AM7="Sangat Sedikit"),"Layak",IF(AH7="Sangat Tinggi","Layak"," Tidak Layak")))</f>
        <v>Tidak Layak</v>
      </c>
    </row>
    <row r="8" spans="1:44" x14ac:dyDescent="0.35">
      <c r="A8" s="2">
        <v>17</v>
      </c>
      <c r="B8" s="2" t="s">
        <v>257</v>
      </c>
      <c r="C8" s="11" t="s">
        <v>13</v>
      </c>
      <c r="D8" s="28" t="str">
        <f>'B.kriteria &amp; R.kecocokan'!$B$24</f>
        <v>Cukup</v>
      </c>
      <c r="E8" s="173">
        <f>_xlfn.IFS(D8="Banyak",'B.kriteria &amp; R.kecocokan'!$C$23,D8="Cukup",'B.kriteria &amp; R.kecocokan'!$C$24,D8="Sedikit",'B.kriteria &amp; R.kecocokan'!$C$25)</f>
        <v>5</v>
      </c>
      <c r="F8" s="9" t="str">
        <f>'B.kriteria &amp; R.kecocokan'!$B$35</f>
        <v>Sangat Tinggi</v>
      </c>
      <c r="G8" s="9">
        <f>_xlfn.IFS(F8="Tinggi",'B.kriteria &amp; R.kecocokan'!$C$34,F8="Sangat Tinggi",'B.kriteria &amp; R.kecocokan'!$C$35)</f>
        <v>10</v>
      </c>
      <c r="H8" s="9" t="str">
        <f>'B.kriteria &amp; R.kecocokan'!$B$41</f>
        <v>Rendah</v>
      </c>
      <c r="I8" s="9">
        <f>_xlfn.IFS(H8="Rendah",'B.kriteria &amp; R.kecocokan'!$C$41,H8="Sedang",'B.kriteria &amp; R.kecocokan'!$C$42,H8="Tinggi",'B.kriteria &amp; R.kecocokan'!$C$43)</f>
        <v>2.5</v>
      </c>
      <c r="J8" s="9" t="str">
        <f>'B.kriteria &amp; R.kecocokan'!$B$72</f>
        <v>Rendah</v>
      </c>
      <c r="K8" s="9">
        <f>_xlfn.IFS(J8="Rendah",'B.kriteria &amp; R.kecocokan'!$C$72,J8="Sedang",'B.kriteria &amp; R.kecocokan'!$C$73,J8="Tinggi",'B.kriteria &amp; R.kecocokan'!$C$74)</f>
        <v>2.5</v>
      </c>
      <c r="L8" s="9" t="str">
        <f>'B.kriteria &amp; R.kecocokan'!$B$95</f>
        <v>Rendah</v>
      </c>
      <c r="M8" s="9">
        <f>_xlfn.IFS(L8="Rendah",'B.kriteria &amp; R.kecocokan'!$C$95,L8="Tinggi",'B.kriteria &amp; R.kecocokan'!$C$96)</f>
        <v>2.5</v>
      </c>
      <c r="N8" s="9" t="str">
        <f>'B.kriteria &amp; R.kecocokan'!$B$80</f>
        <v>Rendah</v>
      </c>
      <c r="O8" s="9">
        <f>_xlfn.IFS(N8="Rendah",'B.kriteria &amp; R.kecocokan'!$C$80,N8="Tinggi",'B.kriteria &amp; R.kecocokan'!$C$81)</f>
        <v>2.5</v>
      </c>
      <c r="P8" s="9" t="str">
        <f>'B.kriteria &amp; R.kecocokan'!$B$88</f>
        <v>Sedang</v>
      </c>
      <c r="Q8" s="9">
        <f>_xlfn.IFS(P8="Sedikit",'B.kriteria &amp; R.kecocokan'!$C$89,P8="Sedang",'B.kriteria &amp; R.kecocokan'!$C$88,P8="Sangat Sedikit",'B.kriteria &amp; R.kecocokan'!$C$90)</f>
        <v>5</v>
      </c>
      <c r="R8" s="9" t="str">
        <f>'B.kriteria &amp; R.kecocokan'!$B$51</f>
        <v>Tinggi</v>
      </c>
      <c r="S8" s="9">
        <f>_xlfn.IFS(R8="Rendah",'B.kriteria &amp; R.kecocokan'!$C$49,R8="Sedang",'B.kriteria &amp; R.kecocokan'!$C$50,R8="Tinggi",'B.kriteria &amp; R.kecocokan'!$C$51)</f>
        <v>7.5</v>
      </c>
      <c r="T8" s="9" t="str">
        <f>'B.kriteria &amp; R.kecocokan'!$B$58</f>
        <v>Sedang</v>
      </c>
      <c r="U8" s="9">
        <f>_xlfn.IFS(T8="Rendah",'B.kriteria &amp; R.kecocokan'!$C$57,T8="Sedang",'B.kriteria &amp; R.kecocokan'!$C$58,T8="Tinggi",'B.kriteria &amp; R.kecocokan'!$C$59)</f>
        <v>5</v>
      </c>
      <c r="V8" s="9" t="str">
        <f>'B.kriteria &amp; R.kecocokan'!$B$65</f>
        <v>Rendah</v>
      </c>
      <c r="W8" s="9">
        <f>_xlfn.IFS(V8="Rendah",'B.kriteria &amp; R.kecocokan'!$C$65,V8="Sedang",'B.kriteria &amp; R.kecocokan'!$C$66,V8="Tinggi",'B.kriteria &amp; R.kecocokan'!$C$67)</f>
        <v>1</v>
      </c>
      <c r="X8" s="117">
        <f t="shared" ref="X8:X16" si="4">SQRT(((E8-$E$3)^2)+((G8-$G$3)^2)+((I8-$I$3)^2+((K8-$K$3)^2)+((M8-$M$3)^2)+((O8-$O$3)^2)+((Q8-$Q$3)^2)+((S8-$S$3)^2)+((U8-$U$3)^2)+((W8-$W$3)^2)))</f>
        <v>8.8600225733346747</v>
      </c>
      <c r="Y8" s="117">
        <f t="shared" ref="Y8:Y16" si="5">SQRT(((E8-$E$4)^2)+((G8-$G$4)^2)+((I8-$I$4)^2)+((K8-$K$4)^2)+((M8-$M$4)^2+((O8-$O$4)^2)+((Q8-$Q$4)^2)+((S8-$S$4)^2)+((U8-$U$4)^2)+((W8-$W$4^2))))</f>
        <v>6.6143782776614763</v>
      </c>
      <c r="Z8" s="117">
        <f t="shared" si="2"/>
        <v>6.6143782776614763</v>
      </c>
      <c r="AA8" s="9" t="str">
        <f t="shared" si="3"/>
        <v>Tidak Layak</v>
      </c>
      <c r="AD8" s="2">
        <v>85</v>
      </c>
      <c r="AE8" s="2" t="s">
        <v>159</v>
      </c>
      <c r="AF8" s="11" t="s">
        <v>95</v>
      </c>
      <c r="AG8" s="9" t="str">
        <f>'B.kriteria &amp; R.kecocokan'!$B$23</f>
        <v>Banyak</v>
      </c>
      <c r="AH8" s="9" t="str">
        <f>'B.kriteria &amp; R.kecocokan'!$B$34</f>
        <v>Tinggi</v>
      </c>
      <c r="AI8" s="9" t="str">
        <f>'B.kriteria &amp; R.kecocokan'!$B$41</f>
        <v>Rendah</v>
      </c>
      <c r="AJ8" s="9" t="str">
        <f>'B.kriteria &amp; R.kecocokan'!$B$72</f>
        <v>Rendah</v>
      </c>
      <c r="AK8" s="9" t="str">
        <f>'B.kriteria &amp; R.kecocokan'!$B$96</f>
        <v>Tinggi</v>
      </c>
      <c r="AL8" s="9" t="str">
        <f>'B.kriteria &amp; R.kecocokan'!$B$80</f>
        <v>Rendah</v>
      </c>
      <c r="AM8" s="9" t="str">
        <f>'B.kriteria &amp; R.kecocokan'!$B$90</f>
        <v>Sangat Sedikit</v>
      </c>
      <c r="AN8" s="9" t="str">
        <f>'B.kriteria &amp; R.kecocokan'!$B$49</f>
        <v>Rendah</v>
      </c>
      <c r="AO8" s="9" t="str">
        <f>'B.kriteria &amp; R.kecocokan'!$B$57</f>
        <v>Rendah</v>
      </c>
      <c r="AP8" s="9" t="str">
        <f>'B.kriteria &amp; R.kecocokan'!$B$65</f>
        <v>Rendah</v>
      </c>
      <c r="AQ8" s="9" t="s">
        <v>358</v>
      </c>
      <c r="AR8" s="2" t="str">
        <f>_xlfn.IFS(AO8="Rendah","Tidak Layak",AO8="Tinggi","Layak",AO8="sedang",IF(OR(AM8="Sedang",AM8="Sangat Sedikit"),"Layak",IF(AH8="Sangat Tinggi","Layak"," Tidak Layak")))</f>
        <v>Tidak Layak</v>
      </c>
    </row>
    <row r="9" spans="1:44" x14ac:dyDescent="0.35">
      <c r="A9" s="2">
        <v>18</v>
      </c>
      <c r="B9" s="2" t="s">
        <v>52</v>
      </c>
      <c r="C9" s="11" t="s">
        <v>13</v>
      </c>
      <c r="D9" s="28" t="str">
        <f>'B.kriteria &amp; R.kecocokan'!$B$24</f>
        <v>Cukup</v>
      </c>
      <c r="E9" s="173">
        <f>_xlfn.IFS(D9="Banyak",'B.kriteria &amp; R.kecocokan'!$C$23,D9="Cukup",'B.kriteria &amp; R.kecocokan'!$C$24,D9="Sedikit",'B.kriteria &amp; R.kecocokan'!$C$25)</f>
        <v>5</v>
      </c>
      <c r="F9" s="9" t="str">
        <f>'B.kriteria &amp; R.kecocokan'!$B$35</f>
        <v>Sangat Tinggi</v>
      </c>
      <c r="G9" s="9">
        <f>_xlfn.IFS(F9="Tinggi",'B.kriteria &amp; R.kecocokan'!$C$34,F9="Sangat Tinggi",'B.kriteria &amp; R.kecocokan'!$C$35)</f>
        <v>10</v>
      </c>
      <c r="H9" s="9" t="str">
        <f>'B.kriteria &amp; R.kecocokan'!$B$41</f>
        <v>Rendah</v>
      </c>
      <c r="I9" s="9">
        <f>_xlfn.IFS(H9="Rendah",'B.kriteria &amp; R.kecocokan'!$C$41,H9="Sedang",'B.kriteria &amp; R.kecocokan'!$C$42,H9="Tinggi",'B.kriteria &amp; R.kecocokan'!$C$43)</f>
        <v>2.5</v>
      </c>
      <c r="J9" s="9" t="str">
        <f>'B.kriteria &amp; R.kecocokan'!$B$72</f>
        <v>Rendah</v>
      </c>
      <c r="K9" s="9">
        <f>_xlfn.IFS(J9="Rendah",'B.kriteria &amp; R.kecocokan'!$C$72,J9="Sedang",'B.kriteria &amp; R.kecocokan'!$C$73,J9="Tinggi",'B.kriteria &amp; R.kecocokan'!$C$74)</f>
        <v>2.5</v>
      </c>
      <c r="L9" s="9" t="str">
        <f>'B.kriteria &amp; R.kecocokan'!$B$95</f>
        <v>Rendah</v>
      </c>
      <c r="M9" s="9">
        <f>_xlfn.IFS(L9="Rendah",'B.kriteria &amp; R.kecocokan'!$C$95,L9="Tinggi",'B.kriteria &amp; R.kecocokan'!$C$96)</f>
        <v>2.5</v>
      </c>
      <c r="N9" s="9" t="str">
        <f>'B.kriteria &amp; R.kecocokan'!$B$80</f>
        <v>Rendah</v>
      </c>
      <c r="O9" s="9">
        <f>_xlfn.IFS(N9="Rendah",'B.kriteria &amp; R.kecocokan'!$C$80,N9="Tinggi",'B.kriteria &amp; R.kecocokan'!$C$81)</f>
        <v>2.5</v>
      </c>
      <c r="P9" s="9" t="str">
        <f>'B.kriteria &amp; R.kecocokan'!$B$88</f>
        <v>Sedang</v>
      </c>
      <c r="Q9" s="9">
        <f>_xlfn.IFS(P9="Sedikit",'B.kriteria &amp; R.kecocokan'!$C$89,P9="Sedang",'B.kriteria &amp; R.kecocokan'!$C$88,P9="Sangat Sedikit",'B.kriteria &amp; R.kecocokan'!$C$90)</f>
        <v>5</v>
      </c>
      <c r="R9" s="9" t="str">
        <f>'B.kriteria &amp; R.kecocokan'!$B$50</f>
        <v>Sedang</v>
      </c>
      <c r="S9" s="9">
        <f>_xlfn.IFS(R9="Rendah",'B.kriteria &amp; R.kecocokan'!$C$49,R9="Sedang",'B.kriteria &amp; R.kecocokan'!$C$50,R9="Tinggi",'B.kriteria &amp; R.kecocokan'!$C$51)</f>
        <v>5</v>
      </c>
      <c r="T9" s="9" t="str">
        <f>'B.kriteria &amp; R.kecocokan'!$B$58</f>
        <v>Sedang</v>
      </c>
      <c r="U9" s="9">
        <f>_xlfn.IFS(T9="Rendah",'B.kriteria &amp; R.kecocokan'!$C$57,T9="Sedang",'B.kriteria &amp; R.kecocokan'!$C$58,T9="Tinggi",'B.kriteria &amp; R.kecocokan'!$C$59)</f>
        <v>5</v>
      </c>
      <c r="V9" s="9" t="str">
        <f>'B.kriteria &amp; R.kecocokan'!$B$65</f>
        <v>Rendah</v>
      </c>
      <c r="W9" s="9">
        <f>_xlfn.IFS(V9="Rendah",'B.kriteria &amp; R.kecocokan'!$C$65,V9="Sedang",'B.kriteria &amp; R.kecocokan'!$C$66,V9="Tinggi",'B.kriteria &amp; R.kecocokan'!$C$67)</f>
        <v>1</v>
      </c>
      <c r="X9" s="117">
        <f t="shared" si="4"/>
        <v>7.7298124168701534</v>
      </c>
      <c r="Y9" s="117">
        <f t="shared" si="5"/>
        <v>5</v>
      </c>
      <c r="Z9" s="117">
        <f t="shared" si="2"/>
        <v>5</v>
      </c>
      <c r="AA9" s="9" t="str">
        <f t="shared" si="3"/>
        <v>Tidak Layak</v>
      </c>
      <c r="AD9" s="2">
        <v>86</v>
      </c>
      <c r="AE9" s="2" t="s">
        <v>165</v>
      </c>
      <c r="AF9" s="11" t="s">
        <v>95</v>
      </c>
      <c r="AG9" s="28" t="str">
        <f>'B.kriteria &amp; R.kecocokan'!$B$25</f>
        <v>Sedikit</v>
      </c>
      <c r="AH9" s="9" t="str">
        <f>'B.kriteria &amp; R.kecocokan'!$B$34</f>
        <v>Tinggi</v>
      </c>
      <c r="AI9" s="9" t="str">
        <f>'B.kriteria &amp; R.kecocokan'!$B$41</f>
        <v>Rendah</v>
      </c>
      <c r="AJ9" s="9" t="str">
        <f>'B.kriteria &amp; R.kecocokan'!$B$72</f>
        <v>Rendah</v>
      </c>
      <c r="AK9" s="9" t="str">
        <f>'B.kriteria &amp; R.kecocokan'!$B$95</f>
        <v>Rendah</v>
      </c>
      <c r="AL9" s="9" t="str">
        <f>'B.kriteria &amp; R.kecocokan'!$B$81</f>
        <v>Tinggi</v>
      </c>
      <c r="AM9" s="9" t="str">
        <f>'B.kriteria &amp; R.kecocokan'!$B$90</f>
        <v>Sangat Sedikit</v>
      </c>
      <c r="AN9" s="9" t="str">
        <f>'B.kriteria &amp; R.kecocokan'!$B$49</f>
        <v>Rendah</v>
      </c>
      <c r="AO9" s="9" t="str">
        <f>'B.kriteria &amp; R.kecocokan'!$B$57</f>
        <v>Rendah</v>
      </c>
      <c r="AP9" s="9" t="str">
        <f>'B.kriteria &amp; R.kecocokan'!$B$65</f>
        <v>Rendah</v>
      </c>
      <c r="AQ9" s="9" t="s">
        <v>358</v>
      </c>
      <c r="AR9" s="2" t="str">
        <f>_xlfn.IFS(AO9="Rendah","Tidak Layak",AO9="Tinggi","Layak",AO9="sedang",IF(OR(AM9="Sedang",AM9="Sangat Sedikit"),"Layak",IF(AH9="Sangat Tinggi","Layak"," Tidak Layak")))</f>
        <v>Tidak Layak</v>
      </c>
    </row>
    <row r="10" spans="1:44" x14ac:dyDescent="0.35">
      <c r="A10" s="2">
        <v>19</v>
      </c>
      <c r="B10" s="2" t="s">
        <v>55</v>
      </c>
      <c r="C10" s="11" t="s">
        <v>13</v>
      </c>
      <c r="D10" s="9" t="str">
        <f>'B.kriteria &amp; R.kecocokan'!$B$25</f>
        <v>Sedikit</v>
      </c>
      <c r="E10" s="173">
        <f>_xlfn.IFS(D10="Banyak",'B.kriteria &amp; R.kecocokan'!$C$23,D10="Cukup",'B.kriteria &amp; R.kecocokan'!$C$24,D10="Sedikit",'B.kriteria &amp; R.kecocokan'!$C$25)</f>
        <v>7.5</v>
      </c>
      <c r="F10" s="9" t="str">
        <f>'B.kriteria &amp; R.kecocokan'!$B$34</f>
        <v>Tinggi</v>
      </c>
      <c r="G10" s="9">
        <f>_xlfn.IFS(F10="Tinggi",'B.kriteria &amp; R.kecocokan'!$C$34,F10="Sangat Tinggi",'B.kriteria &amp; R.kecocokan'!$C$35)</f>
        <v>7.5</v>
      </c>
      <c r="H10" s="9" t="str">
        <f>'B.kriteria &amp; R.kecocokan'!$B$41</f>
        <v>Rendah</v>
      </c>
      <c r="I10" s="9">
        <f>_xlfn.IFS(H10="Rendah",'B.kriteria &amp; R.kecocokan'!$C$41,H10="Sedang",'B.kriteria &amp; R.kecocokan'!$C$42,H10="Tinggi",'B.kriteria &amp; R.kecocokan'!$C$43)</f>
        <v>2.5</v>
      </c>
      <c r="J10" s="9" t="str">
        <f>'B.kriteria &amp; R.kecocokan'!$B$72</f>
        <v>Rendah</v>
      </c>
      <c r="K10" s="9">
        <f>_xlfn.IFS(J10="Rendah",'B.kriteria &amp; R.kecocokan'!$C$72,J10="Sedang",'B.kriteria &amp; R.kecocokan'!$C$73,J10="Tinggi",'B.kriteria &amp; R.kecocokan'!$C$74)</f>
        <v>2.5</v>
      </c>
      <c r="L10" s="9" t="str">
        <f>'B.kriteria &amp; R.kecocokan'!$B$95</f>
        <v>Rendah</v>
      </c>
      <c r="M10" s="9">
        <f>_xlfn.IFS(L10="Rendah",'B.kriteria &amp; R.kecocokan'!$C$95,L10="Tinggi",'B.kriteria &amp; R.kecocokan'!$C$96)</f>
        <v>2.5</v>
      </c>
      <c r="N10" s="9" t="str">
        <f>'B.kriteria &amp; R.kecocokan'!$B$81</f>
        <v>Tinggi</v>
      </c>
      <c r="O10" s="9">
        <f>_xlfn.IFS(N10="Rendah",'B.kriteria &amp; R.kecocokan'!$C$80,N10="Tinggi",'B.kriteria &amp; R.kecocokan'!$C$81)</f>
        <v>7.5</v>
      </c>
      <c r="P10" s="9" t="str">
        <f>'B.kriteria &amp; R.kecocokan'!$B$90</f>
        <v>Sangat Sedikit</v>
      </c>
      <c r="Q10" s="9">
        <f>_xlfn.IFS(P10="Sedikit",'B.kriteria &amp; R.kecocokan'!$C$89,P10="Sedang",'B.kriteria &amp; R.kecocokan'!$C$88,P10="Sangat Sedikit",'B.kriteria &amp; R.kecocokan'!$C$90)</f>
        <v>1</v>
      </c>
      <c r="R10" s="9" t="str">
        <f>'B.kriteria &amp; R.kecocokan'!$B$49</f>
        <v>Rendah</v>
      </c>
      <c r="S10" s="9">
        <f>_xlfn.IFS(R10="Rendah",'B.kriteria &amp; R.kecocokan'!$C$49,R10="Sedang",'B.kriteria &amp; R.kecocokan'!$C$50,R10="Tinggi",'B.kriteria &amp; R.kecocokan'!$C$51)</f>
        <v>2.5</v>
      </c>
      <c r="T10" s="9" t="str">
        <f>'B.kriteria &amp; R.kecocokan'!$B$58</f>
        <v>Sedang</v>
      </c>
      <c r="U10" s="9">
        <f>_xlfn.IFS(T10="Rendah",'B.kriteria &amp; R.kecocokan'!$C$57,T10="Sedang",'B.kriteria &amp; R.kecocokan'!$C$58,T10="Tinggi",'B.kriteria &amp; R.kecocokan'!$C$59)</f>
        <v>5</v>
      </c>
      <c r="V10" s="9" t="str">
        <f>'B.kriteria &amp; R.kecocokan'!$B$65</f>
        <v>Rendah</v>
      </c>
      <c r="W10" s="9">
        <f>_xlfn.IFS(V10="Rendah",'B.kriteria &amp; R.kecocokan'!$C$65,V10="Sedang",'B.kriteria &amp; R.kecocokan'!$C$66,V10="Tinggi",'B.kriteria &amp; R.kecocokan'!$C$67)</f>
        <v>1</v>
      </c>
      <c r="X10" s="117">
        <f t="shared" si="4"/>
        <v>0</v>
      </c>
      <c r="Y10" s="117">
        <f t="shared" si="5"/>
        <v>8.5</v>
      </c>
      <c r="Z10" s="117">
        <f t="shared" si="2"/>
        <v>0</v>
      </c>
      <c r="AA10" s="9" t="str">
        <f t="shared" si="3"/>
        <v>Layak</v>
      </c>
      <c r="AD10" s="2">
        <v>87</v>
      </c>
      <c r="AE10" s="2" t="s">
        <v>163</v>
      </c>
      <c r="AF10" s="11" t="s">
        <v>248</v>
      </c>
      <c r="AG10" s="28" t="str">
        <f>'B.kriteria &amp; R.kecocokan'!$B$25</f>
        <v>Sedikit</v>
      </c>
      <c r="AH10" s="9" t="str">
        <f>'B.kriteria &amp; R.kecocokan'!$B$35</f>
        <v>Sangat Tinggi</v>
      </c>
      <c r="AI10" s="9" t="str">
        <f>'B.kriteria &amp; R.kecocokan'!$B$43</f>
        <v>Tinggi</v>
      </c>
      <c r="AJ10" s="9" t="str">
        <f>'B.kriteria &amp; R.kecocokan'!$B$72</f>
        <v>Rendah</v>
      </c>
      <c r="AK10" s="9" t="str">
        <f>'B.kriteria &amp; R.kecocokan'!$B$95</f>
        <v>Rendah</v>
      </c>
      <c r="AL10" s="9" t="str">
        <f>'B.kriteria &amp; R.kecocokan'!$B$80</f>
        <v>Rendah</v>
      </c>
      <c r="AM10" s="9" t="str">
        <f>'B.kriteria &amp; R.kecocokan'!$B$89</f>
        <v>Sedikit</v>
      </c>
      <c r="AN10" s="9" t="str">
        <f>'B.kriteria &amp; R.kecocokan'!$B$49</f>
        <v>Rendah</v>
      </c>
      <c r="AO10" s="9" t="str">
        <f>'B.kriteria &amp; R.kecocokan'!$B$57</f>
        <v>Rendah</v>
      </c>
      <c r="AP10" s="9" t="str">
        <f>'B.kriteria &amp; R.kecocokan'!$B$65</f>
        <v>Rendah</v>
      </c>
      <c r="AQ10" s="9" t="s">
        <v>358</v>
      </c>
      <c r="AR10" s="2" t="str">
        <f>_xlfn.IFS(AO10="Rendah","Tidak Layak",AO10="Tinggi","Layak",AO10="sedang",IF(OR(AM10="Sedang",AM10="Sangat Sedikit"),"Layak",IF(AH10="Sangat Tinggi","Layak"," Tidak Layak")))</f>
        <v>Tidak Layak</v>
      </c>
    </row>
    <row r="11" spans="1:44" x14ac:dyDescent="0.35">
      <c r="A11" s="2">
        <v>20</v>
      </c>
      <c r="B11" s="2" t="s">
        <v>56</v>
      </c>
      <c r="C11" s="11" t="s">
        <v>13</v>
      </c>
      <c r="D11" s="28" t="str">
        <f>'B.kriteria &amp; R.kecocokan'!$B$24</f>
        <v>Cukup</v>
      </c>
      <c r="E11" s="173">
        <f>_xlfn.IFS(D11="Banyak",'B.kriteria &amp; R.kecocokan'!$C$23,D11="Cukup",'B.kriteria &amp; R.kecocokan'!$C$24,D11="Sedikit",'B.kriteria &amp; R.kecocokan'!$C$25)</f>
        <v>5</v>
      </c>
      <c r="F11" s="9" t="str">
        <f>'B.kriteria &amp; R.kecocokan'!$B$34</f>
        <v>Tinggi</v>
      </c>
      <c r="G11" s="9">
        <f>_xlfn.IFS(F11="Tinggi",'B.kriteria &amp; R.kecocokan'!$C$34,F11="Sangat Tinggi",'B.kriteria &amp; R.kecocokan'!$C$35)</f>
        <v>7.5</v>
      </c>
      <c r="H11" s="9" t="str">
        <f>'B.kriteria &amp; R.kecocokan'!$B$41</f>
        <v>Rendah</v>
      </c>
      <c r="I11" s="9">
        <f>_xlfn.IFS(H11="Rendah",'B.kriteria &amp; R.kecocokan'!$C$41,H11="Sedang",'B.kriteria &amp; R.kecocokan'!$C$42,H11="Tinggi",'B.kriteria &amp; R.kecocokan'!$C$43)</f>
        <v>2.5</v>
      </c>
      <c r="J11" s="9" t="str">
        <f>'B.kriteria &amp; R.kecocokan'!$B$72</f>
        <v>Rendah</v>
      </c>
      <c r="K11" s="9">
        <f>_xlfn.IFS(J11="Rendah",'B.kriteria &amp; R.kecocokan'!$C$72,J11="Sedang",'B.kriteria &amp; R.kecocokan'!$C$73,J11="Tinggi",'B.kriteria &amp; R.kecocokan'!$C$74)</f>
        <v>2.5</v>
      </c>
      <c r="L11" s="9" t="str">
        <f>'B.kriteria &amp; R.kecocokan'!$B$95</f>
        <v>Rendah</v>
      </c>
      <c r="M11" s="9">
        <f>_xlfn.IFS(L11="Rendah",'B.kriteria &amp; R.kecocokan'!$C$95,L11="Tinggi",'B.kriteria &amp; R.kecocokan'!$C$96)</f>
        <v>2.5</v>
      </c>
      <c r="N11" s="9" t="str">
        <f>'B.kriteria &amp; R.kecocokan'!$B$80</f>
        <v>Rendah</v>
      </c>
      <c r="O11" s="9">
        <f>_xlfn.IFS(N11="Rendah",'B.kriteria &amp; R.kecocokan'!$C$80,N11="Tinggi",'B.kriteria &amp; R.kecocokan'!$C$81)</f>
        <v>2.5</v>
      </c>
      <c r="P11" s="9" t="str">
        <f>'B.kriteria &amp; R.kecocokan'!$B$89</f>
        <v>Sedikit</v>
      </c>
      <c r="Q11" s="9">
        <f>_xlfn.IFS(P11="Sedikit",'B.kriteria &amp; R.kecocokan'!$C$89,P11="Sedang",'B.kriteria &amp; R.kecocokan'!$C$88,P11="Sangat Sedikit",'B.kriteria &amp; R.kecocokan'!$C$90)</f>
        <v>2.5</v>
      </c>
      <c r="R11" s="9" t="str">
        <f>'B.kriteria &amp; R.kecocokan'!$B$49</f>
        <v>Rendah</v>
      </c>
      <c r="S11" s="9">
        <f>_xlfn.IFS(R11="Rendah",'B.kriteria &amp; R.kecocokan'!$C$49,R11="Sedang",'B.kriteria &amp; R.kecocokan'!$C$50,R11="Tinggi",'B.kriteria &amp; R.kecocokan'!$C$51)</f>
        <v>2.5</v>
      </c>
      <c r="T11" s="9" t="str">
        <f>'B.kriteria &amp; R.kecocokan'!$B$58</f>
        <v>Sedang</v>
      </c>
      <c r="U11" s="9">
        <f>_xlfn.IFS(T11="Rendah",'B.kriteria &amp; R.kecocokan'!$C$57,T11="Sedang",'B.kriteria &amp; R.kecocokan'!$C$58,T11="Tinggi",'B.kriteria &amp; R.kecocokan'!$C$59)</f>
        <v>5</v>
      </c>
      <c r="V11" s="9" t="str">
        <f>'B.kriteria &amp; R.kecocokan'!$B$65</f>
        <v>Rendah</v>
      </c>
      <c r="W11" s="9">
        <f>_xlfn.IFS(V11="Rendah",'B.kriteria &amp; R.kecocokan'!$C$65,V11="Sedang",'B.kriteria &amp; R.kecocokan'!$C$66,V11="Tinggi",'B.kriteria &amp; R.kecocokan'!$C$67)</f>
        <v>1</v>
      </c>
      <c r="X11" s="117">
        <f t="shared" si="4"/>
        <v>5.7879184513951127</v>
      </c>
      <c r="Y11" s="117">
        <f t="shared" si="5"/>
        <v>4.3301270189221936</v>
      </c>
      <c r="Z11" s="117">
        <f t="shared" si="2"/>
        <v>4.3301270189221936</v>
      </c>
      <c r="AA11" s="9" t="str">
        <f t="shared" si="3"/>
        <v>Tidak Layak</v>
      </c>
      <c r="AD11" s="2">
        <v>88</v>
      </c>
      <c r="AE11" s="30" t="s">
        <v>24</v>
      </c>
      <c r="AF11" s="11" t="s">
        <v>248</v>
      </c>
      <c r="AG11" s="28" t="str">
        <f>'B.kriteria &amp; R.kecocokan'!$B$25</f>
        <v>Sedikit</v>
      </c>
      <c r="AH11" s="9" t="str">
        <f>'B.kriteria &amp; R.kecocokan'!$B$35</f>
        <v>Sangat Tinggi</v>
      </c>
      <c r="AI11" s="9" t="str">
        <f>'B.kriteria &amp; R.kecocokan'!$B$41</f>
        <v>Rendah</v>
      </c>
      <c r="AJ11" s="9" t="str">
        <f>'B.kriteria &amp; R.kecocokan'!$B$72</f>
        <v>Rendah</v>
      </c>
      <c r="AK11" s="9" t="str">
        <f>'B.kriteria &amp; R.kecocokan'!$B$95</f>
        <v>Rendah</v>
      </c>
      <c r="AL11" s="9" t="str">
        <f>'B.kriteria &amp; R.kecocokan'!$B$81</f>
        <v>Tinggi</v>
      </c>
      <c r="AM11" s="9" t="str">
        <f>'B.kriteria &amp; R.kecocokan'!$B$90</f>
        <v>Sangat Sedikit</v>
      </c>
      <c r="AN11" s="9" t="str">
        <f>'B.kriteria &amp; R.kecocokan'!$B$51</f>
        <v>Tinggi</v>
      </c>
      <c r="AO11" s="9" t="str">
        <f>'B.kriteria &amp; R.kecocokan'!$B$59</f>
        <v>Tinggi</v>
      </c>
      <c r="AP11" s="9" t="str">
        <f>'B.kriteria &amp; R.kecocokan'!$B$65</f>
        <v>Rendah</v>
      </c>
      <c r="AQ11" s="9" t="s">
        <v>349</v>
      </c>
      <c r="AR11" s="2" t="str">
        <f t="shared" ref="AR11:AR15" si="6">_xlfn.IFS(AO11="Rendah","Tidak Layak",AO11="Tinggi","Layak",AO11="sedang",IF(OR(AM11="Sedang",AM11="Sangat Sedikit"),"Layak",IF(AH11="Sangat Tinggi","Layak"," Tidak Layak")))</f>
        <v>Layak</v>
      </c>
    </row>
    <row r="12" spans="1:44" x14ac:dyDescent="0.35">
      <c r="A12" s="2">
        <v>21</v>
      </c>
      <c r="B12" s="2" t="s">
        <v>57</v>
      </c>
      <c r="C12" s="11" t="s">
        <v>13</v>
      </c>
      <c r="D12" s="9" t="str">
        <f>'B.kriteria &amp; R.kecocokan'!$B$25</f>
        <v>Sedikit</v>
      </c>
      <c r="E12" s="173">
        <f>_xlfn.IFS(D12="Banyak",'B.kriteria &amp; R.kecocokan'!$C$23,D12="Cukup",'B.kriteria &amp; R.kecocokan'!$C$24,D12="Sedikit",'B.kriteria &amp; R.kecocokan'!$C$25)</f>
        <v>7.5</v>
      </c>
      <c r="F12" s="9" t="str">
        <f>'B.kriteria &amp; R.kecocokan'!$B$35</f>
        <v>Sangat Tinggi</v>
      </c>
      <c r="G12" s="9">
        <f>_xlfn.IFS(F12="Tinggi",'B.kriteria &amp; R.kecocokan'!$C$34,F12="Sangat Tinggi",'B.kriteria &amp; R.kecocokan'!$C$35)</f>
        <v>10</v>
      </c>
      <c r="H12" s="9" t="str">
        <f>'B.kriteria &amp; R.kecocokan'!$B$41</f>
        <v>Rendah</v>
      </c>
      <c r="I12" s="9">
        <f>_xlfn.IFS(H12="Rendah",'B.kriteria &amp; R.kecocokan'!$C$41,H12="Sedang",'B.kriteria &amp; R.kecocokan'!$C$42,H12="Tinggi",'B.kriteria &amp; R.kecocokan'!$C$43)</f>
        <v>2.5</v>
      </c>
      <c r="J12" s="9" t="str">
        <f>'B.kriteria &amp; R.kecocokan'!$B$72</f>
        <v>Rendah</v>
      </c>
      <c r="K12" s="9">
        <f>_xlfn.IFS(J12="Rendah",'B.kriteria &amp; R.kecocokan'!$C$72,J12="Sedang",'B.kriteria &amp; R.kecocokan'!$C$73,J12="Tinggi",'B.kriteria &amp; R.kecocokan'!$C$74)</f>
        <v>2.5</v>
      </c>
      <c r="L12" s="9" t="str">
        <f>'B.kriteria &amp; R.kecocokan'!$B$95</f>
        <v>Rendah</v>
      </c>
      <c r="M12" s="9">
        <f>_xlfn.IFS(L12="Rendah",'B.kriteria &amp; R.kecocokan'!$C$95,L12="Tinggi",'B.kriteria &amp; R.kecocokan'!$C$96)</f>
        <v>2.5</v>
      </c>
      <c r="N12" s="9" t="str">
        <f>'B.kriteria &amp; R.kecocokan'!$B$81</f>
        <v>Tinggi</v>
      </c>
      <c r="O12" s="9">
        <f>_xlfn.IFS(N12="Rendah",'B.kriteria &amp; R.kecocokan'!$C$80,N12="Tinggi",'B.kriteria &amp; R.kecocokan'!$C$81)</f>
        <v>7.5</v>
      </c>
      <c r="P12" s="9" t="str">
        <f>'B.kriteria &amp; R.kecocokan'!$B$90</f>
        <v>Sangat Sedikit</v>
      </c>
      <c r="Q12" s="9">
        <f>_xlfn.IFS(P12="Sedikit",'B.kriteria &amp; R.kecocokan'!$C$89,P12="Sedang",'B.kriteria &amp; R.kecocokan'!$C$88,P12="Sangat Sedikit",'B.kriteria &amp; R.kecocokan'!$C$90)</f>
        <v>1</v>
      </c>
      <c r="R12" s="9" t="str">
        <f>'B.kriteria &amp; R.kecocokan'!$B$49</f>
        <v>Rendah</v>
      </c>
      <c r="S12" s="9">
        <f>_xlfn.IFS(R12="Rendah",'B.kriteria &amp; R.kecocokan'!$C$49,R12="Sedang",'B.kriteria &amp; R.kecocokan'!$C$50,R12="Tinggi",'B.kriteria &amp; R.kecocokan'!$C$51)</f>
        <v>2.5</v>
      </c>
      <c r="T12" s="9" t="str">
        <f>'B.kriteria &amp; R.kecocokan'!$B$58</f>
        <v>Sedang</v>
      </c>
      <c r="U12" s="9">
        <f>_xlfn.IFS(T12="Rendah",'B.kriteria &amp; R.kecocokan'!$C$57,T12="Sedang",'B.kriteria &amp; R.kecocokan'!$C$58,T12="Tinggi",'B.kriteria &amp; R.kecocokan'!$C$59)</f>
        <v>5</v>
      </c>
      <c r="V12" s="9" t="str">
        <f>'B.kriteria &amp; R.kecocokan'!$B$65</f>
        <v>Rendah</v>
      </c>
      <c r="W12" s="9">
        <f>_xlfn.IFS(V12="Rendah",'B.kriteria &amp; R.kecocokan'!$C$65,V12="Sedang",'B.kriteria &amp; R.kecocokan'!$C$66,V12="Tinggi",'B.kriteria &amp; R.kecocokan'!$C$67)</f>
        <v>1</v>
      </c>
      <c r="X12" s="117">
        <f t="shared" si="4"/>
        <v>2.5</v>
      </c>
      <c r="Y12" s="117">
        <f t="shared" si="5"/>
        <v>8.8600225733346747</v>
      </c>
      <c r="Z12" s="117">
        <f t="shared" si="2"/>
        <v>2.5</v>
      </c>
      <c r="AA12" s="9" t="str">
        <f t="shared" si="3"/>
        <v>Layak</v>
      </c>
      <c r="AD12" s="2">
        <v>89</v>
      </c>
      <c r="AE12" s="2" t="s">
        <v>128</v>
      </c>
      <c r="AF12" s="11" t="s">
        <v>95</v>
      </c>
      <c r="AG12" s="28" t="str">
        <f>'B.kriteria &amp; R.kecocokan'!$B$24</f>
        <v>Cukup</v>
      </c>
      <c r="AH12" s="9" t="str">
        <f>'B.kriteria &amp; R.kecocokan'!$B$34</f>
        <v>Tinggi</v>
      </c>
      <c r="AI12" s="9" t="str">
        <f>'B.kriteria &amp; R.kecocokan'!$B$41</f>
        <v>Rendah</v>
      </c>
      <c r="AJ12" s="9" t="str">
        <f>'B.kriteria &amp; R.kecocokan'!$B$72</f>
        <v>Rendah</v>
      </c>
      <c r="AK12" s="9" t="str">
        <f>'B.kriteria &amp; R.kecocokan'!$B$95</f>
        <v>Rendah</v>
      </c>
      <c r="AL12" s="9" t="str">
        <f>'B.kriteria &amp; R.kecocokan'!$B$81</f>
        <v>Tinggi</v>
      </c>
      <c r="AM12" s="9" t="str">
        <f>'B.kriteria &amp; R.kecocokan'!$B$90</f>
        <v>Sangat Sedikit</v>
      </c>
      <c r="AN12" s="9" t="str">
        <f>'B.kriteria &amp; R.kecocokan'!$B$49</f>
        <v>Rendah</v>
      </c>
      <c r="AO12" s="9" t="str">
        <f>'B.kriteria &amp; R.kecocokan'!$B$57</f>
        <v>Rendah</v>
      </c>
      <c r="AP12" s="9" t="str">
        <f>'B.kriteria &amp; R.kecocokan'!$B$65</f>
        <v>Rendah</v>
      </c>
      <c r="AQ12" s="9" t="s">
        <v>358</v>
      </c>
      <c r="AR12" s="2" t="str">
        <f t="shared" si="6"/>
        <v>Tidak Layak</v>
      </c>
    </row>
    <row r="13" spans="1:44" x14ac:dyDescent="0.35">
      <c r="A13" s="2">
        <v>22</v>
      </c>
      <c r="B13" s="2" t="s">
        <v>59</v>
      </c>
      <c r="C13" s="11" t="s">
        <v>13</v>
      </c>
      <c r="D13" s="9" t="str">
        <f>'B.kriteria &amp; R.kecocokan'!$B$23</f>
        <v>Banyak</v>
      </c>
      <c r="E13" s="173">
        <f>_xlfn.IFS(D13="Banyak",'B.kriteria &amp; R.kecocokan'!$C$23,D13="Cukup",'B.kriteria &amp; R.kecocokan'!$C$24,D13="Sedikit",'B.kriteria &amp; R.kecocokan'!$C$25)</f>
        <v>2.5</v>
      </c>
      <c r="F13" s="9" t="str">
        <f>'B.kriteria &amp; R.kecocokan'!$B$34</f>
        <v>Tinggi</v>
      </c>
      <c r="G13" s="9">
        <f>_xlfn.IFS(F13="Tinggi",'B.kriteria &amp; R.kecocokan'!$C$34,F13="Sangat Tinggi",'B.kriteria &amp; R.kecocokan'!$C$35)</f>
        <v>7.5</v>
      </c>
      <c r="H13" s="9" t="str">
        <f>'B.kriteria &amp; R.kecocokan'!$B$41</f>
        <v>Rendah</v>
      </c>
      <c r="I13" s="9">
        <f>_xlfn.IFS(H13="Rendah",'B.kriteria &amp; R.kecocokan'!$C$41,H13="Sedang",'B.kriteria &amp; R.kecocokan'!$C$42,H13="Tinggi",'B.kriteria &amp; R.kecocokan'!$C$43)</f>
        <v>2.5</v>
      </c>
      <c r="J13" s="9" t="str">
        <f>'B.kriteria &amp; R.kecocokan'!$B$72</f>
        <v>Rendah</v>
      </c>
      <c r="K13" s="9">
        <f>_xlfn.IFS(J13="Rendah",'B.kriteria &amp; R.kecocokan'!$C$72,J13="Sedang",'B.kriteria &amp; R.kecocokan'!$C$73,J13="Tinggi",'B.kriteria &amp; R.kecocokan'!$C$74)</f>
        <v>2.5</v>
      </c>
      <c r="L13" s="9" t="str">
        <f>'B.kriteria &amp; R.kecocokan'!$B$95</f>
        <v>Rendah</v>
      </c>
      <c r="M13" s="9">
        <f>_xlfn.IFS(L13="Rendah",'B.kriteria &amp; R.kecocokan'!$C$95,L13="Tinggi",'B.kriteria &amp; R.kecocokan'!$C$96)</f>
        <v>2.5</v>
      </c>
      <c r="N13" s="9" t="str">
        <f>'B.kriteria &amp; R.kecocokan'!$B$80</f>
        <v>Rendah</v>
      </c>
      <c r="O13" s="9">
        <f>_xlfn.IFS(N13="Rendah",'B.kriteria &amp; R.kecocokan'!$C$80,N13="Tinggi",'B.kriteria &amp; R.kecocokan'!$C$81)</f>
        <v>2.5</v>
      </c>
      <c r="P13" s="9" t="str">
        <f>'B.kriteria &amp; R.kecocokan'!$B$88</f>
        <v>Sedang</v>
      </c>
      <c r="Q13" s="9">
        <f>_xlfn.IFS(P13="Sedikit",'B.kriteria &amp; R.kecocokan'!$C$89,P13="Sedang",'B.kriteria &amp; R.kecocokan'!$C$88,P13="Sangat Sedikit",'B.kriteria &amp; R.kecocokan'!$C$90)</f>
        <v>5</v>
      </c>
      <c r="R13" s="9" t="str">
        <f>'B.kriteria &amp; R.kecocokan'!$B$49</f>
        <v>Rendah</v>
      </c>
      <c r="S13" s="9">
        <f>_xlfn.IFS(R13="Rendah",'B.kriteria &amp; R.kecocokan'!$C$49,R13="Sedang",'B.kriteria &amp; R.kecocokan'!$C$50,R13="Tinggi",'B.kriteria &amp; R.kecocokan'!$C$51)</f>
        <v>2.5</v>
      </c>
      <c r="T13" s="9" t="str">
        <f>'B.kriteria &amp; R.kecocokan'!$B$57</f>
        <v>Rendah</v>
      </c>
      <c r="U13" s="9">
        <f>_xlfn.IFS(T13="Rendah",'B.kriteria &amp; R.kecocokan'!$C$57,T13="Sedang",'B.kriteria &amp; R.kecocokan'!$C$58,T13="Tinggi",'B.kriteria &amp; R.kecocokan'!$C$59)</f>
        <v>2.5</v>
      </c>
      <c r="V13" s="9" t="str">
        <f>'B.kriteria &amp; R.kecocokan'!$B$65</f>
        <v>Rendah</v>
      </c>
      <c r="W13" s="9">
        <f>_xlfn.IFS(V13="Rendah",'B.kriteria &amp; R.kecocokan'!$C$65,V13="Sedang",'B.kriteria &amp; R.kecocokan'!$C$66,V13="Tinggi",'B.kriteria &amp; R.kecocokan'!$C$67)</f>
        <v>1</v>
      </c>
      <c r="X13" s="117">
        <f t="shared" si="4"/>
        <v>8.5</v>
      </c>
      <c r="Y13" s="117">
        <f t="shared" si="5"/>
        <v>0</v>
      </c>
      <c r="Z13" s="117">
        <f t="shared" si="2"/>
        <v>0</v>
      </c>
      <c r="AA13" s="9" t="str">
        <f t="shared" si="3"/>
        <v>Tidak Layak</v>
      </c>
      <c r="AD13" s="2">
        <v>90</v>
      </c>
      <c r="AE13" s="30" t="s">
        <v>136</v>
      </c>
      <c r="AF13" s="11" t="s">
        <v>95</v>
      </c>
      <c r="AG13" s="28" t="str">
        <f>'B.kriteria &amp; R.kecocokan'!$B$25</f>
        <v>Sedikit</v>
      </c>
      <c r="AH13" s="9" t="str">
        <f>'B.kriteria &amp; R.kecocokan'!$B$35</f>
        <v>Sangat Tinggi</v>
      </c>
      <c r="AI13" s="9" t="str">
        <f>'B.kriteria &amp; R.kecocokan'!$B$41</f>
        <v>Rendah</v>
      </c>
      <c r="AJ13" s="9" t="str">
        <f>'B.kriteria &amp; R.kecocokan'!$B$72</f>
        <v>Rendah</v>
      </c>
      <c r="AK13" s="9" t="str">
        <f>'B.kriteria &amp; R.kecocokan'!$B$95</f>
        <v>Rendah</v>
      </c>
      <c r="AL13" s="9" t="str">
        <f>'B.kriteria &amp; R.kecocokan'!$B$81</f>
        <v>Tinggi</v>
      </c>
      <c r="AM13" s="9" t="str">
        <f>'B.kriteria &amp; R.kecocokan'!$B$90</f>
        <v>Sangat Sedikit</v>
      </c>
      <c r="AN13" s="9" t="str">
        <f>'B.kriteria &amp; R.kecocokan'!$B$51</f>
        <v>Tinggi</v>
      </c>
      <c r="AO13" s="9" t="str">
        <f>'B.kriteria &amp; R.kecocokan'!$B$59</f>
        <v>Tinggi</v>
      </c>
      <c r="AP13" s="9" t="str">
        <f>'B.kriteria &amp; R.kecocokan'!$B$65</f>
        <v>Rendah</v>
      </c>
      <c r="AQ13" s="9" t="s">
        <v>349</v>
      </c>
      <c r="AR13" s="2" t="str">
        <f>_xlfn.IFS(AO13="Rendah","Tidak Layak",AO13="Tinggi","Layak",AO13="sedang",IF(OR(AM13="Sedang",AM13="Sangat Sedikit"),"Layak",IF(AH13="Sangat Tinggi","Layak"," Tidak Layak")))</f>
        <v>Layak</v>
      </c>
    </row>
    <row r="14" spans="1:44" x14ac:dyDescent="0.35">
      <c r="A14" s="2">
        <v>23</v>
      </c>
      <c r="B14" s="2" t="s">
        <v>61</v>
      </c>
      <c r="C14" s="11" t="s">
        <v>13</v>
      </c>
      <c r="D14" s="28" t="str">
        <f>'B.kriteria &amp; R.kecocokan'!$B$24</f>
        <v>Cukup</v>
      </c>
      <c r="E14" s="173">
        <f>_xlfn.IFS(D14="Banyak",'B.kriteria &amp; R.kecocokan'!$C$23,D14="Cukup",'B.kriteria &amp; R.kecocokan'!$C$24,D14="Sedikit",'B.kriteria &amp; R.kecocokan'!$C$25)</f>
        <v>5</v>
      </c>
      <c r="F14" s="9" t="str">
        <f>'B.kriteria &amp; R.kecocokan'!$B$34</f>
        <v>Tinggi</v>
      </c>
      <c r="G14" s="9">
        <f>_xlfn.IFS(F14="Tinggi",'B.kriteria &amp; R.kecocokan'!$C$34,F14="Sangat Tinggi",'B.kriteria &amp; R.kecocokan'!$C$35)</f>
        <v>7.5</v>
      </c>
      <c r="H14" s="9" t="str">
        <f>'B.kriteria &amp; R.kecocokan'!$B$41</f>
        <v>Rendah</v>
      </c>
      <c r="I14" s="9">
        <f>_xlfn.IFS(H14="Rendah",'B.kriteria &amp; R.kecocokan'!$C$41,H14="Sedang",'B.kriteria &amp; R.kecocokan'!$C$42,H14="Tinggi",'B.kriteria &amp; R.kecocokan'!$C$43)</f>
        <v>2.5</v>
      </c>
      <c r="J14" s="9" t="str">
        <f>'B.kriteria &amp; R.kecocokan'!$B$72</f>
        <v>Rendah</v>
      </c>
      <c r="K14" s="9">
        <f>_xlfn.IFS(J14="Rendah",'B.kriteria &amp; R.kecocokan'!$C$72,J14="Sedang",'B.kriteria &amp; R.kecocokan'!$C$73,J14="Tinggi",'B.kriteria &amp; R.kecocokan'!$C$74)</f>
        <v>2.5</v>
      </c>
      <c r="L14" s="9" t="str">
        <f>'B.kriteria &amp; R.kecocokan'!$B$95</f>
        <v>Rendah</v>
      </c>
      <c r="M14" s="9">
        <f>_xlfn.IFS(L14="Rendah",'B.kriteria &amp; R.kecocokan'!$C$95,L14="Tinggi",'B.kriteria &amp; R.kecocokan'!$C$96)</f>
        <v>2.5</v>
      </c>
      <c r="N14" s="9" t="str">
        <f>'B.kriteria &amp; R.kecocokan'!$B$80</f>
        <v>Rendah</v>
      </c>
      <c r="O14" s="9">
        <f>_xlfn.IFS(N14="Rendah",'B.kriteria &amp; R.kecocokan'!$C$80,N14="Tinggi",'B.kriteria &amp; R.kecocokan'!$C$81)</f>
        <v>2.5</v>
      </c>
      <c r="P14" s="9" t="str">
        <f>'B.kriteria &amp; R.kecocokan'!$B$88</f>
        <v>Sedang</v>
      </c>
      <c r="Q14" s="9">
        <f>_xlfn.IFS(P14="Sedikit",'B.kriteria &amp; R.kecocokan'!$C$89,P14="Sedang",'B.kriteria &amp; R.kecocokan'!$C$88,P14="Sangat Sedikit",'B.kriteria &amp; R.kecocokan'!$C$90)</f>
        <v>5</v>
      </c>
      <c r="R14" s="9" t="str">
        <f>'B.kriteria &amp; R.kecocokan'!$B$49</f>
        <v>Rendah</v>
      </c>
      <c r="S14" s="9">
        <f>_xlfn.IFS(R14="Rendah",'B.kriteria &amp; R.kecocokan'!$C$49,R14="Sedang",'B.kriteria &amp; R.kecocokan'!$C$50,R14="Tinggi",'B.kriteria &amp; R.kecocokan'!$C$51)</f>
        <v>2.5</v>
      </c>
      <c r="T14" s="9" t="str">
        <f>'B.kriteria &amp; R.kecocokan'!$B$57</f>
        <v>Rendah</v>
      </c>
      <c r="U14" s="9">
        <f>_xlfn.IFS(T14="Rendah",'B.kriteria &amp; R.kecocokan'!$C$57,T14="Sedang",'B.kriteria &amp; R.kecocokan'!$C$58,T14="Tinggi",'B.kriteria &amp; R.kecocokan'!$C$59)</f>
        <v>2.5</v>
      </c>
      <c r="V14" s="9" t="str">
        <f>'B.kriteria &amp; R.kecocokan'!$B$65</f>
        <v>Rendah</v>
      </c>
      <c r="W14" s="9">
        <f>_xlfn.IFS(V14="Rendah",'B.kriteria &amp; R.kecocokan'!$C$65,V14="Sedang",'B.kriteria &amp; R.kecocokan'!$C$66,V14="Tinggi",'B.kriteria &amp; R.kecocokan'!$C$67)</f>
        <v>1</v>
      </c>
      <c r="X14" s="117">
        <f t="shared" si="4"/>
        <v>7.3143694191638966</v>
      </c>
      <c r="Y14" s="117">
        <f t="shared" si="5"/>
        <v>2.5</v>
      </c>
      <c r="Z14" s="117">
        <f t="shared" si="2"/>
        <v>2.5</v>
      </c>
      <c r="AA14" s="9" t="str">
        <f t="shared" si="3"/>
        <v>Tidak Layak</v>
      </c>
      <c r="AD14" s="2">
        <v>91</v>
      </c>
      <c r="AE14" s="2" t="s">
        <v>140</v>
      </c>
      <c r="AF14" s="11" t="s">
        <v>95</v>
      </c>
      <c r="AG14" s="28" t="str">
        <f>'B.kriteria &amp; R.kecocokan'!$B$25</f>
        <v>Sedikit</v>
      </c>
      <c r="AH14" s="9" t="str">
        <f>'B.kriteria &amp; R.kecocokan'!$B$34</f>
        <v>Tinggi</v>
      </c>
      <c r="AI14" s="9" t="str">
        <f>'B.kriteria &amp; R.kecocokan'!$B$41</f>
        <v>Rendah</v>
      </c>
      <c r="AJ14" s="9" t="str">
        <f>'B.kriteria &amp; R.kecocokan'!$B$72</f>
        <v>Rendah</v>
      </c>
      <c r="AK14" s="9" t="str">
        <f>'B.kriteria &amp; R.kecocokan'!$B$95</f>
        <v>Rendah</v>
      </c>
      <c r="AL14" s="9" t="str">
        <f>'B.kriteria &amp; R.kecocokan'!$B$81</f>
        <v>Tinggi</v>
      </c>
      <c r="AM14" s="9" t="str">
        <f>'B.kriteria &amp; R.kecocokan'!$B$90</f>
        <v>Sangat Sedikit</v>
      </c>
      <c r="AN14" s="9" t="str">
        <f>'B.kriteria &amp; R.kecocokan'!$B$49</f>
        <v>Rendah</v>
      </c>
      <c r="AO14" s="9" t="str">
        <f>'B.kriteria &amp; R.kecocokan'!$B$58</f>
        <v>Sedang</v>
      </c>
      <c r="AP14" s="9" t="str">
        <f>'B.kriteria &amp; R.kecocokan'!$B$65</f>
        <v>Rendah</v>
      </c>
      <c r="AQ14" s="9" t="s">
        <v>349</v>
      </c>
      <c r="AR14" s="2" t="str">
        <f t="shared" si="6"/>
        <v>Layak</v>
      </c>
    </row>
    <row r="15" spans="1:44" x14ac:dyDescent="0.35">
      <c r="A15" s="88">
        <v>24</v>
      </c>
      <c r="B15" s="88" t="s">
        <v>62</v>
      </c>
      <c r="C15" s="123" t="s">
        <v>13</v>
      </c>
      <c r="D15" s="174" t="str">
        <f>'B.kriteria &amp; R.kecocokan'!$B$24</f>
        <v>Cukup</v>
      </c>
      <c r="E15" s="175">
        <f>_xlfn.IFS(D15="Banyak",'B.kriteria &amp; R.kecocokan'!$C$23,D15="Cukup",'B.kriteria &amp; R.kecocokan'!$C$24,D15="Sedikit",'B.kriteria &amp; R.kecocokan'!$C$25)</f>
        <v>5</v>
      </c>
      <c r="F15" s="126" t="str">
        <f>'B.kriteria &amp; R.kecocokan'!$B$35</f>
        <v>Sangat Tinggi</v>
      </c>
      <c r="G15" s="126">
        <f>_xlfn.IFS(F15="Tinggi",'B.kriteria &amp; R.kecocokan'!$C$34,F15="Sangat Tinggi",'B.kriteria &amp; R.kecocokan'!$C$35)</f>
        <v>10</v>
      </c>
      <c r="H15" s="126" t="str">
        <f>'B.kriteria &amp; R.kecocokan'!$B$41</f>
        <v>Rendah</v>
      </c>
      <c r="I15" s="126">
        <f>_xlfn.IFS(H15="Rendah",'B.kriteria &amp; R.kecocokan'!$C$41,H15="Sedang",'B.kriteria &amp; R.kecocokan'!$C$42,H15="Tinggi",'B.kriteria &amp; R.kecocokan'!$C$43)</f>
        <v>2.5</v>
      </c>
      <c r="J15" s="126" t="str">
        <f>'B.kriteria &amp; R.kecocokan'!$B$72</f>
        <v>Rendah</v>
      </c>
      <c r="K15" s="126">
        <f>_xlfn.IFS(J15="Rendah",'B.kriteria &amp; R.kecocokan'!$C$72,J15="Sedang",'B.kriteria &amp; R.kecocokan'!$C$73,J15="Tinggi",'B.kriteria &amp; R.kecocokan'!$C$74)</f>
        <v>2.5</v>
      </c>
      <c r="L15" s="126" t="str">
        <f>'B.kriteria &amp; R.kecocokan'!$B$95</f>
        <v>Rendah</v>
      </c>
      <c r="M15" s="126">
        <f>_xlfn.IFS(L15="Rendah",'B.kriteria &amp; R.kecocokan'!$C$95,L15="Tinggi",'B.kriteria &amp; R.kecocokan'!$C$96)</f>
        <v>2.5</v>
      </c>
      <c r="N15" s="126" t="str">
        <f>'B.kriteria &amp; R.kecocokan'!$B$80</f>
        <v>Rendah</v>
      </c>
      <c r="O15" s="126">
        <f>_xlfn.IFS(N15="Rendah",'B.kriteria &amp; R.kecocokan'!$C$80,N15="Tinggi",'B.kriteria &amp; R.kecocokan'!$C$81)</f>
        <v>2.5</v>
      </c>
      <c r="P15" s="126" t="str">
        <f>'B.kriteria &amp; R.kecocokan'!$B$88</f>
        <v>Sedang</v>
      </c>
      <c r="Q15" s="126">
        <f>_xlfn.IFS(P15="Sedikit",'B.kriteria &amp; R.kecocokan'!$C$89,P15="Sedang",'B.kriteria &amp; R.kecocokan'!$C$88,P15="Sangat Sedikit",'B.kriteria &amp; R.kecocokan'!$C$90)</f>
        <v>5</v>
      </c>
      <c r="R15" s="126" t="str">
        <f>'B.kriteria &amp; R.kecocokan'!$B$49</f>
        <v>Rendah</v>
      </c>
      <c r="S15" s="126">
        <f>_xlfn.IFS(R15="Rendah",'B.kriteria &amp; R.kecocokan'!$C$49,R15="Sedang",'B.kriteria &amp; R.kecocokan'!$C$50,R15="Tinggi",'B.kriteria &amp; R.kecocokan'!$C$51)</f>
        <v>2.5</v>
      </c>
      <c r="T15" s="126" t="str">
        <f>'B.kriteria &amp; R.kecocokan'!$B$57</f>
        <v>Rendah</v>
      </c>
      <c r="U15" s="126">
        <f>_xlfn.IFS(T15="Rendah",'B.kriteria &amp; R.kecocokan'!$C$57,T15="Sedang",'B.kriteria &amp; R.kecocokan'!$C$58,T15="Tinggi",'B.kriteria &amp; R.kecocokan'!$C$59)</f>
        <v>2.5</v>
      </c>
      <c r="V15" s="126" t="str">
        <f>'B.kriteria &amp; R.kecocokan'!$B$65</f>
        <v>Rendah</v>
      </c>
      <c r="W15" s="126">
        <f>_xlfn.IFS(V15="Rendah",'B.kriteria &amp; R.kecocokan'!$C$65,V15="Sedang",'B.kriteria &amp; R.kecocokan'!$C$66,V15="Tinggi",'B.kriteria &amp; R.kecocokan'!$C$67)</f>
        <v>1</v>
      </c>
      <c r="X15" s="117">
        <f t="shared" si="4"/>
        <v>7.7298124168701534</v>
      </c>
      <c r="Y15" s="117">
        <f t="shared" si="5"/>
        <v>3.5355339059327378</v>
      </c>
      <c r="Z15" s="129">
        <f t="shared" si="2"/>
        <v>3.5355339059327378</v>
      </c>
      <c r="AA15" s="126" t="str">
        <f t="shared" si="3"/>
        <v>Tidak Layak</v>
      </c>
      <c r="AD15" s="2">
        <v>92</v>
      </c>
      <c r="AE15" s="2" t="s">
        <v>251</v>
      </c>
      <c r="AF15" s="11" t="s">
        <v>95</v>
      </c>
      <c r="AG15" s="28" t="str">
        <f>'B.kriteria &amp; R.kecocokan'!$B$25</f>
        <v>Sedikit</v>
      </c>
      <c r="AH15" s="9" t="str">
        <f>'B.kriteria &amp; R.kecocokan'!$B$34</f>
        <v>Tinggi</v>
      </c>
      <c r="AI15" s="9" t="str">
        <f>'B.kriteria &amp; R.kecocokan'!$B$41</f>
        <v>Rendah</v>
      </c>
      <c r="AJ15" s="9" t="str">
        <f>'B.kriteria &amp; R.kecocokan'!$B$72</f>
        <v>Rendah</v>
      </c>
      <c r="AK15" s="9" t="str">
        <f>'B.kriteria &amp; R.kecocokan'!$B$95</f>
        <v>Rendah</v>
      </c>
      <c r="AL15" s="9" t="str">
        <f>'B.kriteria &amp; R.kecocokan'!$B$80</f>
        <v>Rendah</v>
      </c>
      <c r="AM15" s="9" t="str">
        <f>'B.kriteria &amp; R.kecocokan'!$B$88</f>
        <v>Sedang</v>
      </c>
      <c r="AN15" s="9" t="str">
        <f>'B.kriteria &amp; R.kecocokan'!$B$49</f>
        <v>Rendah</v>
      </c>
      <c r="AO15" s="9" t="str">
        <f>'B.kriteria &amp; R.kecocokan'!$B$58</f>
        <v>Sedang</v>
      </c>
      <c r="AP15" s="9" t="str">
        <f>'B.kriteria &amp; R.kecocokan'!$B$65</f>
        <v>Rendah</v>
      </c>
      <c r="AQ15" s="9" t="s">
        <v>349</v>
      </c>
      <c r="AR15" s="2" t="str">
        <f t="shared" si="6"/>
        <v>Layak</v>
      </c>
    </row>
    <row r="16" spans="1:44" x14ac:dyDescent="0.35">
      <c r="A16" s="2">
        <v>25</v>
      </c>
      <c r="B16" s="2" t="s">
        <v>64</v>
      </c>
      <c r="C16" s="11" t="s">
        <v>13</v>
      </c>
      <c r="D16" s="9" t="str">
        <f>'B.kriteria &amp; R.kecocokan'!$B$25</f>
        <v>Sedikit</v>
      </c>
      <c r="E16" s="173">
        <f>_xlfn.IFS(D16="Banyak",'B.kriteria &amp; R.kecocokan'!$C$23,D16="Cukup",'B.kriteria &amp; R.kecocokan'!$C$24,D16="Sedikit",'B.kriteria &amp; R.kecocokan'!$C$25)</f>
        <v>7.5</v>
      </c>
      <c r="F16" s="9" t="str">
        <f>'B.kriteria &amp; R.kecocokan'!$B$35</f>
        <v>Sangat Tinggi</v>
      </c>
      <c r="G16" s="9">
        <f>_xlfn.IFS(F16="Tinggi",'B.kriteria &amp; R.kecocokan'!$C$34,F16="Sangat Tinggi",'B.kriteria &amp; R.kecocokan'!$C$35)</f>
        <v>10</v>
      </c>
      <c r="H16" s="9" t="str">
        <f>'B.kriteria &amp; R.kecocokan'!$B$41</f>
        <v>Rendah</v>
      </c>
      <c r="I16" s="9">
        <f>_xlfn.IFS(H16="Rendah",'B.kriteria &amp; R.kecocokan'!$C$41,H16="Sedang",'B.kriteria &amp; R.kecocokan'!$C$42,H16="Tinggi",'B.kriteria &amp; R.kecocokan'!$C$43)</f>
        <v>2.5</v>
      </c>
      <c r="J16" s="9" t="str">
        <f>'B.kriteria &amp; R.kecocokan'!$B$72</f>
        <v>Rendah</v>
      </c>
      <c r="K16" s="9">
        <f>_xlfn.IFS(J16="Rendah",'B.kriteria &amp; R.kecocokan'!$C$72,J16="Sedang",'B.kriteria &amp; R.kecocokan'!$C$73,J16="Tinggi",'B.kriteria &amp; R.kecocokan'!$C$74)</f>
        <v>2.5</v>
      </c>
      <c r="L16" s="9" t="str">
        <f>'B.kriteria &amp; R.kecocokan'!$B$95</f>
        <v>Rendah</v>
      </c>
      <c r="M16" s="9">
        <f>_xlfn.IFS(L16="Rendah",'B.kriteria &amp; R.kecocokan'!$C$95,L16="Tinggi",'B.kriteria &amp; R.kecocokan'!$C$96)</f>
        <v>2.5</v>
      </c>
      <c r="N16" s="9" t="str">
        <f>'B.kriteria &amp; R.kecocokan'!$B$81</f>
        <v>Tinggi</v>
      </c>
      <c r="O16" s="9">
        <f>_xlfn.IFS(N16="Rendah",'B.kriteria &amp; R.kecocokan'!$C$80,N16="Tinggi",'B.kriteria &amp; R.kecocokan'!$C$81)</f>
        <v>7.5</v>
      </c>
      <c r="P16" s="9" t="str">
        <f>'B.kriteria &amp; R.kecocokan'!$B$90</f>
        <v>Sangat Sedikit</v>
      </c>
      <c r="Q16" s="9">
        <f>_xlfn.IFS(P16="Sedikit",'B.kriteria &amp; R.kecocokan'!$C$89,P16="Sedang",'B.kriteria &amp; R.kecocokan'!$C$88,P16="Sangat Sedikit",'B.kriteria &amp; R.kecocokan'!$C$90)</f>
        <v>1</v>
      </c>
      <c r="R16" s="9" t="str">
        <f>'B.kriteria &amp; R.kecocokan'!$B$49</f>
        <v>Rendah</v>
      </c>
      <c r="S16" s="9">
        <f>_xlfn.IFS(R16="Rendah",'B.kriteria &amp; R.kecocokan'!$C$49,R16="Sedang",'B.kriteria &amp; R.kecocokan'!$C$50,R16="Tinggi",'B.kriteria &amp; R.kecocokan'!$C$51)</f>
        <v>2.5</v>
      </c>
      <c r="T16" s="9" t="str">
        <f>'B.kriteria &amp; R.kecocokan'!$B$58</f>
        <v>Sedang</v>
      </c>
      <c r="U16" s="9">
        <f>_xlfn.IFS(T16="Rendah",'B.kriteria &amp; R.kecocokan'!$C$57,T16="Sedang",'B.kriteria &amp; R.kecocokan'!$C$58,T16="Tinggi",'B.kriteria &amp; R.kecocokan'!$C$59)</f>
        <v>5</v>
      </c>
      <c r="V16" s="9" t="str">
        <f>'B.kriteria &amp; R.kecocokan'!$B$65</f>
        <v>Rendah</v>
      </c>
      <c r="W16" s="9">
        <f>_xlfn.IFS(V16="Rendah",'B.kriteria &amp; R.kecocokan'!$C$65,V16="Sedang",'B.kriteria &amp; R.kecocokan'!$C$66,V16="Tinggi",'B.kriteria &amp; R.kecocokan'!$C$67)</f>
        <v>1</v>
      </c>
      <c r="X16" s="117">
        <f t="shared" si="4"/>
        <v>2.5</v>
      </c>
      <c r="Y16" s="117">
        <f t="shared" si="5"/>
        <v>8.8600225733346747</v>
      </c>
      <c r="Z16" s="117">
        <f t="shared" si="2"/>
        <v>2.5</v>
      </c>
      <c r="AA16" s="9" t="str">
        <f t="shared" si="3"/>
        <v>Layak</v>
      </c>
      <c r="AD16" s="2">
        <v>93</v>
      </c>
      <c r="AE16" s="2" t="s">
        <v>252</v>
      </c>
      <c r="AF16" s="11" t="s">
        <v>95</v>
      </c>
      <c r="AG16" s="9" t="str">
        <f>'B.kriteria &amp; R.kecocokan'!$B$23</f>
        <v>Banyak</v>
      </c>
      <c r="AH16" s="9" t="str">
        <f>'B.kriteria &amp; R.kecocokan'!$B$34</f>
        <v>Tinggi</v>
      </c>
      <c r="AI16" s="9" t="str">
        <f>'B.kriteria &amp; R.kecocokan'!$B$41</f>
        <v>Rendah</v>
      </c>
      <c r="AJ16" s="9" t="str">
        <f>'B.kriteria &amp; R.kecocokan'!$B$72</f>
        <v>Rendah</v>
      </c>
      <c r="AK16" s="9" t="str">
        <f>'B.kriteria &amp; R.kecocokan'!$B$95</f>
        <v>Rendah</v>
      </c>
      <c r="AL16" s="9" t="str">
        <f>'B.kriteria &amp; R.kecocokan'!$B$80</f>
        <v>Rendah</v>
      </c>
      <c r="AM16" s="9" t="str">
        <f>'B.kriteria &amp; R.kecocokan'!$B$88</f>
        <v>Sedang</v>
      </c>
      <c r="AN16" s="9" t="str">
        <f>'B.kriteria &amp; R.kecocokan'!$B$49</f>
        <v>Rendah</v>
      </c>
      <c r="AO16" s="9" t="str">
        <f>'B.kriteria &amp; R.kecocokan'!$B$57</f>
        <v>Rendah</v>
      </c>
      <c r="AP16" s="9" t="str">
        <f>'B.kriteria &amp; R.kecocokan'!$B$65</f>
        <v>Rendah</v>
      </c>
      <c r="AQ16" s="9" t="s">
        <v>358</v>
      </c>
      <c r="AR16" s="2" t="str">
        <f>_xlfn.IFS(AO16="Rendah","Tidak Layak",AO16="Tinggi","Layak",AO16="sedang",IF(OR(AM16="Sedang",AM16="Sangat Sedikit"),"Layak",IF(AH16="Sangat Tinggi","Layak"," Tidak Layak")))</f>
        <v>Tidak Layak</v>
      </c>
    </row>
    <row r="17" spans="1:28" x14ac:dyDescent="0.35">
      <c r="A17" s="41"/>
      <c r="B17" s="41"/>
      <c r="C17" s="168"/>
      <c r="D17" s="170"/>
      <c r="E17" s="169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1"/>
      <c r="Y17" s="171"/>
      <c r="Z17" s="171"/>
      <c r="AA17" s="170"/>
    </row>
    <row r="18" spans="1:28" x14ac:dyDescent="0.35">
      <c r="A18" s="178" t="s">
        <v>425</v>
      </c>
      <c r="B18" s="179"/>
      <c r="AA18" s="182">
        <f>COUNTIFS(AA7:AA16,AA12)</f>
        <v>4</v>
      </c>
    </row>
    <row r="19" spans="1:28" x14ac:dyDescent="0.35">
      <c r="A19" s="178" t="s">
        <v>404</v>
      </c>
      <c r="B19" s="179"/>
      <c r="C19" s="181"/>
      <c r="D19" s="181"/>
      <c r="E19" s="181">
        <f>(SUMIF($AA$7:$AA$16,$AA$12,E7:E16))/$AA$18</f>
        <v>6.875</v>
      </c>
      <c r="F19" s="181">
        <f t="shared" ref="F19:W19" si="7">(SUMIF($AA$7:$AA$16,$AA$12,F7:F16))/$AA$18</f>
        <v>0</v>
      </c>
      <c r="G19" s="181">
        <f t="shared" si="7"/>
        <v>8.75</v>
      </c>
      <c r="H19" s="181">
        <f t="shared" si="7"/>
        <v>0</v>
      </c>
      <c r="I19" s="181">
        <f t="shared" si="7"/>
        <v>2.5</v>
      </c>
      <c r="J19" s="181">
        <f t="shared" si="7"/>
        <v>0</v>
      </c>
      <c r="K19" s="181">
        <f t="shared" si="7"/>
        <v>2.5</v>
      </c>
      <c r="L19" s="181">
        <f t="shared" si="7"/>
        <v>0</v>
      </c>
      <c r="M19" s="181">
        <f t="shared" si="7"/>
        <v>2.5</v>
      </c>
      <c r="N19" s="181">
        <f t="shared" si="7"/>
        <v>0</v>
      </c>
      <c r="O19" s="181">
        <f t="shared" si="7"/>
        <v>7.5</v>
      </c>
      <c r="P19" s="181">
        <f t="shared" si="7"/>
        <v>0</v>
      </c>
      <c r="Q19" s="181">
        <f t="shared" si="7"/>
        <v>1</v>
      </c>
      <c r="R19" s="181">
        <f t="shared" si="7"/>
        <v>0</v>
      </c>
      <c r="S19" s="181">
        <f t="shared" si="7"/>
        <v>2.5</v>
      </c>
      <c r="T19" s="181">
        <f t="shared" si="7"/>
        <v>0</v>
      </c>
      <c r="U19" s="181">
        <f t="shared" si="7"/>
        <v>4.375</v>
      </c>
      <c r="V19" s="181">
        <f t="shared" si="7"/>
        <v>0</v>
      </c>
      <c r="W19" s="181">
        <f t="shared" si="7"/>
        <v>1</v>
      </c>
      <c r="AA19">
        <f>COUNTIF(AA7:AA16,AA13)</f>
        <v>6</v>
      </c>
    </row>
    <row r="20" spans="1:28" x14ac:dyDescent="0.35">
      <c r="A20" s="178" t="s">
        <v>405</v>
      </c>
      <c r="B20" s="179"/>
      <c r="C20" s="181"/>
      <c r="D20" s="181"/>
      <c r="E20" s="181">
        <f>(SUMIF($AA$7:$AA$16,$AA$14,E7:E16))/$AA$19</f>
        <v>4.583333333333333</v>
      </c>
      <c r="F20" s="181">
        <f t="shared" ref="F20:W20" si="8">(SUMIF($AA$7:$AA$16,$AA$14,F7:F16))/$AA$19</f>
        <v>0</v>
      </c>
      <c r="G20" s="181">
        <f t="shared" si="8"/>
        <v>8.75</v>
      </c>
      <c r="H20" s="181">
        <f t="shared" si="8"/>
        <v>0</v>
      </c>
      <c r="I20" s="181">
        <f t="shared" si="8"/>
        <v>2.5</v>
      </c>
      <c r="J20" s="181">
        <f t="shared" si="8"/>
        <v>0</v>
      </c>
      <c r="K20" s="181">
        <f t="shared" si="8"/>
        <v>2.5</v>
      </c>
      <c r="L20" s="181">
        <f t="shared" si="8"/>
        <v>0</v>
      </c>
      <c r="M20" s="181">
        <f t="shared" si="8"/>
        <v>2.5</v>
      </c>
      <c r="N20" s="181">
        <f t="shared" si="8"/>
        <v>0</v>
      </c>
      <c r="O20" s="181">
        <f t="shared" si="8"/>
        <v>2.5</v>
      </c>
      <c r="P20" s="181">
        <f t="shared" si="8"/>
        <v>0</v>
      </c>
      <c r="Q20" s="181">
        <f t="shared" si="8"/>
        <v>4.583333333333333</v>
      </c>
      <c r="R20" s="181">
        <f t="shared" si="8"/>
        <v>0</v>
      </c>
      <c r="S20" s="181">
        <f t="shared" si="8"/>
        <v>3.75</v>
      </c>
      <c r="T20" s="181">
        <f t="shared" si="8"/>
        <v>0</v>
      </c>
      <c r="U20" s="181">
        <f t="shared" si="8"/>
        <v>3.75</v>
      </c>
      <c r="V20" s="181">
        <f t="shared" si="8"/>
        <v>0</v>
      </c>
      <c r="W20" s="181">
        <f t="shared" si="8"/>
        <v>1</v>
      </c>
    </row>
    <row r="22" spans="1:28" ht="61" customHeight="1" x14ac:dyDescent="0.35">
      <c r="A22" s="172" t="s">
        <v>0</v>
      </c>
      <c r="B22" s="150" t="s">
        <v>2</v>
      </c>
      <c r="C22" s="172" t="s">
        <v>3</v>
      </c>
      <c r="D22" s="172" t="s">
        <v>4</v>
      </c>
      <c r="E22" s="176" t="str">
        <f>$D$6</f>
        <v xml:space="preserve">Penghasilan </v>
      </c>
      <c r="F22" s="150" t="s">
        <v>5</v>
      </c>
      <c r="G22" s="150" t="str">
        <f>$F$6</f>
        <v>Luas Rumah</v>
      </c>
      <c r="H22" s="150" t="s">
        <v>6</v>
      </c>
      <c r="I22" s="150" t="str">
        <f>$H$6</f>
        <v xml:space="preserve">Status Kepemilikan Rumah </v>
      </c>
      <c r="J22" s="150" t="s">
        <v>21</v>
      </c>
      <c r="K22" s="150" t="str">
        <f>$J$6</f>
        <v>Sumber Air</v>
      </c>
      <c r="L22" s="150" t="s">
        <v>7</v>
      </c>
      <c r="M22" s="150" t="str">
        <f>$L$6</f>
        <v>ibu Hamil / menyusui</v>
      </c>
      <c r="N22" s="150" t="s">
        <v>8</v>
      </c>
      <c r="O22" s="150" t="str">
        <f>$N$6</f>
        <v>lansia</v>
      </c>
      <c r="P22" s="150" t="s">
        <v>25</v>
      </c>
      <c r="Q22" s="150" t="str">
        <f>$P$6</f>
        <v>jumlah tanggungan (Anak)</v>
      </c>
      <c r="R22" s="150" t="s">
        <v>9</v>
      </c>
      <c r="S22" s="150" t="str">
        <f>$R$6</f>
        <v>jenis dinding</v>
      </c>
      <c r="T22" s="150" t="s">
        <v>10</v>
      </c>
      <c r="U22" s="150" t="str">
        <f>$T$6</f>
        <v xml:space="preserve">jenis lantai </v>
      </c>
      <c r="V22" s="150" t="s">
        <v>11</v>
      </c>
      <c r="W22" s="150" t="str">
        <f>$V$6</f>
        <v>jenis atap</v>
      </c>
      <c r="X22" s="150" t="s">
        <v>400</v>
      </c>
      <c r="Y22" s="150" t="s">
        <v>401</v>
      </c>
      <c r="Z22" s="150" t="s">
        <v>402</v>
      </c>
      <c r="AA22" s="150" t="s">
        <v>403</v>
      </c>
      <c r="AB22" s="150" t="s">
        <v>426</v>
      </c>
    </row>
    <row r="23" spans="1:28" x14ac:dyDescent="0.35">
      <c r="A23" s="2">
        <v>16</v>
      </c>
      <c r="B23" s="2" t="s">
        <v>49</v>
      </c>
      <c r="C23" s="11" t="s">
        <v>13</v>
      </c>
      <c r="D23" s="28" t="str">
        <f>'B.kriteria &amp; R.kecocokan'!$B$24</f>
        <v>Cukup</v>
      </c>
      <c r="E23" s="173">
        <f>_xlfn.IFS(D23="Banyak",'B.kriteria &amp; R.kecocokan'!$C$23,D23="Cukup",'B.kriteria &amp; R.kecocokan'!$C$24,D23="Sedikit",'B.kriteria &amp; R.kecocokan'!$C$25)</f>
        <v>5</v>
      </c>
      <c r="F23" s="9" t="str">
        <f>'B.kriteria &amp; R.kecocokan'!$B$34</f>
        <v>Tinggi</v>
      </c>
      <c r="G23" s="9">
        <f>_xlfn.IFS(F23="Tinggi",'B.kriteria &amp; R.kecocokan'!$C$34,F23="Sangat Tinggi",'B.kriteria &amp; R.kecocokan'!$C$35)</f>
        <v>7.5</v>
      </c>
      <c r="H23" s="9" t="str">
        <f>'B.kriteria &amp; R.kecocokan'!$B$41</f>
        <v>Rendah</v>
      </c>
      <c r="I23" s="9">
        <f>_xlfn.IFS(H23="Rendah",'B.kriteria &amp; R.kecocokan'!$C$41,H23="Sedang",'B.kriteria &amp; R.kecocokan'!$C$42,H23="Tinggi",'B.kriteria &amp; R.kecocokan'!$C$43)</f>
        <v>2.5</v>
      </c>
      <c r="J23" s="9" t="str">
        <f>'B.kriteria &amp; R.kecocokan'!$B$72</f>
        <v>Rendah</v>
      </c>
      <c r="K23" s="9">
        <f>_xlfn.IFS(J23="Rendah",'B.kriteria &amp; R.kecocokan'!$C$72,J23="Sedang",'B.kriteria &amp; R.kecocokan'!$C$73,J23="Tinggi",'B.kriteria &amp; R.kecocokan'!$C$74)</f>
        <v>2.5</v>
      </c>
      <c r="L23" s="9" t="str">
        <f>'B.kriteria &amp; R.kecocokan'!$B$95</f>
        <v>Rendah</v>
      </c>
      <c r="M23" s="9">
        <f>_xlfn.IFS(L23="Rendah",'B.kriteria &amp; R.kecocokan'!$C$95,L23="Tinggi",'B.kriteria &amp; R.kecocokan'!$C$96)</f>
        <v>2.5</v>
      </c>
      <c r="N23" s="9" t="str">
        <f>'B.kriteria &amp; R.kecocokan'!$B$81</f>
        <v>Tinggi</v>
      </c>
      <c r="O23" s="9">
        <f>_xlfn.IFS(N23="Rendah",'B.kriteria &amp; R.kecocokan'!$C$80,N23="Tinggi",'B.kriteria &amp; R.kecocokan'!$C$81)</f>
        <v>7.5</v>
      </c>
      <c r="P23" s="9" t="str">
        <f>'B.kriteria &amp; R.kecocokan'!$B$90</f>
        <v>Sangat Sedikit</v>
      </c>
      <c r="Q23" s="9">
        <f>_xlfn.IFS(P23="Sedikit",'B.kriteria &amp; R.kecocokan'!$C$89,P23="Sedang",'B.kriteria &amp; R.kecocokan'!$C$88,P23="Sangat Sedikit",'B.kriteria &amp; R.kecocokan'!$C$90)</f>
        <v>1</v>
      </c>
      <c r="R23" s="9" t="str">
        <f>'B.kriteria &amp; R.kecocokan'!$B$49</f>
        <v>Rendah</v>
      </c>
      <c r="S23" s="9">
        <f>_xlfn.IFS(R23="Rendah",'B.kriteria &amp; R.kecocokan'!$C$49,R23="Sedang",'B.kriteria &amp; R.kecocokan'!$C$50,R23="Tinggi",'B.kriteria &amp; R.kecocokan'!$C$51)</f>
        <v>2.5</v>
      </c>
      <c r="T23" s="9" t="str">
        <f>'B.kriteria &amp; R.kecocokan'!$B$57</f>
        <v>Rendah</v>
      </c>
      <c r="U23" s="9">
        <f>_xlfn.IFS(T23="Rendah",'B.kriteria &amp; R.kecocokan'!$C$57,T23="Sedang",'B.kriteria &amp; R.kecocokan'!$C$58,T23="Tinggi",'B.kriteria &amp; R.kecocokan'!$C$59)</f>
        <v>2.5</v>
      </c>
      <c r="V23" s="9" t="str">
        <f>'B.kriteria &amp; R.kecocokan'!$B$65</f>
        <v>Rendah</v>
      </c>
      <c r="W23" s="9">
        <f>_xlfn.IFS(V23="Rendah",'B.kriteria &amp; R.kecocokan'!$C$65,V23="Sedang",'B.kriteria &amp; R.kecocokan'!$C$66,V23="Tinggi",'B.kriteria &amp; R.kecocokan'!$C$67)</f>
        <v>1</v>
      </c>
      <c r="X23" s="117">
        <f>SQRT(((E23-$E$19)^2)+((G23-$G$19)^2)+((I23-$I$19)^2+((K23-$K$19)^2)+((M23-$M$19)^2)+((O23-$O$19)^2)+((Q23-$Q$19)^2)+((S23-$S$19)^2)+((U23-$U$19)^2)+((W23-$W$19)^2)))</f>
        <v>2.9315098498896437</v>
      </c>
      <c r="Y23" s="117">
        <f>SQRT(((E23-$E$20)^2)+((G23-$G$20)^2)+((I23-$I$20)^2)+((K23-$K$20)^2)+((M23-$M$20)^2+((O23-$O$20)^2)+((Q23-$Q$20)^2)+((S23-$S$20)^2)+((U23-$U$20)^2)+((W23-$W$20))))</f>
        <v>6.5346299733717812</v>
      </c>
      <c r="Z23" s="117">
        <f t="shared" ref="Z23:Z32" si="9">MIN(X23:Y23)</f>
        <v>2.9315098498896437</v>
      </c>
      <c r="AA23" s="9" t="str">
        <f t="shared" ref="AA23:AA32" si="10">IF(X23&lt;Y23,"Layak","Tidak Layak")</f>
        <v>Layak</v>
      </c>
      <c r="AB23" s="183" t="s">
        <v>358</v>
      </c>
    </row>
    <row r="24" spans="1:28" x14ac:dyDescent="0.35">
      <c r="A24" s="2">
        <v>17</v>
      </c>
      <c r="B24" s="2" t="s">
        <v>257</v>
      </c>
      <c r="C24" s="11" t="s">
        <v>13</v>
      </c>
      <c r="D24" s="28" t="str">
        <f>'B.kriteria &amp; R.kecocokan'!$B$24</f>
        <v>Cukup</v>
      </c>
      <c r="E24" s="173">
        <f>_xlfn.IFS(D24="Banyak",'B.kriteria &amp; R.kecocokan'!$C$23,D24="Cukup",'B.kriteria &amp; R.kecocokan'!$C$24,D24="Sedikit",'B.kriteria &amp; R.kecocokan'!$C$25)</f>
        <v>5</v>
      </c>
      <c r="F24" s="9" t="str">
        <f>'B.kriteria &amp; R.kecocokan'!$B$35</f>
        <v>Sangat Tinggi</v>
      </c>
      <c r="G24" s="9">
        <f>_xlfn.IFS(F24="Tinggi",'B.kriteria &amp; R.kecocokan'!$C$34,F24="Sangat Tinggi",'B.kriteria &amp; R.kecocokan'!$C$35)</f>
        <v>10</v>
      </c>
      <c r="H24" s="9" t="str">
        <f>'B.kriteria &amp; R.kecocokan'!$B$41</f>
        <v>Rendah</v>
      </c>
      <c r="I24" s="9">
        <f>_xlfn.IFS(H24="Rendah",'B.kriteria &amp; R.kecocokan'!$C$41,H24="Sedang",'B.kriteria &amp; R.kecocokan'!$C$42,H24="Tinggi",'B.kriteria &amp; R.kecocokan'!$C$43)</f>
        <v>2.5</v>
      </c>
      <c r="J24" s="9" t="str">
        <f>'B.kriteria &amp; R.kecocokan'!$B$72</f>
        <v>Rendah</v>
      </c>
      <c r="K24" s="9">
        <f>_xlfn.IFS(J24="Rendah",'B.kriteria &amp; R.kecocokan'!$C$72,J24="Sedang",'B.kriteria &amp; R.kecocokan'!$C$73,J24="Tinggi",'B.kriteria &amp; R.kecocokan'!$C$74)</f>
        <v>2.5</v>
      </c>
      <c r="L24" s="9" t="str">
        <f>'B.kriteria &amp; R.kecocokan'!$B$95</f>
        <v>Rendah</v>
      </c>
      <c r="M24" s="9">
        <f>_xlfn.IFS(L24="Rendah",'B.kriteria &amp; R.kecocokan'!$C$95,L24="Tinggi",'B.kriteria &amp; R.kecocokan'!$C$96)</f>
        <v>2.5</v>
      </c>
      <c r="N24" s="9" t="str">
        <f>'B.kriteria &amp; R.kecocokan'!$B$80</f>
        <v>Rendah</v>
      </c>
      <c r="O24" s="9">
        <f>_xlfn.IFS(N24="Rendah",'B.kriteria &amp; R.kecocokan'!$C$80,N24="Tinggi",'B.kriteria &amp; R.kecocokan'!$C$81)</f>
        <v>2.5</v>
      </c>
      <c r="P24" s="9" t="str">
        <f>'B.kriteria &amp; R.kecocokan'!$B$88</f>
        <v>Sedang</v>
      </c>
      <c r="Q24" s="9">
        <f>_xlfn.IFS(P24="Sedikit",'B.kriteria &amp; R.kecocokan'!$C$89,P24="Sedang",'B.kriteria &amp; R.kecocokan'!$C$88,P24="Sangat Sedikit",'B.kriteria &amp; R.kecocokan'!$C$90)</f>
        <v>5</v>
      </c>
      <c r="R24" s="9" t="str">
        <f>'B.kriteria &amp; R.kecocokan'!$B$51</f>
        <v>Tinggi</v>
      </c>
      <c r="S24" s="9">
        <f>_xlfn.IFS(R24="Rendah",'B.kriteria &amp; R.kecocokan'!$C$49,R24="Sedang",'B.kriteria &amp; R.kecocokan'!$C$50,R24="Tinggi",'B.kriteria &amp; R.kecocokan'!$C$51)</f>
        <v>7.5</v>
      </c>
      <c r="T24" s="9" t="str">
        <f>'B.kriteria &amp; R.kecocokan'!$B$58</f>
        <v>Sedang</v>
      </c>
      <c r="U24" s="9">
        <f>_xlfn.IFS(T24="Rendah",'B.kriteria &amp; R.kecocokan'!$C$57,T24="Sedang",'B.kriteria &amp; R.kecocokan'!$C$58,T24="Tinggi",'B.kriteria &amp; R.kecocokan'!$C$59)</f>
        <v>5</v>
      </c>
      <c r="V24" s="9" t="str">
        <f>'B.kriteria &amp; R.kecocokan'!$B$65</f>
        <v>Rendah</v>
      </c>
      <c r="W24" s="9">
        <f>_xlfn.IFS(V24="Rendah",'B.kriteria &amp; R.kecocokan'!$C$65,V24="Sedang",'B.kriteria &amp; R.kecocokan'!$C$66,V24="Tinggi",'B.kriteria &amp; R.kecocokan'!$C$67)</f>
        <v>1</v>
      </c>
      <c r="X24" s="117">
        <f t="shared" ref="X24:X31" si="11">SQRT(((E24-$E$19)^2)+((G24-$G$19)^2)+((I24-$I$19)^2+((K24-$K$19)^2)+((M24-$M$19)^2)+((O24-$O$19)^2)+((Q24-$Q$19)^2)+((S24-$S$19)^2)+((U24-$U$19)^2)+((W24-$W$19)^2)))</f>
        <v>8.4539192094554583</v>
      </c>
      <c r="Y24" s="117">
        <f t="shared" ref="Y24:Y32" si="12">SQRT(((E24-$E$20)^2)+((G24-$G$20)^2)+((I24-$I$20)^2)+((K24-$K$20)^2)+((M24-$M$20)^2+((O24-$O$20)^2)+((Q24-$Q$20)^2)+((S24-$S$20)^2)+((U24-$U$20)^2)+((W24-$W$20))))</f>
        <v>4.1874481754670372</v>
      </c>
      <c r="Z24" s="117">
        <f t="shared" si="9"/>
        <v>4.1874481754670372</v>
      </c>
      <c r="AA24" s="9" t="str">
        <f t="shared" si="10"/>
        <v>Tidak Layak</v>
      </c>
      <c r="AB24" s="184" t="s">
        <v>349</v>
      </c>
    </row>
    <row r="25" spans="1:28" x14ac:dyDescent="0.35">
      <c r="A25" s="2">
        <v>18</v>
      </c>
      <c r="B25" s="2" t="s">
        <v>52</v>
      </c>
      <c r="C25" s="11" t="s">
        <v>13</v>
      </c>
      <c r="D25" s="28" t="str">
        <f>'B.kriteria &amp; R.kecocokan'!$B$24</f>
        <v>Cukup</v>
      </c>
      <c r="E25" s="173">
        <f>_xlfn.IFS(D25="Banyak",'B.kriteria &amp; R.kecocokan'!$C$23,D25="Cukup",'B.kriteria &amp; R.kecocokan'!$C$24,D25="Sedikit",'B.kriteria &amp; R.kecocokan'!$C$25)</f>
        <v>5</v>
      </c>
      <c r="F25" s="9" t="str">
        <f>'B.kriteria &amp; R.kecocokan'!$B$35</f>
        <v>Sangat Tinggi</v>
      </c>
      <c r="G25" s="9">
        <f>_xlfn.IFS(F25="Tinggi",'B.kriteria &amp; R.kecocokan'!$C$34,F25="Sangat Tinggi",'B.kriteria &amp; R.kecocokan'!$C$35)</f>
        <v>10</v>
      </c>
      <c r="H25" s="9" t="str">
        <f>'B.kriteria &amp; R.kecocokan'!$B$41</f>
        <v>Rendah</v>
      </c>
      <c r="I25" s="9">
        <f>_xlfn.IFS(H25="Rendah",'B.kriteria &amp; R.kecocokan'!$C$41,H25="Sedang",'B.kriteria &amp; R.kecocokan'!$C$42,H25="Tinggi",'B.kriteria &amp; R.kecocokan'!$C$43)</f>
        <v>2.5</v>
      </c>
      <c r="J25" s="9" t="str">
        <f>'B.kriteria &amp; R.kecocokan'!$B$72</f>
        <v>Rendah</v>
      </c>
      <c r="K25" s="9">
        <f>_xlfn.IFS(J25="Rendah",'B.kriteria &amp; R.kecocokan'!$C$72,J25="Sedang",'B.kriteria &amp; R.kecocokan'!$C$73,J25="Tinggi",'B.kriteria &amp; R.kecocokan'!$C$74)</f>
        <v>2.5</v>
      </c>
      <c r="L25" s="9" t="str">
        <f>'B.kriteria &amp; R.kecocokan'!$B$95</f>
        <v>Rendah</v>
      </c>
      <c r="M25" s="9">
        <f>_xlfn.IFS(L25="Rendah",'B.kriteria &amp; R.kecocokan'!$C$95,L25="Tinggi",'B.kriteria &amp; R.kecocokan'!$C$96)</f>
        <v>2.5</v>
      </c>
      <c r="N25" s="9" t="str">
        <f>'B.kriteria &amp; R.kecocokan'!$B$80</f>
        <v>Rendah</v>
      </c>
      <c r="O25" s="9">
        <f>_xlfn.IFS(N25="Rendah",'B.kriteria &amp; R.kecocokan'!$C$80,N25="Tinggi",'B.kriteria &amp; R.kecocokan'!$C$81)</f>
        <v>2.5</v>
      </c>
      <c r="P25" s="9" t="str">
        <f>'B.kriteria &amp; R.kecocokan'!$B$88</f>
        <v>Sedang</v>
      </c>
      <c r="Q25" s="9">
        <f>_xlfn.IFS(P25="Sedikit",'B.kriteria &amp; R.kecocokan'!$C$89,P25="Sedang",'B.kriteria &amp; R.kecocokan'!$C$88,P25="Sangat Sedikit",'B.kriteria &amp; R.kecocokan'!$C$90)</f>
        <v>5</v>
      </c>
      <c r="R25" s="9" t="str">
        <f>'B.kriteria &amp; R.kecocokan'!$B$50</f>
        <v>Sedang</v>
      </c>
      <c r="S25" s="9">
        <f>_xlfn.IFS(R25="Rendah",'B.kriteria &amp; R.kecocokan'!$C$49,R25="Sedang",'B.kriteria &amp; R.kecocokan'!$C$50,R25="Tinggi",'B.kriteria &amp; R.kecocokan'!$C$51)</f>
        <v>5</v>
      </c>
      <c r="T25" s="9" t="str">
        <f>'B.kriteria &amp; R.kecocokan'!$B$58</f>
        <v>Sedang</v>
      </c>
      <c r="U25" s="9">
        <f>_xlfn.IFS(T25="Rendah",'B.kriteria &amp; R.kecocokan'!$C$57,T25="Sedang",'B.kriteria &amp; R.kecocokan'!$C$58,T25="Tinggi",'B.kriteria &amp; R.kecocokan'!$C$59)</f>
        <v>5</v>
      </c>
      <c r="V25" s="9" t="str">
        <f>'B.kriteria &amp; R.kecocokan'!$B$65</f>
        <v>Rendah</v>
      </c>
      <c r="W25" s="9">
        <f>_xlfn.IFS(V25="Rendah",'B.kriteria &amp; R.kecocokan'!$C$65,V25="Sedang",'B.kriteria &amp; R.kecocokan'!$C$66,V25="Tinggi",'B.kriteria &amp; R.kecocokan'!$C$67)</f>
        <v>1</v>
      </c>
      <c r="X25" s="117">
        <f t="shared" si="11"/>
        <v>7.2607678657288028</v>
      </c>
      <c r="Y25" s="117">
        <f t="shared" si="12"/>
        <v>2.2438186696393769</v>
      </c>
      <c r="Z25" s="117">
        <f t="shared" si="9"/>
        <v>2.2438186696393769</v>
      </c>
      <c r="AA25" s="9" t="str">
        <f t="shared" si="10"/>
        <v>Tidak Layak</v>
      </c>
      <c r="AB25" s="183" t="s">
        <v>350</v>
      </c>
    </row>
    <row r="26" spans="1:28" x14ac:dyDescent="0.35">
      <c r="A26" s="2">
        <v>19</v>
      </c>
      <c r="B26" s="2" t="s">
        <v>55</v>
      </c>
      <c r="C26" s="11" t="s">
        <v>13</v>
      </c>
      <c r="D26" s="9" t="str">
        <f>'B.kriteria &amp; R.kecocokan'!$B$25</f>
        <v>Sedikit</v>
      </c>
      <c r="E26" s="173">
        <f>_xlfn.IFS(D26="Banyak",'B.kriteria &amp; R.kecocokan'!$C$23,D26="Cukup",'B.kriteria &amp; R.kecocokan'!$C$24,D26="Sedikit",'B.kriteria &amp; R.kecocokan'!$C$25)</f>
        <v>7.5</v>
      </c>
      <c r="F26" s="9" t="str">
        <f>'B.kriteria &amp; R.kecocokan'!$B$34</f>
        <v>Tinggi</v>
      </c>
      <c r="G26" s="9">
        <f>_xlfn.IFS(F26="Tinggi",'B.kriteria &amp; R.kecocokan'!$C$34,F26="Sangat Tinggi",'B.kriteria &amp; R.kecocokan'!$C$35)</f>
        <v>7.5</v>
      </c>
      <c r="H26" s="9" t="str">
        <f>'B.kriteria &amp; R.kecocokan'!$B$41</f>
        <v>Rendah</v>
      </c>
      <c r="I26" s="9">
        <f>_xlfn.IFS(H26="Rendah",'B.kriteria &amp; R.kecocokan'!$C$41,H26="Sedang",'B.kriteria &amp; R.kecocokan'!$C$42,H26="Tinggi",'B.kriteria &amp; R.kecocokan'!$C$43)</f>
        <v>2.5</v>
      </c>
      <c r="J26" s="9" t="str">
        <f>'B.kriteria &amp; R.kecocokan'!$B$72</f>
        <v>Rendah</v>
      </c>
      <c r="K26" s="9">
        <f>_xlfn.IFS(J26="Rendah",'B.kriteria &amp; R.kecocokan'!$C$72,J26="Sedang",'B.kriteria &amp; R.kecocokan'!$C$73,J26="Tinggi",'B.kriteria &amp; R.kecocokan'!$C$74)</f>
        <v>2.5</v>
      </c>
      <c r="L26" s="9" t="str">
        <f>'B.kriteria &amp; R.kecocokan'!$B$95</f>
        <v>Rendah</v>
      </c>
      <c r="M26" s="9">
        <f>_xlfn.IFS(L26="Rendah",'B.kriteria &amp; R.kecocokan'!$C$95,L26="Tinggi",'B.kriteria &amp; R.kecocokan'!$C$96)</f>
        <v>2.5</v>
      </c>
      <c r="N26" s="9" t="str">
        <f>'B.kriteria &amp; R.kecocokan'!$B$81</f>
        <v>Tinggi</v>
      </c>
      <c r="O26" s="9">
        <f>_xlfn.IFS(N26="Rendah",'B.kriteria &amp; R.kecocokan'!$C$80,N26="Tinggi",'B.kriteria &amp; R.kecocokan'!$C$81)</f>
        <v>7.5</v>
      </c>
      <c r="P26" s="9" t="str">
        <f>'B.kriteria &amp; R.kecocokan'!$B$90</f>
        <v>Sangat Sedikit</v>
      </c>
      <c r="Q26" s="9">
        <f>_xlfn.IFS(P26="Sedikit",'B.kriteria &amp; R.kecocokan'!$C$89,P26="Sedang",'B.kriteria &amp; R.kecocokan'!$C$88,P26="Sangat Sedikit",'B.kriteria &amp; R.kecocokan'!$C$90)</f>
        <v>1</v>
      </c>
      <c r="R26" s="9" t="str">
        <f>'B.kriteria &amp; R.kecocokan'!$B$49</f>
        <v>Rendah</v>
      </c>
      <c r="S26" s="9">
        <f>_xlfn.IFS(R26="Rendah",'B.kriteria &amp; R.kecocokan'!$C$49,R26="Sedang",'B.kriteria &amp; R.kecocokan'!$C$50,R26="Tinggi",'B.kriteria &amp; R.kecocokan'!$C$51)</f>
        <v>2.5</v>
      </c>
      <c r="T26" s="9" t="str">
        <f>'B.kriteria &amp; R.kecocokan'!$B$58</f>
        <v>Sedang</v>
      </c>
      <c r="U26" s="9">
        <f>_xlfn.IFS(T26="Rendah",'B.kriteria &amp; R.kecocokan'!$C$57,T26="Sedang",'B.kriteria &amp; R.kecocokan'!$C$58,T26="Tinggi",'B.kriteria &amp; R.kecocokan'!$C$59)</f>
        <v>5</v>
      </c>
      <c r="V26" s="9" t="str">
        <f>'B.kriteria &amp; R.kecocokan'!$B$65</f>
        <v>Rendah</v>
      </c>
      <c r="W26" s="9">
        <f>_xlfn.IFS(V26="Rendah",'B.kriteria &amp; R.kecocokan'!$C$65,V26="Sedang",'B.kriteria &amp; R.kecocokan'!$C$66,V26="Tinggi",'B.kriteria &amp; R.kecocokan'!$C$67)</f>
        <v>1</v>
      </c>
      <c r="X26" s="117">
        <f t="shared" si="11"/>
        <v>1.5309310892394863</v>
      </c>
      <c r="Y26" s="117">
        <f t="shared" si="12"/>
        <v>7.1438590567159297</v>
      </c>
      <c r="Z26" s="117">
        <f t="shared" si="9"/>
        <v>1.5309310892394863</v>
      </c>
      <c r="AA26" s="9" t="str">
        <f t="shared" si="10"/>
        <v>Layak</v>
      </c>
      <c r="AB26" s="184" t="s">
        <v>349</v>
      </c>
    </row>
    <row r="27" spans="1:28" x14ac:dyDescent="0.35">
      <c r="A27" s="2">
        <v>20</v>
      </c>
      <c r="B27" s="2" t="s">
        <v>56</v>
      </c>
      <c r="C27" s="11" t="s">
        <v>13</v>
      </c>
      <c r="D27" s="28" t="str">
        <f>'B.kriteria &amp; R.kecocokan'!$B$24</f>
        <v>Cukup</v>
      </c>
      <c r="E27" s="173">
        <f>_xlfn.IFS(D27="Banyak",'B.kriteria &amp; R.kecocokan'!$C$23,D27="Cukup",'B.kriteria &amp; R.kecocokan'!$C$24,D27="Sedikit",'B.kriteria &amp; R.kecocokan'!$C$25)</f>
        <v>5</v>
      </c>
      <c r="F27" s="9" t="str">
        <f>'B.kriteria &amp; R.kecocokan'!$B$34</f>
        <v>Tinggi</v>
      </c>
      <c r="G27" s="9">
        <f>_xlfn.IFS(F27="Tinggi",'B.kriteria &amp; R.kecocokan'!$C$34,F27="Sangat Tinggi",'B.kriteria &amp; R.kecocokan'!$C$35)</f>
        <v>7.5</v>
      </c>
      <c r="H27" s="9" t="str">
        <f>'B.kriteria &amp; R.kecocokan'!$B$41</f>
        <v>Rendah</v>
      </c>
      <c r="I27" s="9">
        <f>_xlfn.IFS(H27="Rendah",'B.kriteria &amp; R.kecocokan'!$C$41,H27="Sedang",'B.kriteria &amp; R.kecocokan'!$C$42,H27="Tinggi",'B.kriteria &amp; R.kecocokan'!$C$43)</f>
        <v>2.5</v>
      </c>
      <c r="J27" s="9" t="str">
        <f>'B.kriteria &amp; R.kecocokan'!$B$72</f>
        <v>Rendah</v>
      </c>
      <c r="K27" s="9">
        <f>_xlfn.IFS(J27="Rendah",'B.kriteria &amp; R.kecocokan'!$C$72,J27="Sedang",'B.kriteria &amp; R.kecocokan'!$C$73,J27="Tinggi",'B.kriteria &amp; R.kecocokan'!$C$74)</f>
        <v>2.5</v>
      </c>
      <c r="L27" s="9" t="str">
        <f>'B.kriteria &amp; R.kecocokan'!$B$95</f>
        <v>Rendah</v>
      </c>
      <c r="M27" s="9">
        <f>_xlfn.IFS(L27="Rendah",'B.kriteria &amp; R.kecocokan'!$C$95,L27="Tinggi",'B.kriteria &amp; R.kecocokan'!$C$96)</f>
        <v>2.5</v>
      </c>
      <c r="N27" s="9" t="str">
        <f>'B.kriteria &amp; R.kecocokan'!$B$80</f>
        <v>Rendah</v>
      </c>
      <c r="O27" s="9">
        <f>_xlfn.IFS(N27="Rendah",'B.kriteria &amp; R.kecocokan'!$C$80,N27="Tinggi",'B.kriteria &amp; R.kecocokan'!$C$81)</f>
        <v>2.5</v>
      </c>
      <c r="P27" s="9" t="str">
        <f>'B.kriteria &amp; R.kecocokan'!$B$89</f>
        <v>Sedikit</v>
      </c>
      <c r="Q27" s="9">
        <f>_xlfn.IFS(P27="Sedikit",'B.kriteria &amp; R.kecocokan'!$C$89,P27="Sedang",'B.kriteria &amp; R.kecocokan'!$C$88,P27="Sangat Sedikit",'B.kriteria &amp; R.kecocokan'!$C$90)</f>
        <v>2.5</v>
      </c>
      <c r="R27" s="9" t="str">
        <f>'B.kriteria &amp; R.kecocokan'!$B$49</f>
        <v>Rendah</v>
      </c>
      <c r="S27" s="9">
        <f>_xlfn.IFS(R27="Rendah",'B.kriteria &amp; R.kecocokan'!$C$49,R27="Sedang",'B.kriteria &amp; R.kecocokan'!$C$50,R27="Tinggi",'B.kriteria &amp; R.kecocokan'!$C$51)</f>
        <v>2.5</v>
      </c>
      <c r="T27" s="9" t="str">
        <f>'B.kriteria &amp; R.kecocokan'!$B$58</f>
        <v>Sedang</v>
      </c>
      <c r="U27" s="9">
        <f>_xlfn.IFS(T27="Rendah",'B.kriteria &amp; R.kecocokan'!$C$57,T27="Sedang",'B.kriteria &amp; R.kecocokan'!$C$58,T27="Tinggi",'B.kriteria &amp; R.kecocokan'!$C$59)</f>
        <v>5</v>
      </c>
      <c r="V27" s="9" t="str">
        <f>'B.kriteria &amp; R.kecocokan'!$B$65</f>
        <v>Rendah</v>
      </c>
      <c r="W27" s="9">
        <f>_xlfn.IFS(V27="Rendah",'B.kriteria &amp; R.kecocokan'!$C$65,V27="Sedang",'B.kriteria &amp; R.kecocokan'!$C$66,V27="Tinggi",'B.kriteria &amp; R.kecocokan'!$C$67)</f>
        <v>1</v>
      </c>
      <c r="X27" s="117">
        <f t="shared" si="11"/>
        <v>5.7200305943237755</v>
      </c>
      <c r="Y27" s="117">
        <f t="shared" si="12"/>
        <v>3.033379120533549</v>
      </c>
      <c r="Z27" s="117">
        <f t="shared" si="9"/>
        <v>3.033379120533549</v>
      </c>
      <c r="AA27" s="9" t="str">
        <f t="shared" si="10"/>
        <v>Tidak Layak</v>
      </c>
      <c r="AB27" s="183" t="s">
        <v>358</v>
      </c>
    </row>
    <row r="28" spans="1:28" x14ac:dyDescent="0.35">
      <c r="A28" s="2">
        <v>21</v>
      </c>
      <c r="B28" s="2" t="s">
        <v>57</v>
      </c>
      <c r="C28" s="11" t="s">
        <v>13</v>
      </c>
      <c r="D28" s="9" t="str">
        <f>'B.kriteria &amp; R.kecocokan'!$B$25</f>
        <v>Sedikit</v>
      </c>
      <c r="E28" s="173">
        <f>_xlfn.IFS(D28="Banyak",'B.kriteria &amp; R.kecocokan'!$C$23,D28="Cukup",'B.kriteria &amp; R.kecocokan'!$C$24,D28="Sedikit",'B.kriteria &amp; R.kecocokan'!$C$25)</f>
        <v>7.5</v>
      </c>
      <c r="F28" s="9" t="str">
        <f>'B.kriteria &amp; R.kecocokan'!$B$35</f>
        <v>Sangat Tinggi</v>
      </c>
      <c r="G28" s="9">
        <f>_xlfn.IFS(F28="Tinggi",'B.kriteria &amp; R.kecocokan'!$C$34,F28="Sangat Tinggi",'B.kriteria &amp; R.kecocokan'!$C$35)</f>
        <v>10</v>
      </c>
      <c r="H28" s="9" t="str">
        <f>'B.kriteria &amp; R.kecocokan'!$B$41</f>
        <v>Rendah</v>
      </c>
      <c r="I28" s="9">
        <f>_xlfn.IFS(H28="Rendah",'B.kriteria &amp; R.kecocokan'!$C$41,H28="Sedang",'B.kriteria &amp; R.kecocokan'!$C$42,H28="Tinggi",'B.kriteria &amp; R.kecocokan'!$C$43)</f>
        <v>2.5</v>
      </c>
      <c r="J28" s="9" t="str">
        <f>'B.kriteria &amp; R.kecocokan'!$B$72</f>
        <v>Rendah</v>
      </c>
      <c r="K28" s="9">
        <f>_xlfn.IFS(J28="Rendah",'B.kriteria &amp; R.kecocokan'!$C$72,J28="Sedang",'B.kriteria &amp; R.kecocokan'!$C$73,J28="Tinggi",'B.kriteria &amp; R.kecocokan'!$C$74)</f>
        <v>2.5</v>
      </c>
      <c r="L28" s="9" t="str">
        <f>'B.kriteria &amp; R.kecocokan'!$B$95</f>
        <v>Rendah</v>
      </c>
      <c r="M28" s="9">
        <f>_xlfn.IFS(L28="Rendah",'B.kriteria &amp; R.kecocokan'!$C$95,L28="Tinggi",'B.kriteria &amp; R.kecocokan'!$C$96)</f>
        <v>2.5</v>
      </c>
      <c r="N28" s="9" t="str">
        <f>'B.kriteria &amp; R.kecocokan'!$B$81</f>
        <v>Tinggi</v>
      </c>
      <c r="O28" s="9">
        <f>_xlfn.IFS(N28="Rendah",'B.kriteria &amp; R.kecocokan'!$C$80,N28="Tinggi",'B.kriteria &amp; R.kecocokan'!$C$81)</f>
        <v>7.5</v>
      </c>
      <c r="P28" s="9" t="str">
        <f>'B.kriteria &amp; R.kecocokan'!$B$90</f>
        <v>Sangat Sedikit</v>
      </c>
      <c r="Q28" s="9">
        <f>_xlfn.IFS(P28="Sedikit",'B.kriteria &amp; R.kecocokan'!$C$89,P28="Sedang",'B.kriteria &amp; R.kecocokan'!$C$88,P28="Sangat Sedikit",'B.kriteria &amp; R.kecocokan'!$C$90)</f>
        <v>1</v>
      </c>
      <c r="R28" s="9" t="str">
        <f>'B.kriteria &amp; R.kecocokan'!$B$49</f>
        <v>Rendah</v>
      </c>
      <c r="S28" s="9">
        <f>_xlfn.IFS(R28="Rendah",'B.kriteria &amp; R.kecocokan'!$C$49,R28="Sedang",'B.kriteria &amp; R.kecocokan'!$C$50,R28="Tinggi",'B.kriteria &amp; R.kecocokan'!$C$51)</f>
        <v>2.5</v>
      </c>
      <c r="T28" s="9" t="str">
        <f>'B.kriteria &amp; R.kecocokan'!$B$58</f>
        <v>Sedang</v>
      </c>
      <c r="U28" s="9">
        <f>_xlfn.IFS(T28="Rendah",'B.kriteria &amp; R.kecocokan'!$C$57,T28="Sedang",'B.kriteria &amp; R.kecocokan'!$C$58,T28="Tinggi",'B.kriteria &amp; R.kecocokan'!$C$59)</f>
        <v>5</v>
      </c>
      <c r="V28" s="9" t="str">
        <f>'B.kriteria &amp; R.kecocokan'!$B$65</f>
        <v>Rendah</v>
      </c>
      <c r="W28" s="9">
        <f>_xlfn.IFS(V28="Rendah",'B.kriteria &amp; R.kecocokan'!$C$65,V28="Sedang",'B.kriteria &amp; R.kecocokan'!$C$66,V28="Tinggi",'B.kriteria &amp; R.kecocokan'!$C$67)</f>
        <v>1</v>
      </c>
      <c r="X28" s="117">
        <f t="shared" si="11"/>
        <v>1.5309310892394863</v>
      </c>
      <c r="Y28" s="117">
        <f t="shared" si="12"/>
        <v>7.1438590567159297</v>
      </c>
      <c r="Z28" s="117">
        <f t="shared" si="9"/>
        <v>1.5309310892394863</v>
      </c>
      <c r="AA28" s="9" t="str">
        <f t="shared" si="10"/>
        <v>Layak</v>
      </c>
      <c r="AB28" s="184" t="s">
        <v>349</v>
      </c>
    </row>
    <row r="29" spans="1:28" x14ac:dyDescent="0.35">
      <c r="A29" s="2">
        <v>22</v>
      </c>
      <c r="B29" s="2" t="s">
        <v>59</v>
      </c>
      <c r="C29" s="11" t="s">
        <v>13</v>
      </c>
      <c r="D29" s="9" t="str">
        <f>'B.kriteria &amp; R.kecocokan'!$B$23</f>
        <v>Banyak</v>
      </c>
      <c r="E29" s="173">
        <f>_xlfn.IFS(D29="Banyak",'B.kriteria &amp; R.kecocokan'!$C$23,D29="Cukup",'B.kriteria &amp; R.kecocokan'!$C$24,D29="Sedikit",'B.kriteria &amp; R.kecocokan'!$C$25)</f>
        <v>2.5</v>
      </c>
      <c r="F29" s="9" t="str">
        <f>'B.kriteria &amp; R.kecocokan'!$B$34</f>
        <v>Tinggi</v>
      </c>
      <c r="G29" s="9">
        <f>_xlfn.IFS(F29="Tinggi",'B.kriteria &amp; R.kecocokan'!$C$34,F29="Sangat Tinggi",'B.kriteria &amp; R.kecocokan'!$C$35)</f>
        <v>7.5</v>
      </c>
      <c r="H29" s="9" t="str">
        <f>'B.kriteria &amp; R.kecocokan'!$B$41</f>
        <v>Rendah</v>
      </c>
      <c r="I29" s="9">
        <f>_xlfn.IFS(H29="Rendah",'B.kriteria &amp; R.kecocokan'!$C$41,H29="Sedang",'B.kriteria &amp; R.kecocokan'!$C$42,H29="Tinggi",'B.kriteria &amp; R.kecocokan'!$C$43)</f>
        <v>2.5</v>
      </c>
      <c r="J29" s="9" t="str">
        <f>'B.kriteria &amp; R.kecocokan'!$B$72</f>
        <v>Rendah</v>
      </c>
      <c r="K29" s="9">
        <f>_xlfn.IFS(J29="Rendah",'B.kriteria &amp; R.kecocokan'!$C$72,J29="Sedang",'B.kriteria &amp; R.kecocokan'!$C$73,J29="Tinggi",'B.kriteria &amp; R.kecocokan'!$C$74)</f>
        <v>2.5</v>
      </c>
      <c r="L29" s="9" t="str">
        <f>'B.kriteria &amp; R.kecocokan'!$B$95</f>
        <v>Rendah</v>
      </c>
      <c r="M29" s="9">
        <f>_xlfn.IFS(L29="Rendah",'B.kriteria &amp; R.kecocokan'!$C$95,L29="Tinggi",'B.kriteria &amp; R.kecocokan'!$C$96)</f>
        <v>2.5</v>
      </c>
      <c r="N29" s="9" t="str">
        <f>'B.kriteria &amp; R.kecocokan'!$B$80</f>
        <v>Rendah</v>
      </c>
      <c r="O29" s="9">
        <f>_xlfn.IFS(N29="Rendah",'B.kriteria &amp; R.kecocokan'!$C$80,N29="Tinggi",'B.kriteria &amp; R.kecocokan'!$C$81)</f>
        <v>2.5</v>
      </c>
      <c r="P29" s="9" t="str">
        <f>'B.kriteria &amp; R.kecocokan'!$B$88</f>
        <v>Sedang</v>
      </c>
      <c r="Q29" s="9">
        <f>_xlfn.IFS(P29="Sedikit",'B.kriteria &amp; R.kecocokan'!$C$89,P29="Sedang",'B.kriteria &amp; R.kecocokan'!$C$88,P29="Sangat Sedikit",'B.kriteria &amp; R.kecocokan'!$C$90)</f>
        <v>5</v>
      </c>
      <c r="R29" s="9" t="str">
        <f>'B.kriteria &amp; R.kecocokan'!$B$49</f>
        <v>Rendah</v>
      </c>
      <c r="S29" s="9">
        <f>_xlfn.IFS(R29="Rendah",'B.kriteria &amp; R.kecocokan'!$C$49,R29="Sedang",'B.kriteria &amp; R.kecocokan'!$C$50,R29="Tinggi",'B.kriteria &amp; R.kecocokan'!$C$51)</f>
        <v>2.5</v>
      </c>
      <c r="T29" s="9" t="str">
        <f>'B.kriteria &amp; R.kecocokan'!$B$57</f>
        <v>Rendah</v>
      </c>
      <c r="U29" s="9">
        <f>_xlfn.IFS(T29="Rendah",'B.kriteria &amp; R.kecocokan'!$C$57,T29="Sedang",'B.kriteria &amp; R.kecocokan'!$C$58,T29="Tinggi",'B.kriteria &amp; R.kecocokan'!$C$59)</f>
        <v>2.5</v>
      </c>
      <c r="V29" s="9" t="str">
        <f>'B.kriteria &amp; R.kecocokan'!$B$65</f>
        <v>Rendah</v>
      </c>
      <c r="W29" s="9">
        <f>_xlfn.IFS(V29="Rendah",'B.kriteria &amp; R.kecocokan'!$C$65,V29="Sedang",'B.kriteria &amp; R.kecocokan'!$C$66,V29="Tinggi",'B.kriteria &amp; R.kecocokan'!$C$67)</f>
        <v>1</v>
      </c>
      <c r="X29" s="117">
        <f t="shared" si="11"/>
        <v>8.0758126526065475</v>
      </c>
      <c r="Y29" s="117">
        <f t="shared" si="12"/>
        <v>3.0333791205335494</v>
      </c>
      <c r="Z29" s="117">
        <f t="shared" si="9"/>
        <v>3.0333791205335494</v>
      </c>
      <c r="AA29" s="9" t="str">
        <f t="shared" si="10"/>
        <v>Tidak Layak</v>
      </c>
      <c r="AB29" s="183" t="s">
        <v>358</v>
      </c>
    </row>
    <row r="30" spans="1:28" x14ac:dyDescent="0.35">
      <c r="A30" s="2">
        <v>23</v>
      </c>
      <c r="B30" s="2" t="s">
        <v>61</v>
      </c>
      <c r="C30" s="11" t="s">
        <v>13</v>
      </c>
      <c r="D30" s="28" t="str">
        <f>'B.kriteria &amp; R.kecocokan'!$B$24</f>
        <v>Cukup</v>
      </c>
      <c r="E30" s="173">
        <f>_xlfn.IFS(D30="Banyak",'B.kriteria &amp; R.kecocokan'!$C$23,D30="Cukup",'B.kriteria &amp; R.kecocokan'!$C$24,D30="Sedikit",'B.kriteria &amp; R.kecocokan'!$C$25)</f>
        <v>5</v>
      </c>
      <c r="F30" s="9" t="str">
        <f>'B.kriteria &amp; R.kecocokan'!$B$34</f>
        <v>Tinggi</v>
      </c>
      <c r="G30" s="9">
        <f>_xlfn.IFS(F30="Tinggi",'B.kriteria &amp; R.kecocokan'!$C$34,F30="Sangat Tinggi",'B.kriteria &amp; R.kecocokan'!$C$35)</f>
        <v>7.5</v>
      </c>
      <c r="H30" s="9" t="str">
        <f>'B.kriteria &amp; R.kecocokan'!$B$41</f>
        <v>Rendah</v>
      </c>
      <c r="I30" s="9">
        <f>_xlfn.IFS(H30="Rendah",'B.kriteria &amp; R.kecocokan'!$C$41,H30="Sedang",'B.kriteria &amp; R.kecocokan'!$C$42,H30="Tinggi",'B.kriteria &amp; R.kecocokan'!$C$43)</f>
        <v>2.5</v>
      </c>
      <c r="J30" s="9" t="str">
        <f>'B.kriteria &amp; R.kecocokan'!$B$72</f>
        <v>Rendah</v>
      </c>
      <c r="K30" s="9">
        <f>_xlfn.IFS(J30="Rendah",'B.kriteria &amp; R.kecocokan'!$C$72,J30="Sedang",'B.kriteria &amp; R.kecocokan'!$C$73,J30="Tinggi",'B.kriteria &amp; R.kecocokan'!$C$74)</f>
        <v>2.5</v>
      </c>
      <c r="L30" s="9" t="str">
        <f>'B.kriteria &amp; R.kecocokan'!$B$95</f>
        <v>Rendah</v>
      </c>
      <c r="M30" s="9">
        <f>_xlfn.IFS(L30="Rendah",'B.kriteria &amp; R.kecocokan'!$C$95,L30="Tinggi",'B.kriteria &amp; R.kecocokan'!$C$96)</f>
        <v>2.5</v>
      </c>
      <c r="N30" s="9" t="str">
        <f>'B.kriteria &amp; R.kecocokan'!$B$80</f>
        <v>Rendah</v>
      </c>
      <c r="O30" s="9">
        <f>_xlfn.IFS(N30="Rendah",'B.kriteria &amp; R.kecocokan'!$C$80,N30="Tinggi",'B.kriteria &amp; R.kecocokan'!$C$81)</f>
        <v>2.5</v>
      </c>
      <c r="P30" s="9" t="str">
        <f>'B.kriteria &amp; R.kecocokan'!$B$88</f>
        <v>Sedang</v>
      </c>
      <c r="Q30" s="9">
        <f>_xlfn.IFS(P30="Sedikit",'B.kriteria &amp; R.kecocokan'!$C$89,P30="Sedang",'B.kriteria &amp; R.kecocokan'!$C$88,P30="Sangat Sedikit",'B.kriteria &amp; R.kecocokan'!$C$90)</f>
        <v>5</v>
      </c>
      <c r="R30" s="9" t="str">
        <f>'B.kriteria &amp; R.kecocokan'!$B$49</f>
        <v>Rendah</v>
      </c>
      <c r="S30" s="9">
        <f>_xlfn.IFS(R30="Rendah",'B.kriteria &amp; R.kecocokan'!$C$49,R30="Sedang",'B.kriteria &amp; R.kecocokan'!$C$50,R30="Tinggi",'B.kriteria &amp; R.kecocokan'!$C$51)</f>
        <v>2.5</v>
      </c>
      <c r="T30" s="9" t="str">
        <f>'B.kriteria &amp; R.kecocokan'!$B$57</f>
        <v>Rendah</v>
      </c>
      <c r="U30" s="9">
        <f>_xlfn.IFS(T30="Rendah",'B.kriteria &amp; R.kecocokan'!$C$57,T30="Sedang",'B.kriteria &amp; R.kecocokan'!$C$58,T30="Tinggi",'B.kriteria &amp; R.kecocokan'!$C$59)</f>
        <v>2.5</v>
      </c>
      <c r="V30" s="9" t="str">
        <f>'B.kriteria &amp; R.kecocokan'!$B$65</f>
        <v>Rendah</v>
      </c>
      <c r="W30" s="9">
        <f>_xlfn.IFS(V30="Rendah",'B.kriteria &amp; R.kecocokan'!$C$65,V30="Sedang",'B.kriteria &amp; R.kecocokan'!$C$66,V30="Tinggi",'B.kriteria &amp; R.kecocokan'!$C$67)</f>
        <v>1</v>
      </c>
      <c r="X30" s="117">
        <f t="shared" si="11"/>
        <v>7.0422830105016372</v>
      </c>
      <c r="Y30" s="117">
        <f t="shared" si="12"/>
        <v>2.2438186696393769</v>
      </c>
      <c r="Z30" s="117">
        <f t="shared" si="9"/>
        <v>2.2438186696393769</v>
      </c>
      <c r="AA30" s="9" t="str">
        <f t="shared" si="10"/>
        <v>Tidak Layak</v>
      </c>
      <c r="AB30" s="184" t="s">
        <v>358</v>
      </c>
    </row>
    <row r="31" spans="1:28" x14ac:dyDescent="0.35">
      <c r="A31" s="88">
        <v>24</v>
      </c>
      <c r="B31" s="88" t="s">
        <v>62</v>
      </c>
      <c r="C31" s="123" t="s">
        <v>13</v>
      </c>
      <c r="D31" s="174" t="str">
        <f>'B.kriteria &amp; R.kecocokan'!$B$24</f>
        <v>Cukup</v>
      </c>
      <c r="E31" s="175">
        <f>_xlfn.IFS(D31="Banyak",'B.kriteria &amp; R.kecocokan'!$C$23,D31="Cukup",'B.kriteria &amp; R.kecocokan'!$C$24,D31="Sedikit",'B.kriteria &amp; R.kecocokan'!$C$25)</f>
        <v>5</v>
      </c>
      <c r="F31" s="126" t="str">
        <f>'B.kriteria &amp; R.kecocokan'!$B$35</f>
        <v>Sangat Tinggi</v>
      </c>
      <c r="G31" s="126">
        <f>_xlfn.IFS(F31="Tinggi",'B.kriteria &amp; R.kecocokan'!$C$34,F31="Sangat Tinggi",'B.kriteria &amp; R.kecocokan'!$C$35)</f>
        <v>10</v>
      </c>
      <c r="H31" s="126" t="str">
        <f>'B.kriteria &amp; R.kecocokan'!$B$41</f>
        <v>Rendah</v>
      </c>
      <c r="I31" s="126">
        <f>_xlfn.IFS(H31="Rendah",'B.kriteria &amp; R.kecocokan'!$C$41,H31="Sedang",'B.kriteria &amp; R.kecocokan'!$C$42,H31="Tinggi",'B.kriteria &amp; R.kecocokan'!$C$43)</f>
        <v>2.5</v>
      </c>
      <c r="J31" s="126" t="str">
        <f>'B.kriteria &amp; R.kecocokan'!$B$72</f>
        <v>Rendah</v>
      </c>
      <c r="K31" s="126">
        <f>_xlfn.IFS(J31="Rendah",'B.kriteria &amp; R.kecocokan'!$C$72,J31="Sedang",'B.kriteria &amp; R.kecocokan'!$C$73,J31="Tinggi",'B.kriteria &amp; R.kecocokan'!$C$74)</f>
        <v>2.5</v>
      </c>
      <c r="L31" s="126" t="str">
        <f>'B.kriteria &amp; R.kecocokan'!$B$95</f>
        <v>Rendah</v>
      </c>
      <c r="M31" s="126">
        <f>_xlfn.IFS(L31="Rendah",'B.kriteria &amp; R.kecocokan'!$C$95,L31="Tinggi",'B.kriteria &amp; R.kecocokan'!$C$96)</f>
        <v>2.5</v>
      </c>
      <c r="N31" s="126" t="str">
        <f>'B.kriteria &amp; R.kecocokan'!$B$80</f>
        <v>Rendah</v>
      </c>
      <c r="O31" s="126">
        <f>_xlfn.IFS(N31="Rendah",'B.kriteria &amp; R.kecocokan'!$C$80,N31="Tinggi",'B.kriteria &amp; R.kecocokan'!$C$81)</f>
        <v>2.5</v>
      </c>
      <c r="P31" s="126" t="str">
        <f>'B.kriteria &amp; R.kecocokan'!$B$88</f>
        <v>Sedang</v>
      </c>
      <c r="Q31" s="126">
        <f>_xlfn.IFS(P31="Sedikit",'B.kriteria &amp; R.kecocokan'!$C$89,P31="Sedang",'B.kriteria &amp; R.kecocokan'!$C$88,P31="Sangat Sedikit",'B.kriteria &amp; R.kecocokan'!$C$90)</f>
        <v>5</v>
      </c>
      <c r="R31" s="126" t="str">
        <f>'B.kriteria &amp; R.kecocokan'!$B$49</f>
        <v>Rendah</v>
      </c>
      <c r="S31" s="126">
        <f>_xlfn.IFS(R31="Rendah",'B.kriteria &amp; R.kecocokan'!$C$49,R31="Sedang",'B.kriteria &amp; R.kecocokan'!$C$50,R31="Tinggi",'B.kriteria &amp; R.kecocokan'!$C$51)</f>
        <v>2.5</v>
      </c>
      <c r="T31" s="126" t="str">
        <f>'B.kriteria &amp; R.kecocokan'!$B$57</f>
        <v>Rendah</v>
      </c>
      <c r="U31" s="126">
        <f>_xlfn.IFS(T31="Rendah",'B.kriteria &amp; R.kecocokan'!$C$57,T31="Sedang",'B.kriteria &amp; R.kecocokan'!$C$58,T31="Tinggi",'B.kriteria &amp; R.kecocokan'!$C$59)</f>
        <v>2.5</v>
      </c>
      <c r="V31" s="126" t="str">
        <f>'B.kriteria &amp; R.kecocokan'!$B$65</f>
        <v>Rendah</v>
      </c>
      <c r="W31" s="126">
        <f>_xlfn.IFS(V31="Rendah",'B.kriteria &amp; R.kecocokan'!$C$65,V31="Sedang",'B.kriteria &amp; R.kecocokan'!$C$66,V31="Tinggi",'B.kriteria &amp; R.kecocokan'!$C$67)</f>
        <v>1</v>
      </c>
      <c r="X31" s="117">
        <f t="shared" si="11"/>
        <v>7.0422830105016372</v>
      </c>
      <c r="Y31" s="117">
        <f t="shared" si="12"/>
        <v>2.2438186696393769</v>
      </c>
      <c r="Z31" s="129">
        <f t="shared" si="9"/>
        <v>2.2438186696393769</v>
      </c>
      <c r="AA31" s="126" t="str">
        <f t="shared" si="10"/>
        <v>Tidak Layak</v>
      </c>
      <c r="AB31" s="183" t="s">
        <v>358</v>
      </c>
    </row>
    <row r="32" spans="1:28" x14ac:dyDescent="0.35">
      <c r="A32" s="2">
        <v>25</v>
      </c>
      <c r="B32" s="2" t="s">
        <v>64</v>
      </c>
      <c r="C32" s="11" t="s">
        <v>13</v>
      </c>
      <c r="D32" s="9" t="str">
        <f>'B.kriteria &amp; R.kecocokan'!$B$25</f>
        <v>Sedikit</v>
      </c>
      <c r="E32" s="173">
        <f>_xlfn.IFS(D32="Banyak",'B.kriteria &amp; R.kecocokan'!$C$23,D32="Cukup",'B.kriteria &amp; R.kecocokan'!$C$24,D32="Sedikit",'B.kriteria &amp; R.kecocokan'!$C$25)</f>
        <v>7.5</v>
      </c>
      <c r="F32" s="9" t="str">
        <f>'B.kriteria &amp; R.kecocokan'!$B$35</f>
        <v>Sangat Tinggi</v>
      </c>
      <c r="G32" s="9">
        <f>_xlfn.IFS(F32="Tinggi",'B.kriteria &amp; R.kecocokan'!$C$34,F32="Sangat Tinggi",'B.kriteria &amp; R.kecocokan'!$C$35)</f>
        <v>10</v>
      </c>
      <c r="H32" s="9" t="str">
        <f>'B.kriteria &amp; R.kecocokan'!$B$41</f>
        <v>Rendah</v>
      </c>
      <c r="I32" s="9">
        <f>_xlfn.IFS(H32="Rendah",'B.kriteria &amp; R.kecocokan'!$C$41,H32="Sedang",'B.kriteria &amp; R.kecocokan'!$C$42,H32="Tinggi",'B.kriteria &amp; R.kecocokan'!$C$43)</f>
        <v>2.5</v>
      </c>
      <c r="J32" s="9" t="str">
        <f>'B.kriteria &amp; R.kecocokan'!$B$72</f>
        <v>Rendah</v>
      </c>
      <c r="K32" s="9">
        <f>_xlfn.IFS(J32="Rendah",'B.kriteria &amp; R.kecocokan'!$C$72,J32="Sedang",'B.kriteria &amp; R.kecocokan'!$C$73,J32="Tinggi",'B.kriteria &amp; R.kecocokan'!$C$74)</f>
        <v>2.5</v>
      </c>
      <c r="L32" s="9" t="str">
        <f>'B.kriteria &amp; R.kecocokan'!$B$95</f>
        <v>Rendah</v>
      </c>
      <c r="M32" s="9">
        <f>_xlfn.IFS(L32="Rendah",'B.kriteria &amp; R.kecocokan'!$C$95,L32="Tinggi",'B.kriteria &amp; R.kecocokan'!$C$96)</f>
        <v>2.5</v>
      </c>
      <c r="N32" s="9" t="str">
        <f>'B.kriteria &amp; R.kecocokan'!$B$81</f>
        <v>Tinggi</v>
      </c>
      <c r="O32" s="9">
        <f>_xlfn.IFS(N32="Rendah",'B.kriteria &amp; R.kecocokan'!$C$80,N32="Tinggi",'B.kriteria &amp; R.kecocokan'!$C$81)</f>
        <v>7.5</v>
      </c>
      <c r="P32" s="9" t="str">
        <f>'B.kriteria &amp; R.kecocokan'!$B$90</f>
        <v>Sangat Sedikit</v>
      </c>
      <c r="Q32" s="9">
        <f>_xlfn.IFS(P32="Sedikit",'B.kriteria &amp; R.kecocokan'!$C$89,P32="Sedang",'B.kriteria &amp; R.kecocokan'!$C$88,P32="Sangat Sedikit",'B.kriteria &amp; R.kecocokan'!$C$90)</f>
        <v>1</v>
      </c>
      <c r="R32" s="9" t="str">
        <f>'B.kriteria &amp; R.kecocokan'!$B$49</f>
        <v>Rendah</v>
      </c>
      <c r="S32" s="9">
        <f>_xlfn.IFS(R32="Rendah",'B.kriteria &amp; R.kecocokan'!$C$49,R32="Sedang",'B.kriteria &amp; R.kecocokan'!$C$50,R32="Tinggi",'B.kriteria &amp; R.kecocokan'!$C$51)</f>
        <v>2.5</v>
      </c>
      <c r="T32" s="9" t="str">
        <f>'B.kriteria &amp; R.kecocokan'!$B$58</f>
        <v>Sedang</v>
      </c>
      <c r="U32" s="9">
        <f>_xlfn.IFS(T32="Rendah",'B.kriteria &amp; R.kecocokan'!$C$57,T32="Sedang",'B.kriteria &amp; R.kecocokan'!$C$58,T32="Tinggi",'B.kriteria &amp; R.kecocokan'!$C$59)</f>
        <v>5</v>
      </c>
      <c r="V32" s="9" t="str">
        <f>'B.kriteria &amp; R.kecocokan'!$B$65</f>
        <v>Rendah</v>
      </c>
      <c r="W32" s="9">
        <f>_xlfn.IFS(V32="Rendah",'B.kriteria &amp; R.kecocokan'!$C$65,V32="Sedang",'B.kriteria &amp; R.kecocokan'!$C$66,V32="Tinggi",'B.kriteria &amp; R.kecocokan'!$C$67)</f>
        <v>1</v>
      </c>
      <c r="X32" s="117">
        <f>SQRT(((E32-$E$19)^2)+((G32-$G$19)^2)+((I32-$I$19)^2+((K32-$K$19)^2)+((M32-$M$19)^2)+((O32-$O$19)^2)+((Q32-$Q$19)^2)+((S32-$S$19)^2)+((U32-$U$19)^2)+((W32-$W$19)^2)))</f>
        <v>1.5309310892394863</v>
      </c>
      <c r="Y32" s="117">
        <f t="shared" si="12"/>
        <v>7.1438590567159297</v>
      </c>
      <c r="Z32" s="117">
        <f t="shared" si="9"/>
        <v>1.5309310892394863</v>
      </c>
      <c r="AA32" s="9" t="str">
        <f t="shared" si="10"/>
        <v>Layak</v>
      </c>
      <c r="AB32" s="184" t="s">
        <v>349</v>
      </c>
    </row>
    <row r="34" spans="26:28" x14ac:dyDescent="0.35">
      <c r="Z34" t="s">
        <v>420</v>
      </c>
    </row>
    <row r="35" spans="26:28" x14ac:dyDescent="0.35">
      <c r="Z35" s="235" t="s">
        <v>422</v>
      </c>
      <c r="AA35" s="185" t="s">
        <v>421</v>
      </c>
      <c r="AB35" s="186"/>
    </row>
    <row r="36" spans="26:28" x14ac:dyDescent="0.35">
      <c r="Z36" s="236"/>
      <c r="AA36" s="2" t="s">
        <v>349</v>
      </c>
      <c r="AB36" s="2" t="s">
        <v>358</v>
      </c>
    </row>
    <row r="37" spans="26:28" x14ac:dyDescent="0.35">
      <c r="Z37" s="2" t="s">
        <v>349</v>
      </c>
      <c r="AA37" s="2">
        <f>COUNTIFS($AB$23:$AB$32,$AA$36,$AA$23:$AA$32,$Z$37)</f>
        <v>3</v>
      </c>
      <c r="AB37" s="2">
        <f>COUNTIFS($AB$23:$AB$32,$AB$36,$AA$23:$AA$32,$Z$37)</f>
        <v>1</v>
      </c>
    </row>
    <row r="38" spans="26:28" x14ac:dyDescent="0.35">
      <c r="Z38" s="2" t="s">
        <v>358</v>
      </c>
      <c r="AA38" s="2">
        <f>COUNTIFS($AB$23:$AB$32,$AA$36,$AA$23:$AA$32,$Z$38)</f>
        <v>2</v>
      </c>
      <c r="AB38" s="2">
        <f>COUNTIFS($AB$23:$AB$32,$AB$36,$AA$23:$AA$32,$Z$38)</f>
        <v>4</v>
      </c>
    </row>
    <row r="40" spans="26:28" x14ac:dyDescent="0.35">
      <c r="Z40" t="s">
        <v>423</v>
      </c>
      <c r="AA40" s="145">
        <f>((AA37+AB38)/(AA37+AB38+AB37+AA38))*100%</f>
        <v>0.7</v>
      </c>
    </row>
    <row r="42" spans="26:28" x14ac:dyDescent="0.35">
      <c r="Z42" s="187" t="s">
        <v>430</v>
      </c>
    </row>
    <row r="43" spans="26:28" x14ac:dyDescent="0.35">
      <c r="Z43" s="235" t="s">
        <v>432</v>
      </c>
      <c r="AA43" s="233" t="s">
        <v>431</v>
      </c>
      <c r="AB43" s="234"/>
    </row>
    <row r="44" spans="26:28" x14ac:dyDescent="0.35">
      <c r="Z44" s="236"/>
      <c r="AA44" s="2" t="s">
        <v>349</v>
      </c>
      <c r="AB44" s="2" t="s">
        <v>358</v>
      </c>
    </row>
    <row r="45" spans="26:28" x14ac:dyDescent="0.35">
      <c r="Z45" s="2" t="s">
        <v>349</v>
      </c>
      <c r="AA45" s="2">
        <v>4</v>
      </c>
      <c r="AB45" s="2">
        <v>0</v>
      </c>
    </row>
    <row r="46" spans="26:28" x14ac:dyDescent="0.35">
      <c r="Z46" s="2" t="s">
        <v>358</v>
      </c>
      <c r="AA46" s="2">
        <v>0</v>
      </c>
      <c r="AB46" s="2">
        <v>6</v>
      </c>
    </row>
    <row r="48" spans="26:28" x14ac:dyDescent="0.35">
      <c r="Z48" t="s">
        <v>423</v>
      </c>
      <c r="AA48" s="188">
        <f>(AA45+AB46)/(AA45+AB46+AB45+AA46)</f>
        <v>1</v>
      </c>
    </row>
  </sheetData>
  <mergeCells count="5">
    <mergeCell ref="A1:AA1"/>
    <mergeCell ref="AD1:AR1"/>
    <mergeCell ref="AA43:AB43"/>
    <mergeCell ref="Z43:Z44"/>
    <mergeCell ref="Z35:Z3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6B6C-A6DB-4898-8EEF-C5B7FF13553F}">
  <dimension ref="A1:AB638"/>
  <sheetViews>
    <sheetView topLeftCell="A296" zoomScale="70" zoomScaleNormal="70" workbookViewId="0">
      <selection activeCell="AA427" sqref="AA427"/>
    </sheetView>
  </sheetViews>
  <sheetFormatPr defaultRowHeight="14.5" x14ac:dyDescent="0.35"/>
  <cols>
    <col min="1" max="1" width="4.1796875" bestFit="1" customWidth="1"/>
    <col min="2" max="2" width="23.54296875" bestFit="1" customWidth="1"/>
    <col min="3" max="3" width="7.54296875" hidden="1" customWidth="1"/>
    <col min="4" max="4" width="5.1796875" hidden="1" customWidth="1"/>
    <col min="5" max="5" width="11.26953125" customWidth="1"/>
    <col min="6" max="6" width="11.6328125" hidden="1" customWidth="1"/>
    <col min="7" max="7" width="11.6328125" customWidth="1"/>
    <col min="8" max="8" width="7.1796875" hidden="1" customWidth="1"/>
    <col min="9" max="9" width="11" customWidth="1"/>
    <col min="10" max="10" width="7.26953125" hidden="1" customWidth="1"/>
    <col min="11" max="11" width="7.26953125" customWidth="1"/>
    <col min="12" max="12" width="0" hidden="1" customWidth="1"/>
    <col min="14" max="14" width="7.1796875" hidden="1" customWidth="1"/>
    <col min="15" max="15" width="7.1796875" customWidth="1"/>
    <col min="16" max="16" width="12.26953125" hidden="1" customWidth="1"/>
    <col min="17" max="17" width="12.26953125" customWidth="1"/>
    <col min="18" max="18" width="7.1796875" hidden="1" customWidth="1"/>
    <col min="19" max="19" width="7.1796875" customWidth="1"/>
    <col min="20" max="20" width="7.1796875" hidden="1" customWidth="1"/>
    <col min="21" max="21" width="7.1796875" customWidth="1"/>
    <col min="22" max="22" width="9.36328125" hidden="1" customWidth="1"/>
    <col min="23" max="23" width="9.36328125" customWidth="1"/>
    <col min="24" max="24" width="7.26953125" customWidth="1"/>
    <col min="25" max="25" width="10.7265625" customWidth="1"/>
    <col min="26" max="26" width="8.90625" customWidth="1"/>
    <col min="27" max="27" width="10.54296875" customWidth="1"/>
    <col min="28" max="28" width="10.6328125" bestFit="1" customWidth="1"/>
  </cols>
  <sheetData>
    <row r="1" spans="1:27" x14ac:dyDescent="0.35">
      <c r="A1" s="221" t="s">
        <v>354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 x14ac:dyDescent="0.35">
      <c r="A2" s="108"/>
      <c r="B2" s="108" t="s">
        <v>410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</row>
    <row r="3" spans="1:27" x14ac:dyDescent="0.35">
      <c r="A3" s="108"/>
      <c r="B3" s="112" t="s">
        <v>404</v>
      </c>
      <c r="C3" s="113"/>
      <c r="D3" s="113"/>
      <c r="E3" s="114">
        <f>E$10</f>
        <v>5</v>
      </c>
      <c r="F3" s="114" t="str">
        <f t="shared" ref="F3:U3" si="0">F$10</f>
        <v>Tinggi</v>
      </c>
      <c r="G3" s="114">
        <f t="shared" si="0"/>
        <v>7.5</v>
      </c>
      <c r="H3" s="114" t="str">
        <f t="shared" si="0"/>
        <v>Rendah</v>
      </c>
      <c r="I3" s="114">
        <f t="shared" si="0"/>
        <v>2.5</v>
      </c>
      <c r="J3" s="114" t="str">
        <f t="shared" si="0"/>
        <v>Rendah</v>
      </c>
      <c r="K3" s="114">
        <f t="shared" si="0"/>
        <v>2.5</v>
      </c>
      <c r="L3" s="114" t="str">
        <f t="shared" si="0"/>
        <v>Rendah</v>
      </c>
      <c r="M3" s="114">
        <f t="shared" si="0"/>
        <v>2.5</v>
      </c>
      <c r="N3" s="114" t="str">
        <f t="shared" si="0"/>
        <v>Rendah</v>
      </c>
      <c r="O3" s="114">
        <f t="shared" si="0"/>
        <v>2.5</v>
      </c>
      <c r="P3" s="114" t="str">
        <f t="shared" si="0"/>
        <v>Sedikit</v>
      </c>
      <c r="Q3" s="114">
        <f t="shared" si="0"/>
        <v>2.5</v>
      </c>
      <c r="R3" s="114" t="str">
        <f t="shared" si="0"/>
        <v>Rendah</v>
      </c>
      <c r="S3" s="114">
        <f t="shared" si="0"/>
        <v>2.5</v>
      </c>
      <c r="T3" s="114" t="str">
        <f t="shared" si="0"/>
        <v>Rendah</v>
      </c>
      <c r="U3" s="114">
        <f t="shared" si="0"/>
        <v>2.5</v>
      </c>
      <c r="V3" s="114" t="str">
        <f t="shared" ref="V3:W3" si="1">V$10</f>
        <v>Rendah</v>
      </c>
      <c r="W3" s="114">
        <f t="shared" si="1"/>
        <v>1</v>
      </c>
      <c r="X3" s="108"/>
      <c r="Y3" s="108"/>
      <c r="Z3" s="108"/>
      <c r="AA3" s="108"/>
    </row>
    <row r="4" spans="1:27" x14ac:dyDescent="0.35">
      <c r="B4" s="112" t="s">
        <v>405</v>
      </c>
      <c r="C4" s="80"/>
      <c r="D4" s="80"/>
      <c r="E4" s="115">
        <f>E$30</f>
        <v>5</v>
      </c>
      <c r="F4" s="115" t="str">
        <f t="shared" ref="F4:W4" si="2">F$30</f>
        <v>Sangat Tinggi</v>
      </c>
      <c r="G4" s="115">
        <f t="shared" si="2"/>
        <v>10</v>
      </c>
      <c r="H4" s="115" t="str">
        <f t="shared" si="2"/>
        <v>Rendah</v>
      </c>
      <c r="I4" s="115">
        <f t="shared" si="2"/>
        <v>2.5</v>
      </c>
      <c r="J4" s="115" t="str">
        <f t="shared" si="2"/>
        <v>Rendah</v>
      </c>
      <c r="K4" s="115">
        <f t="shared" si="2"/>
        <v>2.5</v>
      </c>
      <c r="L4" s="115" t="str">
        <f t="shared" si="2"/>
        <v>Rendah</v>
      </c>
      <c r="M4" s="115">
        <f t="shared" si="2"/>
        <v>2.5</v>
      </c>
      <c r="N4" s="115" t="str">
        <f t="shared" si="2"/>
        <v>Rendah</v>
      </c>
      <c r="O4" s="115">
        <f t="shared" si="2"/>
        <v>2.5</v>
      </c>
      <c r="P4" s="115" t="str">
        <f t="shared" si="2"/>
        <v>Sedang</v>
      </c>
      <c r="Q4" s="115">
        <f t="shared" si="2"/>
        <v>5</v>
      </c>
      <c r="R4" s="115" t="str">
        <f t="shared" si="2"/>
        <v>Rendah</v>
      </c>
      <c r="S4" s="115">
        <f t="shared" si="2"/>
        <v>2.5</v>
      </c>
      <c r="T4" s="115" t="str">
        <f t="shared" si="2"/>
        <v>Rendah</v>
      </c>
      <c r="U4" s="115">
        <f t="shared" si="2"/>
        <v>2.5</v>
      </c>
      <c r="V4" s="115" t="str">
        <f t="shared" si="2"/>
        <v>Rendah</v>
      </c>
      <c r="W4" s="115">
        <f t="shared" si="2"/>
        <v>1</v>
      </c>
    </row>
    <row r="5" spans="1:27" ht="15" thickBot="1" x14ac:dyDescent="0.4">
      <c r="B5" s="108"/>
    </row>
    <row r="6" spans="1:27" ht="59" thickTop="1" thickBot="1" x14ac:dyDescent="0.4">
      <c r="A6" s="13" t="s">
        <v>0</v>
      </c>
      <c r="B6" s="15" t="s">
        <v>2</v>
      </c>
      <c r="C6" s="14" t="s">
        <v>3</v>
      </c>
      <c r="D6" s="14" t="s">
        <v>4</v>
      </c>
      <c r="E6" s="14" t="str">
        <f>$D$6</f>
        <v xml:space="preserve">Penghasilan </v>
      </c>
      <c r="F6" s="15" t="s">
        <v>5</v>
      </c>
      <c r="G6" s="15" t="str">
        <f>$F$6</f>
        <v>Luas Rumah</v>
      </c>
      <c r="H6" s="15" t="s">
        <v>6</v>
      </c>
      <c r="I6" s="15" t="str">
        <f>$H$6</f>
        <v xml:space="preserve">Status Kepemilikan Rumah </v>
      </c>
      <c r="J6" s="15" t="s">
        <v>21</v>
      </c>
      <c r="K6" s="15" t="str">
        <f>$J$6</f>
        <v>Sumber Air</v>
      </c>
      <c r="L6" s="15" t="s">
        <v>7</v>
      </c>
      <c r="M6" s="15" t="str">
        <f>$L$6</f>
        <v>ibu Hamil / menyusui</v>
      </c>
      <c r="N6" s="15" t="s">
        <v>8</v>
      </c>
      <c r="O6" s="15" t="str">
        <f>$N$6</f>
        <v>lansia</v>
      </c>
      <c r="P6" s="15" t="s">
        <v>25</v>
      </c>
      <c r="Q6" s="15" t="str">
        <f>$P$6</f>
        <v>jumlah tanggungan (Anak)</v>
      </c>
      <c r="R6" s="15" t="s">
        <v>9</v>
      </c>
      <c r="S6" s="15" t="str">
        <f>$R$6</f>
        <v>jenis dinding</v>
      </c>
      <c r="T6" s="15" t="s">
        <v>10</v>
      </c>
      <c r="U6" s="50" t="str">
        <f>$T$6</f>
        <v xml:space="preserve">jenis lantai </v>
      </c>
      <c r="V6" s="50" t="s">
        <v>11</v>
      </c>
      <c r="W6" s="120" t="str">
        <f>$V$6</f>
        <v>jenis atap</v>
      </c>
      <c r="X6" s="109" t="s">
        <v>400</v>
      </c>
      <c r="Y6" s="109" t="s">
        <v>401</v>
      </c>
      <c r="Z6" s="109" t="s">
        <v>402</v>
      </c>
      <c r="AA6" s="54" t="s">
        <v>403</v>
      </c>
    </row>
    <row r="7" spans="1:27" ht="15" thickTop="1" x14ac:dyDescent="0.35">
      <c r="A7" s="5">
        <v>1</v>
      </c>
      <c r="B7" s="6" t="s">
        <v>12</v>
      </c>
      <c r="C7" s="7" t="s">
        <v>13</v>
      </c>
      <c r="D7" s="32" t="str">
        <f>'B.kriteria &amp; R.kecocokan'!$B$24</f>
        <v>Cukup</v>
      </c>
      <c r="E7" s="111">
        <f>_xlfn.IFS(D7="Banyak",'B.kriteria &amp; R.kecocokan'!$C$23,D7="Cukup",'B.kriteria &amp; R.kecocokan'!$C$24,D7="Sedikit",'B.kriteria &amp; R.kecocokan'!$C$25)</f>
        <v>5</v>
      </c>
      <c r="F7" s="8" t="str">
        <f>'B.kriteria &amp; R.kecocokan'!$B$34</f>
        <v>Tinggi</v>
      </c>
      <c r="G7" s="8">
        <f>_xlfn.IFS(F7="Tinggi",'B.kriteria &amp; R.kecocokan'!$C$34,F7="Sangat Tinggi",'B.kriteria &amp; R.kecocokan'!$C$35)</f>
        <v>7.5</v>
      </c>
      <c r="H7" s="8" t="str">
        <f>'B.kriteria &amp; R.kecocokan'!$B$41</f>
        <v>Rendah</v>
      </c>
      <c r="I7" s="8">
        <f>_xlfn.IFS(H7="Rendah",'B.kriteria &amp; R.kecocokan'!$C$41,H7="Sedang",'B.kriteria &amp; R.kecocokan'!$C$42,H7="Tinggi",'B.kriteria &amp; R.kecocokan'!$C$43)</f>
        <v>2.5</v>
      </c>
      <c r="J7" s="8" t="str">
        <f>'B.kriteria &amp; R.kecocokan'!$B$72</f>
        <v>Rendah</v>
      </c>
      <c r="K7" s="8">
        <f>_xlfn.IFS(J7="Rendah",'B.kriteria &amp; R.kecocokan'!$C$72,J7="Sedang",'B.kriteria &amp; R.kecocokan'!$C$73,J7="Tinggi",'B.kriteria &amp; R.kecocokan'!$C$74)</f>
        <v>2.5</v>
      </c>
      <c r="L7" s="8" t="str">
        <f>'B.kriteria &amp; R.kecocokan'!$B$95</f>
        <v>Rendah</v>
      </c>
      <c r="M7" s="8">
        <f>_xlfn.IFS(L7="Rendah",'B.kriteria &amp; R.kecocokan'!$C$95,L7="Tinggi",'B.kriteria &amp; R.kecocokan'!$C$96)</f>
        <v>2.5</v>
      </c>
      <c r="N7" s="8" t="str">
        <f>'B.kriteria &amp; R.kecocokan'!$B$80</f>
        <v>Rendah</v>
      </c>
      <c r="O7" s="8">
        <f>_xlfn.IFS(N7="Rendah",'B.kriteria &amp; R.kecocokan'!$C$80,N7="Tinggi",'B.kriteria &amp; R.kecocokan'!$C$81)</f>
        <v>2.5</v>
      </c>
      <c r="P7" s="8" t="str">
        <f>'B.kriteria &amp; R.kecocokan'!$B$89</f>
        <v>Sedikit</v>
      </c>
      <c r="Q7" s="8">
        <f>_xlfn.IFS(P7="Sedikit",'B.kriteria &amp; R.kecocokan'!$C$89,P7="Sedang",'B.kriteria &amp; R.kecocokan'!$C$88,P7="Sangat Sedikit",'B.kriteria &amp; R.kecocokan'!$C$90)</f>
        <v>2.5</v>
      </c>
      <c r="R7" s="8" t="str">
        <f>'B.kriteria &amp; R.kecocokan'!$B$49</f>
        <v>Rendah</v>
      </c>
      <c r="S7" s="8">
        <f>_xlfn.IFS(R7="Rendah",'B.kriteria &amp; R.kecocokan'!$C$49,R7="Sedang",'B.kriteria &amp; R.kecocokan'!$C$50,R7="Tinggi",'B.kriteria &amp; R.kecocokan'!$C$51)</f>
        <v>2.5</v>
      </c>
      <c r="T7" s="8" t="str">
        <f>'B.kriteria &amp; R.kecocokan'!$B$57</f>
        <v>Rendah</v>
      </c>
      <c r="U7" s="51">
        <f>_xlfn.IFS(T7="Rendah",'B.kriteria &amp; R.kecocokan'!$C$57,T7="Sedang",'B.kriteria &amp; R.kecocokan'!$C$58,T7="Tinggi",'B.kriteria &amp; R.kecocokan'!$C$59)</f>
        <v>2.5</v>
      </c>
      <c r="V7" s="51" t="str">
        <f>'B.kriteria &amp; R.kecocokan'!$B$65</f>
        <v>Rendah</v>
      </c>
      <c r="W7" s="110">
        <f>_xlfn.IFS(V7="Rendah",'B.kriteria &amp; R.kecocokan'!$C$65,V7="Sedang",'B.kriteria &amp; R.kecocokan'!$C$66,V7="Tinggi",'B.kriteria &amp; R.kecocokan'!$C$67)</f>
        <v>1</v>
      </c>
      <c r="X7" s="116">
        <f>SQRT(((E7-$E$3)^2)+((G7-$G$3)^2)+((I7-$I$3)^2+((K7-$K$3)^2)+((M7-$M$3)^2)+((O7-$O$3)^2)+((Q7-$Q$3)^2)+((S7-$S$3)^2)+((U7-$U$3)^2)+((W7-$W$3)^2)))</f>
        <v>0</v>
      </c>
      <c r="Y7" s="116">
        <f>SQRT(((E7-$E$4)^2)+((G7-$G$4)^2)+((I7-$I$4)^2)+((K7-$K$4)^2)+((M7-$M$4)^2+((O7-$O$4)^2)+((Q7-$Q$4)^2)+((S7-$S$4)^2)+((U7-$U$4)^2)+((W7-$W$4)^2)))</f>
        <v>3.5355339059327378</v>
      </c>
      <c r="Z7" s="118">
        <f>MIN(X7:Y7)</f>
        <v>0</v>
      </c>
      <c r="AA7" s="121" t="str">
        <f>IF(X7&lt;Y7,"Layak","Tidak Layak")</f>
        <v>Layak</v>
      </c>
    </row>
    <row r="8" spans="1:27" x14ac:dyDescent="0.35">
      <c r="A8" s="1">
        <v>2</v>
      </c>
      <c r="B8" s="2" t="s">
        <v>24</v>
      </c>
      <c r="C8" s="11" t="s">
        <v>13</v>
      </c>
      <c r="D8" s="32" t="str">
        <f>'B.kriteria &amp; R.kecocokan'!$B$24</f>
        <v>Cukup</v>
      </c>
      <c r="E8" s="111">
        <f>_xlfn.IFS(D8="Banyak",'B.kriteria &amp; R.kecocokan'!$C$23,D8="Cukup",'B.kriteria &amp; R.kecocokan'!$C$24,D8="Sedikit",'B.kriteria &amp; R.kecocokan'!$C$25)</f>
        <v>5</v>
      </c>
      <c r="F8" s="9" t="str">
        <f>'B.kriteria &amp; R.kecocokan'!$B$34</f>
        <v>Tinggi</v>
      </c>
      <c r="G8" s="8">
        <f>_xlfn.IFS(F8="Tinggi",'B.kriteria &amp; R.kecocokan'!$C$34,F8="Sangat Tinggi",'B.kriteria &amp; R.kecocokan'!$C$35)</f>
        <v>7.5</v>
      </c>
      <c r="H8" s="8" t="str">
        <f>'B.kriteria &amp; R.kecocokan'!$B$41</f>
        <v>Rendah</v>
      </c>
      <c r="I8" s="8">
        <f>_xlfn.IFS(H8="Rendah",'B.kriteria &amp; R.kecocokan'!$C$41,H8="Sedang",'B.kriteria &amp; R.kecocokan'!$C$42,H8="Tinggi",'B.kriteria &amp; R.kecocokan'!$C$43)</f>
        <v>2.5</v>
      </c>
      <c r="J8" s="8" t="str">
        <f>'B.kriteria &amp; R.kecocokan'!$B$72</f>
        <v>Rendah</v>
      </c>
      <c r="K8" s="8">
        <f>_xlfn.IFS(J8="Rendah",'B.kriteria &amp; R.kecocokan'!$C$72,J8="Sedang",'B.kriteria &amp; R.kecocokan'!$C$73,J8="Tinggi",'B.kriteria &amp; R.kecocokan'!$C$74)</f>
        <v>2.5</v>
      </c>
      <c r="L8" s="8" t="str">
        <f>'B.kriteria &amp; R.kecocokan'!$B$95</f>
        <v>Rendah</v>
      </c>
      <c r="M8" s="8">
        <f>_xlfn.IFS(L8="Rendah",'B.kriteria &amp; R.kecocokan'!$C$95,L8="Tinggi",'B.kriteria &amp; R.kecocokan'!$C$96)</f>
        <v>2.5</v>
      </c>
      <c r="N8" s="9" t="str">
        <f>'B.kriteria &amp; R.kecocokan'!$B$81</f>
        <v>Tinggi</v>
      </c>
      <c r="O8" s="8">
        <f>_xlfn.IFS(N8="Rendah",'B.kriteria &amp; R.kecocokan'!$C$80,N8="Tinggi",'B.kriteria &amp; R.kecocokan'!$C$81)</f>
        <v>7.5</v>
      </c>
      <c r="P8" s="9" t="str">
        <f>'B.kriteria &amp; R.kecocokan'!$B$90</f>
        <v>Sangat Sedikit</v>
      </c>
      <c r="Q8" s="8">
        <f>_xlfn.IFS(P8="Sedikit",'B.kriteria &amp; R.kecocokan'!$C$89,P8="Sedang",'B.kriteria &amp; R.kecocokan'!$C$88,P8="Sangat Sedikit",'B.kriteria &amp; R.kecocokan'!$C$90)</f>
        <v>1</v>
      </c>
      <c r="R8" s="8" t="str">
        <f>'B.kriteria &amp; R.kecocokan'!$B$49</f>
        <v>Rendah</v>
      </c>
      <c r="S8" s="8">
        <f>_xlfn.IFS(R8="Rendah",'B.kriteria &amp; R.kecocokan'!$C$49,R8="Sedang",'B.kriteria &amp; R.kecocokan'!$C$50,R8="Tinggi",'B.kriteria &amp; R.kecocokan'!$C$51)</f>
        <v>2.5</v>
      </c>
      <c r="T8" s="8" t="str">
        <f>'B.kriteria &amp; R.kecocokan'!$B$57</f>
        <v>Rendah</v>
      </c>
      <c r="U8" s="51">
        <f>_xlfn.IFS(T8="Rendah",'B.kriteria &amp; R.kecocokan'!$C$57,T8="Sedang",'B.kriteria &amp; R.kecocokan'!$C$58,T8="Tinggi",'B.kriteria &amp; R.kecocokan'!$C$59)</f>
        <v>2.5</v>
      </c>
      <c r="V8" s="51" t="str">
        <f>'B.kriteria &amp; R.kecocokan'!$B$65</f>
        <v>Rendah</v>
      </c>
      <c r="W8" s="9">
        <f>_xlfn.IFS(V8="Rendah",'B.kriteria &amp; R.kecocokan'!$C$65,V8="Sedang",'B.kriteria &amp; R.kecocokan'!$C$66,V8="Tinggi",'B.kriteria &amp; R.kecocokan'!$C$67)</f>
        <v>1</v>
      </c>
      <c r="X8" s="117">
        <f>SQRT(((E8-$E$3)^2)+((G8-$G$3)^2)+((I8-$I$3)^2+((K8-$K$3)^2)+((M8-$M$3)^2)+((O8-$O$3)^2)+((Q8-$Q$3)^2)+((S8-$S$3)^2)+((U8-$U$3)^2)+((W8-$W$3)^2)))</f>
        <v>5.2201532544552753</v>
      </c>
      <c r="Y8" s="117">
        <f>SQRT(((E8-$E$4)^2)+((G8-$G$4)^2)+((I8-$I$4)^2)+((K8-$K$4)^2)+((M8-$M$4)^2+((O8-$O$4)^2)+((Q8-$Q$4)^2)+((S8-$S$4)^2)+((U8-$U$4)^2)+((W8-$W$4)^2)))</f>
        <v>6.8738635424337602</v>
      </c>
      <c r="Z8" s="119">
        <f>MIN(X8:Y8)</f>
        <v>5.2201532544552753</v>
      </c>
      <c r="AA8" s="55" t="str">
        <f>IF(X8&lt;Y8,"Layak","Tidak Layak")</f>
        <v>Layak</v>
      </c>
    </row>
    <row r="9" spans="1:27" x14ac:dyDescent="0.35">
      <c r="A9" s="5">
        <v>3</v>
      </c>
      <c r="B9" s="2" t="s">
        <v>26</v>
      </c>
      <c r="C9" s="11" t="s">
        <v>13</v>
      </c>
      <c r="D9" s="9" t="str">
        <f>'B.kriteria &amp; R.kecocokan'!$B$23</f>
        <v>Banyak</v>
      </c>
      <c r="E9" s="111">
        <f>_xlfn.IFS(D9="Banyak",'B.kriteria &amp; R.kecocokan'!$C$23,D9="Cukup",'B.kriteria &amp; R.kecocokan'!$C$24,D9="Sedikit",'B.kriteria &amp; R.kecocokan'!$C$25)</f>
        <v>2.5</v>
      </c>
      <c r="F9" s="9" t="str">
        <f>'B.kriteria &amp; R.kecocokan'!$B$34</f>
        <v>Tinggi</v>
      </c>
      <c r="G9" s="8">
        <f>_xlfn.IFS(F9="Tinggi",'B.kriteria &amp; R.kecocokan'!$C$34,F9="Sangat Tinggi",'B.kriteria &amp; R.kecocokan'!$C$35)</f>
        <v>7.5</v>
      </c>
      <c r="H9" s="8" t="str">
        <f>'B.kriteria &amp; R.kecocokan'!$B$41</f>
        <v>Rendah</v>
      </c>
      <c r="I9" s="8">
        <f>_xlfn.IFS(H9="Rendah",'B.kriteria &amp; R.kecocokan'!$C$41,H9="Sedang",'B.kriteria &amp; R.kecocokan'!$C$42,H9="Tinggi",'B.kriteria &amp; R.kecocokan'!$C$43)</f>
        <v>2.5</v>
      </c>
      <c r="J9" s="8" t="str">
        <f>'B.kriteria &amp; R.kecocokan'!$B$72</f>
        <v>Rendah</v>
      </c>
      <c r="K9" s="8">
        <f>_xlfn.IFS(J9="Rendah",'B.kriteria &amp; R.kecocokan'!$C$72,J9="Sedang",'B.kriteria &amp; R.kecocokan'!$C$73,J9="Tinggi",'B.kriteria &amp; R.kecocokan'!$C$74)</f>
        <v>2.5</v>
      </c>
      <c r="L9" s="8" t="str">
        <f>'B.kriteria &amp; R.kecocokan'!$B$95</f>
        <v>Rendah</v>
      </c>
      <c r="M9" s="8">
        <f>_xlfn.IFS(L9="Rendah",'B.kriteria &amp; R.kecocokan'!$C$95,L9="Tinggi",'B.kriteria &amp; R.kecocokan'!$C$96)</f>
        <v>2.5</v>
      </c>
      <c r="N9" s="8" t="str">
        <f>'B.kriteria &amp; R.kecocokan'!$B$80</f>
        <v>Rendah</v>
      </c>
      <c r="O9" s="8">
        <f>_xlfn.IFS(N9="Rendah",'B.kriteria &amp; R.kecocokan'!$C$80,N9="Tinggi",'B.kriteria &amp; R.kecocokan'!$C$81)</f>
        <v>2.5</v>
      </c>
      <c r="P9" s="9" t="str">
        <f>'B.kriteria &amp; R.kecocokan'!$B$90</f>
        <v>Sangat Sedikit</v>
      </c>
      <c r="Q9" s="8">
        <f>_xlfn.IFS(P9="Sedikit",'B.kriteria &amp; R.kecocokan'!$C$89,P9="Sedang",'B.kriteria &amp; R.kecocokan'!$C$88,P9="Sangat Sedikit",'B.kriteria &amp; R.kecocokan'!$C$90)</f>
        <v>1</v>
      </c>
      <c r="R9" s="8" t="str">
        <f>'B.kriteria &amp; R.kecocokan'!$B$49</f>
        <v>Rendah</v>
      </c>
      <c r="S9" s="8">
        <f>_xlfn.IFS(R9="Rendah",'B.kriteria &amp; R.kecocokan'!$C$49,R9="Sedang",'B.kriteria &amp; R.kecocokan'!$C$50,R9="Tinggi",'B.kriteria &amp; R.kecocokan'!$C$51)</f>
        <v>2.5</v>
      </c>
      <c r="T9" s="8" t="str">
        <f>'B.kriteria &amp; R.kecocokan'!$B$57</f>
        <v>Rendah</v>
      </c>
      <c r="U9" s="51">
        <f>_xlfn.IFS(T9="Rendah",'B.kriteria &amp; R.kecocokan'!$C$57,T9="Sedang",'B.kriteria &amp; R.kecocokan'!$C$58,T9="Tinggi",'B.kriteria &amp; R.kecocokan'!$C$59)</f>
        <v>2.5</v>
      </c>
      <c r="V9" s="51" t="str">
        <f>'B.kriteria &amp; R.kecocokan'!$B$65</f>
        <v>Rendah</v>
      </c>
      <c r="W9" s="9">
        <f>_xlfn.IFS(V9="Rendah",'B.kriteria &amp; R.kecocokan'!$C$65,V9="Sedang",'B.kriteria &amp; R.kecocokan'!$C$66,V9="Tinggi",'B.kriteria &amp; R.kecocokan'!$C$67)</f>
        <v>1</v>
      </c>
      <c r="X9" s="117">
        <f t="shared" ref="X9:X72" si="3">SQRT(((E9-$E$3)^2)+((G9-$G$3)^2)+((I9-$I$3)^2+((K9-$K$3)^2)+((M9-$M$3)^2)+((O9-$O$3)^2)+((Q9-$Q$3)^2)+((S9-$S$3)^2)+((U9-$U$3)^2)+((W9-$W$3)^2)))</f>
        <v>2.9154759474226504</v>
      </c>
      <c r="Y9" s="117">
        <f t="shared" ref="Y9:Y72" si="4">SQRT(((E9-$E$4)^2)+((G9-$G$4)^2)+((I9-$I$4)^2)+((K9-$K$4)^2)+((M9-$M$4)^2+((O9-$O$4)^2)+((Q9-$Q$4)^2)+((S9-$S$4)^2)+((U9-$U$4)^2)+((W9-$W$4)^2)))</f>
        <v>5.3385391260156556</v>
      </c>
      <c r="Z9" s="119">
        <f t="shared" ref="Z9:Z72" si="5">MIN(X9:Y9)</f>
        <v>2.9154759474226504</v>
      </c>
      <c r="AA9" s="55" t="str">
        <f t="shared" ref="AA9:AA72" si="6">IF(X9&lt;Y9,"Layak","Tidak Layak")</f>
        <v>Layak</v>
      </c>
    </row>
    <row r="10" spans="1:27" s="132" customFormat="1" x14ac:dyDescent="0.35">
      <c r="A10" s="122">
        <v>4</v>
      </c>
      <c r="B10" s="88" t="s">
        <v>27</v>
      </c>
      <c r="C10" s="123" t="s">
        <v>13</v>
      </c>
      <c r="D10" s="124" t="str">
        <f>'B.kriteria &amp; R.kecocokan'!$B$24</f>
        <v>Cukup</v>
      </c>
      <c r="E10" s="125">
        <f>_xlfn.IFS(D10="Banyak",'B.kriteria &amp; R.kecocokan'!$C$23,D10="Cukup",'B.kriteria &amp; R.kecocokan'!$C$24,D10="Sedikit",'B.kriteria &amp; R.kecocokan'!$C$25)</f>
        <v>5</v>
      </c>
      <c r="F10" s="126" t="str">
        <f>'B.kriteria &amp; R.kecocokan'!$B$34</f>
        <v>Tinggi</v>
      </c>
      <c r="G10" s="127">
        <f>_xlfn.IFS(F10="Tinggi",'B.kriteria &amp; R.kecocokan'!$C$34,F10="Sangat Tinggi",'B.kriteria &amp; R.kecocokan'!$C$35)</f>
        <v>7.5</v>
      </c>
      <c r="H10" s="127" t="str">
        <f>'B.kriteria &amp; R.kecocokan'!$B$41</f>
        <v>Rendah</v>
      </c>
      <c r="I10" s="127">
        <f>_xlfn.IFS(H10="Rendah",'B.kriteria &amp; R.kecocokan'!$C$41,H10="Sedang",'B.kriteria &amp; R.kecocokan'!$C$42,H10="Tinggi",'B.kriteria &amp; R.kecocokan'!$C$43)</f>
        <v>2.5</v>
      </c>
      <c r="J10" s="127" t="str">
        <f>'B.kriteria &amp; R.kecocokan'!$B$72</f>
        <v>Rendah</v>
      </c>
      <c r="K10" s="127">
        <f>_xlfn.IFS(J10="Rendah",'B.kriteria &amp; R.kecocokan'!$C$72,J10="Sedang",'B.kriteria &amp; R.kecocokan'!$C$73,J10="Tinggi",'B.kriteria &amp; R.kecocokan'!$C$74)</f>
        <v>2.5</v>
      </c>
      <c r="L10" s="127" t="str">
        <f>'B.kriteria &amp; R.kecocokan'!$B$95</f>
        <v>Rendah</v>
      </c>
      <c r="M10" s="127">
        <f>_xlfn.IFS(L10="Rendah",'B.kriteria &amp; R.kecocokan'!$C$95,L10="Tinggi",'B.kriteria &amp; R.kecocokan'!$C$96)</f>
        <v>2.5</v>
      </c>
      <c r="N10" s="127" t="str">
        <f>'B.kriteria &amp; R.kecocokan'!$B$80</f>
        <v>Rendah</v>
      </c>
      <c r="O10" s="127">
        <f>_xlfn.IFS(N10="Rendah",'B.kriteria &amp; R.kecocokan'!$C$80,N10="Tinggi",'B.kriteria &amp; R.kecocokan'!$C$81)</f>
        <v>2.5</v>
      </c>
      <c r="P10" s="127" t="str">
        <f>'B.kriteria &amp; R.kecocokan'!$B$89</f>
        <v>Sedikit</v>
      </c>
      <c r="Q10" s="127">
        <f>_xlfn.IFS(P10="Sedikit",'B.kriteria &amp; R.kecocokan'!$C$89,P10="Sedang",'B.kriteria &amp; R.kecocokan'!$C$88,P10="Sangat Sedikit",'B.kriteria &amp; R.kecocokan'!$C$90)</f>
        <v>2.5</v>
      </c>
      <c r="R10" s="127" t="str">
        <f>'B.kriteria &amp; R.kecocokan'!$B$49</f>
        <v>Rendah</v>
      </c>
      <c r="S10" s="127">
        <f>_xlfn.IFS(R10="Rendah",'B.kriteria &amp; R.kecocokan'!$C$49,R10="Sedang",'B.kriteria &amp; R.kecocokan'!$C$50,R10="Tinggi",'B.kriteria &amp; R.kecocokan'!$C$51)</f>
        <v>2.5</v>
      </c>
      <c r="T10" s="127" t="str">
        <f>'B.kriteria &amp; R.kecocokan'!$B$57</f>
        <v>Rendah</v>
      </c>
      <c r="U10" s="128">
        <f>_xlfn.IFS(T10="Rendah",'B.kriteria &amp; R.kecocokan'!$C$57,T10="Sedang",'B.kriteria &amp; R.kecocokan'!$C$58,T10="Tinggi",'B.kriteria &amp; R.kecocokan'!$C$59)</f>
        <v>2.5</v>
      </c>
      <c r="V10" s="128" t="str">
        <f>'B.kriteria &amp; R.kecocokan'!$B$65</f>
        <v>Rendah</v>
      </c>
      <c r="W10" s="126">
        <f>_xlfn.IFS(V10="Rendah",'B.kriteria &amp; R.kecocokan'!$C$65,V10="Sedang",'B.kriteria &amp; R.kecocokan'!$C$66,V10="Tinggi",'B.kriteria &amp; R.kecocokan'!$C$67)</f>
        <v>1</v>
      </c>
      <c r="X10" s="129">
        <f t="shared" si="3"/>
        <v>0</v>
      </c>
      <c r="Y10" s="129">
        <f t="shared" si="4"/>
        <v>3.5355339059327378</v>
      </c>
      <c r="Z10" s="130">
        <f t="shared" si="5"/>
        <v>0</v>
      </c>
      <c r="AA10" s="131" t="str">
        <f t="shared" si="6"/>
        <v>Layak</v>
      </c>
    </row>
    <row r="11" spans="1:27" x14ac:dyDescent="0.35">
      <c r="A11" s="1">
        <v>5</v>
      </c>
      <c r="B11" s="2" t="s">
        <v>31</v>
      </c>
      <c r="C11" s="11" t="s">
        <v>95</v>
      </c>
      <c r="D11" s="32" t="str">
        <f>'B.kriteria &amp; R.kecocokan'!$B$24</f>
        <v>Cukup</v>
      </c>
      <c r="E11" s="111">
        <f>_xlfn.IFS(D11="Banyak",'B.kriteria &amp; R.kecocokan'!$C$23,D11="Cukup",'B.kriteria &amp; R.kecocokan'!$C$24,D11="Sedikit",'B.kriteria &amp; R.kecocokan'!$C$25)</f>
        <v>5</v>
      </c>
      <c r="F11" s="9" t="str">
        <f>'B.kriteria &amp; R.kecocokan'!$B$34</f>
        <v>Tinggi</v>
      </c>
      <c r="G11" s="8">
        <f>_xlfn.IFS(F11="Tinggi",'B.kriteria &amp; R.kecocokan'!$C$34,F11="Sangat Tinggi",'B.kriteria &amp; R.kecocokan'!$C$35)</f>
        <v>7.5</v>
      </c>
      <c r="H11" s="8" t="str">
        <f>'B.kriteria &amp; R.kecocokan'!$B$41</f>
        <v>Rendah</v>
      </c>
      <c r="I11" s="8">
        <f>_xlfn.IFS(H11="Rendah",'B.kriteria &amp; R.kecocokan'!$C$41,H11="Sedang",'B.kriteria &amp; R.kecocokan'!$C$42,H11="Tinggi",'B.kriteria &amp; R.kecocokan'!$C$43)</f>
        <v>2.5</v>
      </c>
      <c r="J11" s="8" t="str">
        <f>'B.kriteria &amp; R.kecocokan'!$B$72</f>
        <v>Rendah</v>
      </c>
      <c r="K11" s="8">
        <f>_xlfn.IFS(J11="Rendah",'B.kriteria &amp; R.kecocokan'!$C$72,J11="Sedang",'B.kriteria &amp; R.kecocokan'!$C$73,J11="Tinggi",'B.kriteria &amp; R.kecocokan'!$C$74)</f>
        <v>2.5</v>
      </c>
      <c r="L11" s="8" t="str">
        <f>'B.kriteria &amp; R.kecocokan'!$B$95</f>
        <v>Rendah</v>
      </c>
      <c r="M11" s="8">
        <f>_xlfn.IFS(L11="Rendah",'B.kriteria &amp; R.kecocokan'!$C$95,L11="Tinggi",'B.kriteria &amp; R.kecocokan'!$C$96)</f>
        <v>2.5</v>
      </c>
      <c r="N11" s="8" t="str">
        <f>'B.kriteria &amp; R.kecocokan'!$B$80</f>
        <v>Rendah</v>
      </c>
      <c r="O11" s="8">
        <f>_xlfn.IFS(N11="Rendah",'B.kriteria &amp; R.kecocokan'!$C$80,N11="Tinggi",'B.kriteria &amp; R.kecocokan'!$C$81)</f>
        <v>2.5</v>
      </c>
      <c r="P11" s="9" t="str">
        <f>'B.kriteria &amp; R.kecocokan'!$B$88</f>
        <v>Sedang</v>
      </c>
      <c r="Q11" s="8">
        <f>_xlfn.IFS(P11="Sedikit",'B.kriteria &amp; R.kecocokan'!$C$89,P11="Sedang",'B.kriteria &amp; R.kecocokan'!$C$88,P11="Sangat Sedikit",'B.kriteria &amp; R.kecocokan'!$C$90)</f>
        <v>5</v>
      </c>
      <c r="R11" s="8" t="str">
        <f>'B.kriteria &amp; R.kecocokan'!$B$49</f>
        <v>Rendah</v>
      </c>
      <c r="S11" s="8">
        <f>_xlfn.IFS(R11="Rendah",'B.kriteria &amp; R.kecocokan'!$C$49,R11="Sedang",'B.kriteria &amp; R.kecocokan'!$C$50,R11="Tinggi",'B.kriteria &amp; R.kecocokan'!$C$51)</f>
        <v>2.5</v>
      </c>
      <c r="T11" s="8" t="str">
        <f>'B.kriteria &amp; R.kecocokan'!$B$57</f>
        <v>Rendah</v>
      </c>
      <c r="U11" s="51">
        <f>_xlfn.IFS(T11="Rendah",'B.kriteria &amp; R.kecocokan'!$C$57,T11="Sedang",'B.kriteria &amp; R.kecocokan'!$C$58,T11="Tinggi",'B.kriteria &amp; R.kecocokan'!$C$59)</f>
        <v>2.5</v>
      </c>
      <c r="V11" s="51" t="str">
        <f>'B.kriteria &amp; R.kecocokan'!$B$65</f>
        <v>Rendah</v>
      </c>
      <c r="W11" s="9">
        <f>_xlfn.IFS(V11="Rendah",'B.kriteria &amp; R.kecocokan'!$C$65,V11="Sedang",'B.kriteria &amp; R.kecocokan'!$C$66,V11="Tinggi",'B.kriteria &amp; R.kecocokan'!$C$67)</f>
        <v>1</v>
      </c>
      <c r="X11" s="117">
        <f t="shared" si="3"/>
        <v>2.5</v>
      </c>
      <c r="Y11" s="117">
        <f t="shared" si="4"/>
        <v>2.5</v>
      </c>
      <c r="Z11" s="119">
        <f t="shared" si="5"/>
        <v>2.5</v>
      </c>
      <c r="AA11" s="55" t="str">
        <f t="shared" si="6"/>
        <v>Tidak Layak</v>
      </c>
    </row>
    <row r="12" spans="1:27" x14ac:dyDescent="0.35">
      <c r="A12" s="5">
        <v>6</v>
      </c>
      <c r="B12" s="2" t="s">
        <v>32</v>
      </c>
      <c r="C12" s="11" t="s">
        <v>13</v>
      </c>
      <c r="D12" s="9" t="str">
        <f>'B.kriteria &amp; R.kecocokan'!$B$23</f>
        <v>Banyak</v>
      </c>
      <c r="E12" s="111">
        <f>_xlfn.IFS(D12="Banyak",'B.kriteria &amp; R.kecocokan'!$C$23,D12="Cukup",'B.kriteria &amp; R.kecocokan'!$C$24,D12="Sedikit",'B.kriteria &amp; R.kecocokan'!$C$25)</f>
        <v>2.5</v>
      </c>
      <c r="F12" s="9" t="str">
        <f>'B.kriteria &amp; R.kecocokan'!$B$34</f>
        <v>Tinggi</v>
      </c>
      <c r="G12" s="8">
        <f>_xlfn.IFS(F12="Tinggi",'B.kriteria &amp; R.kecocokan'!$C$34,F12="Sangat Tinggi",'B.kriteria &amp; R.kecocokan'!$C$35)</f>
        <v>7.5</v>
      </c>
      <c r="H12" s="8" t="str">
        <f>'B.kriteria &amp; R.kecocokan'!$B$41</f>
        <v>Rendah</v>
      </c>
      <c r="I12" s="8">
        <f>_xlfn.IFS(H12="Rendah",'B.kriteria &amp; R.kecocokan'!$C$41,H12="Sedang",'B.kriteria &amp; R.kecocokan'!$C$42,H12="Tinggi",'B.kriteria &amp; R.kecocokan'!$C$43)</f>
        <v>2.5</v>
      </c>
      <c r="J12" s="8" t="str">
        <f>'B.kriteria &amp; R.kecocokan'!$B$72</f>
        <v>Rendah</v>
      </c>
      <c r="K12" s="8">
        <f>_xlfn.IFS(J12="Rendah",'B.kriteria &amp; R.kecocokan'!$C$72,J12="Sedang",'B.kriteria &amp; R.kecocokan'!$C$73,J12="Tinggi",'B.kriteria &amp; R.kecocokan'!$C$74)</f>
        <v>2.5</v>
      </c>
      <c r="L12" s="8" t="str">
        <f>'B.kriteria &amp; R.kecocokan'!$B$95</f>
        <v>Rendah</v>
      </c>
      <c r="M12" s="8">
        <f>_xlfn.IFS(L12="Rendah",'B.kriteria &amp; R.kecocokan'!$C$95,L12="Tinggi",'B.kriteria &amp; R.kecocokan'!$C$96)</f>
        <v>2.5</v>
      </c>
      <c r="N12" s="8" t="str">
        <f>'B.kriteria &amp; R.kecocokan'!$B$80</f>
        <v>Rendah</v>
      </c>
      <c r="O12" s="8">
        <f>_xlfn.IFS(N12="Rendah",'B.kriteria &amp; R.kecocokan'!$C$80,N12="Tinggi",'B.kriteria &amp; R.kecocokan'!$C$81)</f>
        <v>2.5</v>
      </c>
      <c r="P12" s="8" t="str">
        <f>'B.kriteria &amp; R.kecocokan'!$B$89</f>
        <v>Sedikit</v>
      </c>
      <c r="Q12" s="8">
        <f>_xlfn.IFS(P12="Sedikit",'B.kriteria &amp; R.kecocokan'!$C$89,P12="Sedang",'B.kriteria &amp; R.kecocokan'!$C$88,P12="Sangat Sedikit",'B.kriteria &amp; R.kecocokan'!$C$90)</f>
        <v>2.5</v>
      </c>
      <c r="R12" s="8" t="str">
        <f>'B.kriteria &amp; R.kecocokan'!$B$49</f>
        <v>Rendah</v>
      </c>
      <c r="S12" s="8">
        <f>_xlfn.IFS(R12="Rendah",'B.kriteria &amp; R.kecocokan'!$C$49,R12="Sedang",'B.kriteria &amp; R.kecocokan'!$C$50,R12="Tinggi",'B.kriteria &amp; R.kecocokan'!$C$51)</f>
        <v>2.5</v>
      </c>
      <c r="T12" s="8" t="str">
        <f>'B.kriteria &amp; R.kecocokan'!$B$57</f>
        <v>Rendah</v>
      </c>
      <c r="U12" s="51">
        <f>_xlfn.IFS(T12="Rendah",'B.kriteria &amp; R.kecocokan'!$C$57,T12="Sedang",'B.kriteria &amp; R.kecocokan'!$C$58,T12="Tinggi",'B.kriteria &amp; R.kecocokan'!$C$59)</f>
        <v>2.5</v>
      </c>
      <c r="V12" s="51" t="str">
        <f>'B.kriteria &amp; R.kecocokan'!$B$65</f>
        <v>Rendah</v>
      </c>
      <c r="W12" s="9">
        <f>_xlfn.IFS(V12="Rendah",'B.kriteria &amp; R.kecocokan'!$C$65,V12="Sedang",'B.kriteria &amp; R.kecocokan'!$C$66,V12="Tinggi",'B.kriteria &amp; R.kecocokan'!$C$67)</f>
        <v>1</v>
      </c>
      <c r="X12" s="117">
        <f t="shared" si="3"/>
        <v>2.5</v>
      </c>
      <c r="Y12" s="117">
        <f t="shared" si="4"/>
        <v>4.3301270189221936</v>
      </c>
      <c r="Z12" s="119">
        <f t="shared" si="5"/>
        <v>2.5</v>
      </c>
      <c r="AA12" s="55" t="str">
        <f t="shared" si="6"/>
        <v>Layak</v>
      </c>
    </row>
    <row r="13" spans="1:27" x14ac:dyDescent="0.35">
      <c r="A13" s="5">
        <v>7</v>
      </c>
      <c r="B13" s="2" t="s">
        <v>34</v>
      </c>
      <c r="C13" s="11" t="s">
        <v>13</v>
      </c>
      <c r="D13" s="9" t="str">
        <f>'B.kriteria &amp; R.kecocokan'!$B$23</f>
        <v>Banyak</v>
      </c>
      <c r="E13" s="111">
        <f>_xlfn.IFS(D13="Banyak",'B.kriteria &amp; R.kecocokan'!$C$23,D13="Cukup",'B.kriteria &amp; R.kecocokan'!$C$24,D13="Sedikit",'B.kriteria &amp; R.kecocokan'!$C$25)</f>
        <v>2.5</v>
      </c>
      <c r="F13" s="9" t="str">
        <f>'B.kriteria &amp; R.kecocokan'!$B$34</f>
        <v>Tinggi</v>
      </c>
      <c r="G13" s="8">
        <f>_xlfn.IFS(F13="Tinggi",'B.kriteria &amp; R.kecocokan'!$C$34,F13="Sangat Tinggi",'B.kriteria &amp; R.kecocokan'!$C$35)</f>
        <v>7.5</v>
      </c>
      <c r="H13" s="8" t="str">
        <f>'B.kriteria &amp; R.kecocokan'!$B$41</f>
        <v>Rendah</v>
      </c>
      <c r="I13" s="8">
        <f>_xlfn.IFS(H13="Rendah",'B.kriteria &amp; R.kecocokan'!$C$41,H13="Sedang",'B.kriteria &amp; R.kecocokan'!$C$42,H13="Tinggi",'B.kriteria &amp; R.kecocokan'!$C$43)</f>
        <v>2.5</v>
      </c>
      <c r="J13" s="8" t="str">
        <f>'B.kriteria &amp; R.kecocokan'!$B$72</f>
        <v>Rendah</v>
      </c>
      <c r="K13" s="8">
        <f>_xlfn.IFS(J13="Rendah",'B.kriteria &amp; R.kecocokan'!$C$72,J13="Sedang",'B.kriteria &amp; R.kecocokan'!$C$73,J13="Tinggi",'B.kriteria &amp; R.kecocokan'!$C$74)</f>
        <v>2.5</v>
      </c>
      <c r="L13" s="8" t="str">
        <f>'B.kriteria &amp; R.kecocokan'!$B$95</f>
        <v>Rendah</v>
      </c>
      <c r="M13" s="8">
        <f>_xlfn.IFS(L13="Rendah",'B.kriteria &amp; R.kecocokan'!$C$95,L13="Tinggi",'B.kriteria &amp; R.kecocokan'!$C$96)</f>
        <v>2.5</v>
      </c>
      <c r="N13" s="9" t="str">
        <f>'B.kriteria &amp; R.kecocokan'!$B$81</f>
        <v>Tinggi</v>
      </c>
      <c r="O13" s="8">
        <f>_xlfn.IFS(N13="Rendah",'B.kriteria &amp; R.kecocokan'!$C$80,N13="Tinggi",'B.kriteria &amp; R.kecocokan'!$C$81)</f>
        <v>7.5</v>
      </c>
      <c r="P13" s="9" t="str">
        <f>'B.kriteria &amp; R.kecocokan'!$B$88</f>
        <v>Sedang</v>
      </c>
      <c r="Q13" s="8">
        <f>_xlfn.IFS(P13="Sedikit",'B.kriteria &amp; R.kecocokan'!$C$89,P13="Sedang",'B.kriteria &amp; R.kecocokan'!$C$88,P13="Sangat Sedikit",'B.kriteria &amp; R.kecocokan'!$C$90)</f>
        <v>5</v>
      </c>
      <c r="R13" s="8" t="str">
        <f>'B.kriteria &amp; R.kecocokan'!$B$49</f>
        <v>Rendah</v>
      </c>
      <c r="S13" s="8">
        <f>_xlfn.IFS(R13="Rendah",'B.kriteria &amp; R.kecocokan'!$C$49,R13="Sedang",'B.kriteria &amp; R.kecocokan'!$C$50,R13="Tinggi",'B.kriteria &amp; R.kecocokan'!$C$51)</f>
        <v>2.5</v>
      </c>
      <c r="T13" s="8" t="str">
        <f>'B.kriteria &amp; R.kecocokan'!$B$57</f>
        <v>Rendah</v>
      </c>
      <c r="U13" s="51">
        <f>_xlfn.IFS(T13="Rendah",'B.kriteria &amp; R.kecocokan'!$C$57,T13="Sedang",'B.kriteria &amp; R.kecocokan'!$C$58,T13="Tinggi",'B.kriteria &amp; R.kecocokan'!$C$59)</f>
        <v>2.5</v>
      </c>
      <c r="V13" s="51" t="str">
        <f>'B.kriteria &amp; R.kecocokan'!$B$65</f>
        <v>Rendah</v>
      </c>
      <c r="W13" s="9">
        <f>_xlfn.IFS(V13="Rendah",'B.kriteria &amp; R.kecocokan'!$C$65,V13="Sedang",'B.kriteria &amp; R.kecocokan'!$C$66,V13="Tinggi",'B.kriteria &amp; R.kecocokan'!$C$67)</f>
        <v>1</v>
      </c>
      <c r="X13" s="117">
        <f t="shared" si="3"/>
        <v>6.1237243569579451</v>
      </c>
      <c r="Y13" s="117">
        <f t="shared" si="4"/>
        <v>6.1237243569579451</v>
      </c>
      <c r="Z13" s="119">
        <f t="shared" si="5"/>
        <v>6.1237243569579451</v>
      </c>
      <c r="AA13" s="55" t="str">
        <f t="shared" si="6"/>
        <v>Tidak Layak</v>
      </c>
    </row>
    <row r="14" spans="1:27" x14ac:dyDescent="0.35">
      <c r="A14" s="1">
        <v>8</v>
      </c>
      <c r="B14" s="2" t="s">
        <v>35</v>
      </c>
      <c r="C14" s="12" t="s">
        <v>13</v>
      </c>
      <c r="D14" s="32" t="str">
        <f>'B.kriteria &amp; R.kecocokan'!$B$24</f>
        <v>Cukup</v>
      </c>
      <c r="E14" s="111">
        <f>_xlfn.IFS(D14="Banyak",'B.kriteria &amp; R.kecocokan'!$C$23,D14="Cukup",'B.kriteria &amp; R.kecocokan'!$C$24,D14="Sedikit",'B.kriteria &amp; R.kecocokan'!$C$25)</f>
        <v>5</v>
      </c>
      <c r="F14" s="9" t="str">
        <f>'B.kriteria &amp; R.kecocokan'!$B$34</f>
        <v>Tinggi</v>
      </c>
      <c r="G14" s="8">
        <f>_xlfn.IFS(F14="Tinggi",'B.kriteria &amp; R.kecocokan'!$C$34,F14="Sangat Tinggi",'B.kriteria &amp; R.kecocokan'!$C$35)</f>
        <v>7.5</v>
      </c>
      <c r="H14" s="8" t="str">
        <f>'B.kriteria &amp; R.kecocokan'!$B$41</f>
        <v>Rendah</v>
      </c>
      <c r="I14" s="8">
        <f>_xlfn.IFS(H14="Rendah",'B.kriteria &amp; R.kecocokan'!$C$41,H14="Sedang",'B.kriteria &amp; R.kecocokan'!$C$42,H14="Tinggi",'B.kriteria &amp; R.kecocokan'!$C$43)</f>
        <v>2.5</v>
      </c>
      <c r="J14" s="8" t="str">
        <f>'B.kriteria &amp; R.kecocokan'!$B$72</f>
        <v>Rendah</v>
      </c>
      <c r="K14" s="8">
        <f>_xlfn.IFS(J14="Rendah",'B.kriteria &amp; R.kecocokan'!$C$72,J14="Sedang",'B.kriteria &amp; R.kecocokan'!$C$73,J14="Tinggi",'B.kriteria &amp; R.kecocokan'!$C$74)</f>
        <v>2.5</v>
      </c>
      <c r="L14" s="8" t="str">
        <f>'B.kriteria &amp; R.kecocokan'!$B$95</f>
        <v>Rendah</v>
      </c>
      <c r="M14" s="8">
        <f>_xlfn.IFS(L14="Rendah",'B.kriteria &amp; R.kecocokan'!$C$95,L14="Tinggi",'B.kriteria &amp; R.kecocokan'!$C$96)</f>
        <v>2.5</v>
      </c>
      <c r="N14" s="8" t="str">
        <f>'B.kriteria &amp; R.kecocokan'!$B$80</f>
        <v>Rendah</v>
      </c>
      <c r="O14" s="8">
        <f>_xlfn.IFS(N14="Rendah",'B.kriteria &amp; R.kecocokan'!$C$80,N14="Tinggi",'B.kriteria &amp; R.kecocokan'!$C$81)</f>
        <v>2.5</v>
      </c>
      <c r="P14" s="8" t="str">
        <f>'B.kriteria &amp; R.kecocokan'!$B$89</f>
        <v>Sedikit</v>
      </c>
      <c r="Q14" s="8">
        <f>_xlfn.IFS(P14="Sedikit",'B.kriteria &amp; R.kecocokan'!$C$89,P14="Sedang",'B.kriteria &amp; R.kecocokan'!$C$88,P14="Sangat Sedikit",'B.kriteria &amp; R.kecocokan'!$C$90)</f>
        <v>2.5</v>
      </c>
      <c r="R14" s="8" t="str">
        <f>'B.kriteria &amp; R.kecocokan'!$B$49</f>
        <v>Rendah</v>
      </c>
      <c r="S14" s="8">
        <f>_xlfn.IFS(R14="Rendah",'B.kriteria &amp; R.kecocokan'!$C$49,R14="Sedang",'B.kriteria &amp; R.kecocokan'!$C$50,R14="Tinggi",'B.kriteria &amp; R.kecocokan'!$C$51)</f>
        <v>2.5</v>
      </c>
      <c r="T14" s="8" t="str">
        <f>'B.kriteria &amp; R.kecocokan'!$B$57</f>
        <v>Rendah</v>
      </c>
      <c r="U14" s="51">
        <f>_xlfn.IFS(T14="Rendah",'B.kriteria &amp; R.kecocokan'!$C$57,T14="Sedang",'B.kriteria &amp; R.kecocokan'!$C$58,T14="Tinggi",'B.kriteria &amp; R.kecocokan'!$C$59)</f>
        <v>2.5</v>
      </c>
      <c r="V14" s="51" t="str">
        <f>'B.kriteria &amp; R.kecocokan'!$B$65</f>
        <v>Rendah</v>
      </c>
      <c r="W14" s="9">
        <f>_xlfn.IFS(V14="Rendah",'B.kriteria &amp; R.kecocokan'!$C$65,V14="Sedang",'B.kriteria &amp; R.kecocokan'!$C$66,V14="Tinggi",'B.kriteria &amp; R.kecocokan'!$C$67)</f>
        <v>1</v>
      </c>
      <c r="X14" s="117">
        <f t="shared" si="3"/>
        <v>0</v>
      </c>
      <c r="Y14" s="117">
        <f t="shared" si="4"/>
        <v>3.5355339059327378</v>
      </c>
      <c r="Z14" s="119">
        <f t="shared" si="5"/>
        <v>0</v>
      </c>
      <c r="AA14" s="55" t="str">
        <f t="shared" si="6"/>
        <v>Layak</v>
      </c>
    </row>
    <row r="15" spans="1:27" x14ac:dyDescent="0.35">
      <c r="A15" s="5">
        <v>9</v>
      </c>
      <c r="B15" s="2" t="s">
        <v>36</v>
      </c>
      <c r="C15" s="11" t="s">
        <v>13</v>
      </c>
      <c r="D15" s="32" t="str">
        <f>'B.kriteria &amp; R.kecocokan'!$B$24</f>
        <v>Cukup</v>
      </c>
      <c r="E15" s="111">
        <f>_xlfn.IFS(D15="Banyak",'B.kriteria &amp; R.kecocokan'!$C$23,D15="Cukup",'B.kriteria &amp; R.kecocokan'!$C$24,D15="Sedikit",'B.kriteria &amp; R.kecocokan'!$C$25)</f>
        <v>5</v>
      </c>
      <c r="F15" s="9" t="str">
        <f>'B.kriteria &amp; R.kecocokan'!$B$34</f>
        <v>Tinggi</v>
      </c>
      <c r="G15" s="8">
        <f>_xlfn.IFS(F15="Tinggi",'B.kriteria &amp; R.kecocokan'!$C$34,F15="Sangat Tinggi",'B.kriteria &amp; R.kecocokan'!$C$35)</f>
        <v>7.5</v>
      </c>
      <c r="H15" s="9" t="str">
        <f>'B.kriteria &amp; R.kecocokan'!$B$43</f>
        <v>Tinggi</v>
      </c>
      <c r="I15" s="8">
        <f>_xlfn.IFS(H15="Rendah",'B.kriteria &amp; R.kecocokan'!$C$41,H15="Sedang",'B.kriteria &amp; R.kecocokan'!$C$42,H15="Tinggi",'B.kriteria &amp; R.kecocokan'!$C$43)</f>
        <v>7.5</v>
      </c>
      <c r="J15" s="8" t="str">
        <f>'B.kriteria &amp; R.kecocokan'!$B$72</f>
        <v>Rendah</v>
      </c>
      <c r="K15" s="8">
        <f>_xlfn.IFS(J15="Rendah",'B.kriteria &amp; R.kecocokan'!$C$72,J15="Sedang",'B.kriteria &amp; R.kecocokan'!$C$73,J15="Tinggi",'B.kriteria &amp; R.kecocokan'!$C$74)</f>
        <v>2.5</v>
      </c>
      <c r="L15" s="8" t="str">
        <f>'B.kriteria &amp; R.kecocokan'!$B$95</f>
        <v>Rendah</v>
      </c>
      <c r="M15" s="8">
        <f>_xlfn.IFS(L15="Rendah",'B.kriteria &amp; R.kecocokan'!$C$95,L15="Tinggi",'B.kriteria &amp; R.kecocokan'!$C$96)</f>
        <v>2.5</v>
      </c>
      <c r="N15" s="8" t="str">
        <f>'B.kriteria &amp; R.kecocokan'!$B$80</f>
        <v>Rendah</v>
      </c>
      <c r="O15" s="8">
        <f>_xlfn.IFS(N15="Rendah",'B.kriteria &amp; R.kecocokan'!$C$80,N15="Tinggi",'B.kriteria &amp; R.kecocokan'!$C$81)</f>
        <v>2.5</v>
      </c>
      <c r="P15" s="9" t="str">
        <f>'B.kriteria &amp; R.kecocokan'!$B$88</f>
        <v>Sedang</v>
      </c>
      <c r="Q15" s="8">
        <f>_xlfn.IFS(P15="Sedikit",'B.kriteria &amp; R.kecocokan'!$C$89,P15="Sedang",'B.kriteria &amp; R.kecocokan'!$C$88,P15="Sangat Sedikit",'B.kriteria &amp; R.kecocokan'!$C$90)</f>
        <v>5</v>
      </c>
      <c r="R15" s="8" t="str">
        <f>'B.kriteria &amp; R.kecocokan'!$B$49</f>
        <v>Rendah</v>
      </c>
      <c r="S15" s="8">
        <f>_xlfn.IFS(R15="Rendah",'B.kriteria &amp; R.kecocokan'!$C$49,R15="Sedang",'B.kriteria &amp; R.kecocokan'!$C$50,R15="Tinggi",'B.kriteria &amp; R.kecocokan'!$C$51)</f>
        <v>2.5</v>
      </c>
      <c r="T15" s="8" t="str">
        <f>'B.kriteria &amp; R.kecocokan'!$B$57</f>
        <v>Rendah</v>
      </c>
      <c r="U15" s="51">
        <f>_xlfn.IFS(T15="Rendah",'B.kriteria &amp; R.kecocokan'!$C$57,T15="Sedang",'B.kriteria &amp; R.kecocokan'!$C$58,T15="Tinggi",'B.kriteria &amp; R.kecocokan'!$C$59)</f>
        <v>2.5</v>
      </c>
      <c r="V15" s="51" t="str">
        <f>'B.kriteria &amp; R.kecocokan'!$B$65</f>
        <v>Rendah</v>
      </c>
      <c r="W15" s="9">
        <f>_xlfn.IFS(V15="Rendah",'B.kriteria &amp; R.kecocokan'!$C$65,V15="Sedang",'B.kriteria &amp; R.kecocokan'!$C$66,V15="Tinggi",'B.kriteria &amp; R.kecocokan'!$C$67)</f>
        <v>1</v>
      </c>
      <c r="X15" s="117">
        <f t="shared" si="3"/>
        <v>5.5901699437494745</v>
      </c>
      <c r="Y15" s="117">
        <f t="shared" si="4"/>
        <v>5.5901699437494745</v>
      </c>
      <c r="Z15" s="119">
        <f t="shared" si="5"/>
        <v>5.5901699437494745</v>
      </c>
      <c r="AA15" s="55" t="str">
        <f t="shared" si="6"/>
        <v>Tidak Layak</v>
      </c>
    </row>
    <row r="16" spans="1:27" x14ac:dyDescent="0.35">
      <c r="A16" s="5">
        <v>10</v>
      </c>
      <c r="B16" s="2" t="s">
        <v>39</v>
      </c>
      <c r="C16" s="12" t="s">
        <v>13</v>
      </c>
      <c r="D16" s="32" t="str">
        <f>'B.kriteria &amp; R.kecocokan'!$B$24</f>
        <v>Cukup</v>
      </c>
      <c r="E16" s="111">
        <f>_xlfn.IFS(D16="Banyak",'B.kriteria &amp; R.kecocokan'!$C$23,D16="Cukup",'B.kriteria &amp; R.kecocokan'!$C$24,D16="Sedikit",'B.kriteria &amp; R.kecocokan'!$C$25)</f>
        <v>5</v>
      </c>
      <c r="F16" s="9" t="str">
        <f>'B.kriteria &amp; R.kecocokan'!$B$34</f>
        <v>Tinggi</v>
      </c>
      <c r="G16" s="8">
        <f>_xlfn.IFS(F16="Tinggi",'B.kriteria &amp; R.kecocokan'!$C$34,F16="Sangat Tinggi",'B.kriteria &amp; R.kecocokan'!$C$35)</f>
        <v>7.5</v>
      </c>
      <c r="H16" s="8" t="str">
        <f>'B.kriteria &amp; R.kecocokan'!$B$41</f>
        <v>Rendah</v>
      </c>
      <c r="I16" s="8">
        <f>_xlfn.IFS(H16="Rendah",'B.kriteria &amp; R.kecocokan'!$C$41,H16="Sedang",'B.kriteria &amp; R.kecocokan'!$C$42,H16="Tinggi",'B.kriteria &amp; R.kecocokan'!$C$43)</f>
        <v>2.5</v>
      </c>
      <c r="J16" s="8" t="str">
        <f>'B.kriteria &amp; R.kecocokan'!$B$72</f>
        <v>Rendah</v>
      </c>
      <c r="K16" s="8">
        <f>_xlfn.IFS(J16="Rendah",'B.kriteria &amp; R.kecocokan'!$C$72,J16="Sedang",'B.kriteria &amp; R.kecocokan'!$C$73,J16="Tinggi",'B.kriteria &amp; R.kecocokan'!$C$74)</f>
        <v>2.5</v>
      </c>
      <c r="L16" s="8" t="str">
        <f>'B.kriteria &amp; R.kecocokan'!$B$95</f>
        <v>Rendah</v>
      </c>
      <c r="M16" s="8">
        <f>_xlfn.IFS(L16="Rendah",'B.kriteria &amp; R.kecocokan'!$C$95,L16="Tinggi",'B.kriteria &amp; R.kecocokan'!$C$96)</f>
        <v>2.5</v>
      </c>
      <c r="N16" s="9" t="str">
        <f>'B.kriteria &amp; R.kecocokan'!$B$81</f>
        <v>Tinggi</v>
      </c>
      <c r="O16" s="8">
        <f>_xlfn.IFS(N16="Rendah",'B.kriteria &amp; R.kecocokan'!$C$80,N16="Tinggi",'B.kriteria &amp; R.kecocokan'!$C$81)</f>
        <v>7.5</v>
      </c>
      <c r="P16" s="9" t="str">
        <f>'B.kriteria &amp; R.kecocokan'!$B$90</f>
        <v>Sangat Sedikit</v>
      </c>
      <c r="Q16" s="8">
        <f>_xlfn.IFS(P16="Sedikit",'B.kriteria &amp; R.kecocokan'!$C$89,P16="Sedang",'B.kriteria &amp; R.kecocokan'!$C$88,P16="Sangat Sedikit",'B.kriteria &amp; R.kecocokan'!$C$90)</f>
        <v>1</v>
      </c>
      <c r="R16" s="8" t="str">
        <f>'B.kriteria &amp; R.kecocokan'!$B$49</f>
        <v>Rendah</v>
      </c>
      <c r="S16" s="8">
        <f>_xlfn.IFS(R16="Rendah",'B.kriteria &amp; R.kecocokan'!$C$49,R16="Sedang",'B.kriteria &amp; R.kecocokan'!$C$50,R16="Tinggi",'B.kriteria &amp; R.kecocokan'!$C$51)</f>
        <v>2.5</v>
      </c>
      <c r="T16" s="8" t="str">
        <f>'B.kriteria &amp; R.kecocokan'!$B$57</f>
        <v>Rendah</v>
      </c>
      <c r="U16" s="51">
        <f>_xlfn.IFS(T16="Rendah",'B.kriteria &amp; R.kecocokan'!$C$57,T16="Sedang",'B.kriteria &amp; R.kecocokan'!$C$58,T16="Tinggi",'B.kriteria &amp; R.kecocokan'!$C$59)</f>
        <v>2.5</v>
      </c>
      <c r="V16" s="51" t="str">
        <f>'B.kriteria &amp; R.kecocokan'!$B$65</f>
        <v>Rendah</v>
      </c>
      <c r="W16" s="9">
        <f>_xlfn.IFS(V16="Rendah",'B.kriteria &amp; R.kecocokan'!$C$65,V16="Sedang",'B.kriteria &amp; R.kecocokan'!$C$66,V16="Tinggi",'B.kriteria &amp; R.kecocokan'!$C$67)</f>
        <v>1</v>
      </c>
      <c r="X16" s="117">
        <f t="shared" si="3"/>
        <v>5.2201532544552753</v>
      </c>
      <c r="Y16" s="117">
        <f t="shared" si="4"/>
        <v>6.8738635424337602</v>
      </c>
      <c r="Z16" s="119">
        <f t="shared" si="5"/>
        <v>5.2201532544552753</v>
      </c>
      <c r="AA16" s="55" t="str">
        <f t="shared" si="6"/>
        <v>Layak</v>
      </c>
    </row>
    <row r="17" spans="1:27" x14ac:dyDescent="0.35">
      <c r="A17" s="1">
        <v>11</v>
      </c>
      <c r="B17" s="2" t="s">
        <v>40</v>
      </c>
      <c r="C17" s="11" t="s">
        <v>13</v>
      </c>
      <c r="D17" s="9" t="str">
        <f>'B.kriteria &amp; R.kecocokan'!$B$25</f>
        <v>Sedikit</v>
      </c>
      <c r="E17" s="111">
        <f>_xlfn.IFS(D17="Banyak",'B.kriteria &amp; R.kecocokan'!$C$23,D17="Cukup",'B.kriteria &amp; R.kecocokan'!$C$24,D17="Sedikit",'B.kriteria &amp; R.kecocokan'!$C$25)</f>
        <v>7.5</v>
      </c>
      <c r="F17" s="9" t="str">
        <f>'B.kriteria &amp; R.kecocokan'!$B$34</f>
        <v>Tinggi</v>
      </c>
      <c r="G17" s="8">
        <f>_xlfn.IFS(F17="Tinggi",'B.kriteria &amp; R.kecocokan'!$C$34,F17="Sangat Tinggi",'B.kriteria &amp; R.kecocokan'!$C$35)</f>
        <v>7.5</v>
      </c>
      <c r="H17" s="8" t="str">
        <f>'B.kriteria &amp; R.kecocokan'!$B$41</f>
        <v>Rendah</v>
      </c>
      <c r="I17" s="8">
        <f>_xlfn.IFS(H17="Rendah",'B.kriteria &amp; R.kecocokan'!$C$41,H17="Sedang",'B.kriteria &amp; R.kecocokan'!$C$42,H17="Tinggi",'B.kriteria &amp; R.kecocokan'!$C$43)</f>
        <v>2.5</v>
      </c>
      <c r="J17" s="8" t="str">
        <f>'B.kriteria &amp; R.kecocokan'!$B$72</f>
        <v>Rendah</v>
      </c>
      <c r="K17" s="8">
        <f>_xlfn.IFS(J17="Rendah",'B.kriteria &amp; R.kecocokan'!$C$72,J17="Sedang",'B.kriteria &amp; R.kecocokan'!$C$73,J17="Tinggi",'B.kriteria &amp; R.kecocokan'!$C$74)</f>
        <v>2.5</v>
      </c>
      <c r="L17" s="8" t="str">
        <f>'B.kriteria &amp; R.kecocokan'!$B$95</f>
        <v>Rendah</v>
      </c>
      <c r="M17" s="8">
        <f>_xlfn.IFS(L17="Rendah",'B.kriteria &amp; R.kecocokan'!$C$95,L17="Tinggi",'B.kriteria &amp; R.kecocokan'!$C$96)</f>
        <v>2.5</v>
      </c>
      <c r="N17" s="9" t="str">
        <f>'B.kriteria &amp; R.kecocokan'!$B$81</f>
        <v>Tinggi</v>
      </c>
      <c r="O17" s="8">
        <f>_xlfn.IFS(N17="Rendah",'B.kriteria &amp; R.kecocokan'!$C$80,N17="Tinggi",'B.kriteria &amp; R.kecocokan'!$C$81)</f>
        <v>7.5</v>
      </c>
      <c r="P17" s="9" t="str">
        <f>'B.kriteria &amp; R.kecocokan'!$B$90</f>
        <v>Sangat Sedikit</v>
      </c>
      <c r="Q17" s="8">
        <f>_xlfn.IFS(P17="Sedikit",'B.kriteria &amp; R.kecocokan'!$C$89,P17="Sedang",'B.kriteria &amp; R.kecocokan'!$C$88,P17="Sangat Sedikit",'B.kriteria &amp; R.kecocokan'!$C$90)</f>
        <v>1</v>
      </c>
      <c r="R17" s="9" t="str">
        <f>'B.kriteria &amp; R.kecocokan'!$B$50</f>
        <v>Sedang</v>
      </c>
      <c r="S17" s="8">
        <f>_xlfn.IFS(R17="Rendah",'B.kriteria &amp; R.kecocokan'!$C$49,R17="Sedang",'B.kriteria &amp; R.kecocokan'!$C$50,R17="Tinggi",'B.kriteria &amp; R.kecocokan'!$C$51)</f>
        <v>5</v>
      </c>
      <c r="T17" s="9" t="str">
        <f>'B.kriteria &amp; R.kecocokan'!$B$58</f>
        <v>Sedang</v>
      </c>
      <c r="U17" s="51">
        <f>_xlfn.IFS(T17="Rendah",'B.kriteria &amp; R.kecocokan'!$C$57,T17="Sedang",'B.kriteria &amp; R.kecocokan'!$C$58,T17="Tinggi",'B.kriteria &amp; R.kecocokan'!$C$59)</f>
        <v>5</v>
      </c>
      <c r="V17" s="52" t="str">
        <f>'B.kriteria &amp; R.kecocokan'!$B$66</f>
        <v>Sedang</v>
      </c>
      <c r="W17" s="9">
        <f>_xlfn.IFS(V17="Rendah",'B.kriteria &amp; R.kecocokan'!$C$65,V17="Sedang",'B.kriteria &amp; R.kecocokan'!$C$66,V17="Tinggi",'B.kriteria &amp; R.kecocokan'!$C$67)</f>
        <v>2</v>
      </c>
      <c r="X17" s="117">
        <f t="shared" si="3"/>
        <v>6.8556546004010439</v>
      </c>
      <c r="Y17" s="117">
        <f t="shared" si="4"/>
        <v>8.1853527718724504</v>
      </c>
      <c r="Z17" s="119">
        <f t="shared" si="5"/>
        <v>6.8556546004010439</v>
      </c>
      <c r="AA17" s="55" t="str">
        <f t="shared" si="6"/>
        <v>Layak</v>
      </c>
    </row>
    <row r="18" spans="1:27" x14ac:dyDescent="0.35">
      <c r="A18" s="5">
        <v>12</v>
      </c>
      <c r="B18" s="2" t="s">
        <v>44</v>
      </c>
      <c r="C18" s="11" t="s">
        <v>13</v>
      </c>
      <c r="D18" s="32" t="str">
        <f>'B.kriteria &amp; R.kecocokan'!$B$24</f>
        <v>Cukup</v>
      </c>
      <c r="E18" s="111">
        <f>_xlfn.IFS(D18="Banyak",'B.kriteria &amp; R.kecocokan'!$C$23,D18="Cukup",'B.kriteria &amp; R.kecocokan'!$C$24,D18="Sedikit",'B.kriteria &amp; R.kecocokan'!$C$25)</f>
        <v>5</v>
      </c>
      <c r="F18" s="9" t="str">
        <f>'B.kriteria &amp; R.kecocokan'!$B$34</f>
        <v>Tinggi</v>
      </c>
      <c r="G18" s="8">
        <f>_xlfn.IFS(F18="Tinggi",'B.kriteria &amp; R.kecocokan'!$C$34,F18="Sangat Tinggi",'B.kriteria &amp; R.kecocokan'!$C$35)</f>
        <v>7.5</v>
      </c>
      <c r="H18" s="8" t="str">
        <f>'B.kriteria &amp; R.kecocokan'!$B$41</f>
        <v>Rendah</v>
      </c>
      <c r="I18" s="8">
        <f>_xlfn.IFS(H18="Rendah",'B.kriteria &amp; R.kecocokan'!$C$41,H18="Sedang",'B.kriteria &amp; R.kecocokan'!$C$42,H18="Tinggi",'B.kriteria &amp; R.kecocokan'!$C$43)</f>
        <v>2.5</v>
      </c>
      <c r="J18" s="8" t="str">
        <f>'B.kriteria &amp; R.kecocokan'!$B$72</f>
        <v>Rendah</v>
      </c>
      <c r="K18" s="8">
        <f>_xlfn.IFS(J18="Rendah",'B.kriteria &amp; R.kecocokan'!$C$72,J18="Sedang",'B.kriteria &amp; R.kecocokan'!$C$73,J18="Tinggi",'B.kriteria &amp; R.kecocokan'!$C$74)</f>
        <v>2.5</v>
      </c>
      <c r="L18" s="8" t="str">
        <f>'B.kriteria &amp; R.kecocokan'!$B$95</f>
        <v>Rendah</v>
      </c>
      <c r="M18" s="8">
        <f>_xlfn.IFS(L18="Rendah",'B.kriteria &amp; R.kecocokan'!$C$95,L18="Tinggi",'B.kriteria &amp; R.kecocokan'!$C$96)</f>
        <v>2.5</v>
      </c>
      <c r="N18" s="9" t="str">
        <f>'B.kriteria &amp; R.kecocokan'!$B$81</f>
        <v>Tinggi</v>
      </c>
      <c r="O18" s="8">
        <f>_xlfn.IFS(N18="Rendah",'B.kriteria &amp; R.kecocokan'!$C$80,N18="Tinggi",'B.kriteria &amp; R.kecocokan'!$C$81)</f>
        <v>7.5</v>
      </c>
      <c r="P18" s="9" t="str">
        <f>'B.kriteria &amp; R.kecocokan'!$B$90</f>
        <v>Sangat Sedikit</v>
      </c>
      <c r="Q18" s="8">
        <f>_xlfn.IFS(P18="Sedikit",'B.kriteria &amp; R.kecocokan'!$C$89,P18="Sedang",'B.kriteria &amp; R.kecocokan'!$C$88,P18="Sangat Sedikit",'B.kriteria &amp; R.kecocokan'!$C$90)</f>
        <v>1</v>
      </c>
      <c r="R18" s="8" t="str">
        <f>'B.kriteria &amp; R.kecocokan'!$B$49</f>
        <v>Rendah</v>
      </c>
      <c r="S18" s="8">
        <f>_xlfn.IFS(R18="Rendah",'B.kriteria &amp; R.kecocokan'!$C$49,R18="Sedang",'B.kriteria &amp; R.kecocokan'!$C$50,R18="Tinggi",'B.kriteria &amp; R.kecocokan'!$C$51)</f>
        <v>2.5</v>
      </c>
      <c r="T18" s="8" t="str">
        <f>'B.kriteria &amp; R.kecocokan'!$B$57</f>
        <v>Rendah</v>
      </c>
      <c r="U18" s="51">
        <f>_xlfn.IFS(T18="Rendah",'B.kriteria &amp; R.kecocokan'!$C$57,T18="Sedang",'B.kriteria &amp; R.kecocokan'!$C$58,T18="Tinggi",'B.kriteria &amp; R.kecocokan'!$C$59)</f>
        <v>2.5</v>
      </c>
      <c r="V18" s="51" t="str">
        <f>'B.kriteria &amp; R.kecocokan'!$B$65</f>
        <v>Rendah</v>
      </c>
      <c r="W18" s="9">
        <f>_xlfn.IFS(V18="Rendah",'B.kriteria &amp; R.kecocokan'!$C$65,V18="Sedang",'B.kriteria &amp; R.kecocokan'!$C$66,V18="Tinggi",'B.kriteria &amp; R.kecocokan'!$C$67)</f>
        <v>1</v>
      </c>
      <c r="X18" s="117">
        <f t="shared" si="3"/>
        <v>5.2201532544552753</v>
      </c>
      <c r="Y18" s="117">
        <f t="shared" si="4"/>
        <v>6.8738635424337602</v>
      </c>
      <c r="Z18" s="119">
        <f t="shared" si="5"/>
        <v>5.2201532544552753</v>
      </c>
      <c r="AA18" s="55" t="str">
        <f t="shared" si="6"/>
        <v>Layak</v>
      </c>
    </row>
    <row r="19" spans="1:27" x14ac:dyDescent="0.35">
      <c r="A19" s="5">
        <v>13</v>
      </c>
      <c r="B19" s="2" t="s">
        <v>45</v>
      </c>
      <c r="C19" s="11" t="s">
        <v>13</v>
      </c>
      <c r="D19" s="32" t="str">
        <f>'B.kriteria &amp; R.kecocokan'!$B$24</f>
        <v>Cukup</v>
      </c>
      <c r="E19" s="111">
        <f>_xlfn.IFS(D19="Banyak",'B.kriteria &amp; R.kecocokan'!$C$23,D19="Cukup",'B.kriteria &amp; R.kecocokan'!$C$24,D19="Sedikit",'B.kriteria &amp; R.kecocokan'!$C$25)</f>
        <v>5</v>
      </c>
      <c r="F19" s="9" t="str">
        <f>'B.kriteria &amp; R.kecocokan'!$B$34</f>
        <v>Tinggi</v>
      </c>
      <c r="G19" s="8">
        <f>_xlfn.IFS(F19="Tinggi",'B.kriteria &amp; R.kecocokan'!$C$34,F19="Sangat Tinggi",'B.kriteria &amp; R.kecocokan'!$C$35)</f>
        <v>7.5</v>
      </c>
      <c r="H19" s="9" t="str">
        <f>'B.kriteria &amp; R.kecocokan'!$B$43</f>
        <v>Tinggi</v>
      </c>
      <c r="I19" s="8">
        <f>_xlfn.IFS(H19="Rendah",'B.kriteria &amp; R.kecocokan'!$C$41,H19="Sedang",'B.kriteria &amp; R.kecocokan'!$C$42,H19="Tinggi",'B.kriteria &amp; R.kecocokan'!$C$43)</f>
        <v>7.5</v>
      </c>
      <c r="J19" s="8" t="str">
        <f>'B.kriteria &amp; R.kecocokan'!$B$72</f>
        <v>Rendah</v>
      </c>
      <c r="K19" s="8">
        <f>_xlfn.IFS(J19="Rendah",'B.kriteria &amp; R.kecocokan'!$C$72,J19="Sedang",'B.kriteria &amp; R.kecocokan'!$C$73,J19="Tinggi",'B.kriteria &amp; R.kecocokan'!$C$74)</f>
        <v>2.5</v>
      </c>
      <c r="L19" s="8" t="str">
        <f>'B.kriteria &amp; R.kecocokan'!$B$95</f>
        <v>Rendah</v>
      </c>
      <c r="M19" s="8">
        <f>_xlfn.IFS(L19="Rendah",'B.kriteria &amp; R.kecocokan'!$C$95,L19="Tinggi",'B.kriteria &amp; R.kecocokan'!$C$96)</f>
        <v>2.5</v>
      </c>
      <c r="N19" s="8" t="str">
        <f>'B.kriteria &amp; R.kecocokan'!$B$80</f>
        <v>Rendah</v>
      </c>
      <c r="O19" s="8">
        <f>_xlfn.IFS(N19="Rendah",'B.kriteria &amp; R.kecocokan'!$C$80,N19="Tinggi",'B.kriteria &amp; R.kecocokan'!$C$81)</f>
        <v>2.5</v>
      </c>
      <c r="P19" s="9" t="str">
        <f>'B.kriteria &amp; R.kecocokan'!$B$88</f>
        <v>Sedang</v>
      </c>
      <c r="Q19" s="8">
        <f>_xlfn.IFS(P19="Sedikit",'B.kriteria &amp; R.kecocokan'!$C$89,P19="Sedang",'B.kriteria &amp; R.kecocokan'!$C$88,P19="Sangat Sedikit",'B.kriteria &amp; R.kecocokan'!$C$90)</f>
        <v>5</v>
      </c>
      <c r="R19" s="8" t="str">
        <f>'B.kriteria &amp; R.kecocokan'!$B$49</f>
        <v>Rendah</v>
      </c>
      <c r="S19" s="8">
        <f>_xlfn.IFS(R19="Rendah",'B.kriteria &amp; R.kecocokan'!$C$49,R19="Sedang",'B.kriteria &amp; R.kecocokan'!$C$50,R19="Tinggi",'B.kriteria &amp; R.kecocokan'!$C$51)</f>
        <v>2.5</v>
      </c>
      <c r="T19" s="8" t="str">
        <f>'B.kriteria &amp; R.kecocokan'!$B$57</f>
        <v>Rendah</v>
      </c>
      <c r="U19" s="51">
        <f>_xlfn.IFS(T19="Rendah",'B.kriteria &amp; R.kecocokan'!$C$57,T19="Sedang",'B.kriteria &amp; R.kecocokan'!$C$58,T19="Tinggi",'B.kriteria &amp; R.kecocokan'!$C$59)</f>
        <v>2.5</v>
      </c>
      <c r="V19" s="51" t="str">
        <f>'B.kriteria &amp; R.kecocokan'!$B$65</f>
        <v>Rendah</v>
      </c>
      <c r="W19" s="9">
        <f>_xlfn.IFS(V19="Rendah",'B.kriteria &amp; R.kecocokan'!$C$65,V19="Sedang",'B.kriteria &amp; R.kecocokan'!$C$66,V19="Tinggi",'B.kriteria &amp; R.kecocokan'!$C$67)</f>
        <v>1</v>
      </c>
      <c r="X19" s="117">
        <f t="shared" si="3"/>
        <v>5.5901699437494745</v>
      </c>
      <c r="Y19" s="117">
        <f t="shared" si="4"/>
        <v>5.5901699437494745</v>
      </c>
      <c r="Z19" s="119">
        <f t="shared" si="5"/>
        <v>5.5901699437494745</v>
      </c>
      <c r="AA19" s="55" t="str">
        <f t="shared" si="6"/>
        <v>Tidak Layak</v>
      </c>
    </row>
    <row r="20" spans="1:27" x14ac:dyDescent="0.35">
      <c r="A20" s="1">
        <v>14</v>
      </c>
      <c r="B20" s="2" t="s">
        <v>46</v>
      </c>
      <c r="C20" s="11" t="s">
        <v>13</v>
      </c>
      <c r="D20" s="32" t="str">
        <f>'B.kriteria &amp; R.kecocokan'!$B$24</f>
        <v>Cukup</v>
      </c>
      <c r="E20" s="111">
        <f>_xlfn.IFS(D20="Banyak",'B.kriteria &amp; R.kecocokan'!$C$23,D20="Cukup",'B.kriteria &amp; R.kecocokan'!$C$24,D20="Sedikit",'B.kriteria &amp; R.kecocokan'!$C$25)</f>
        <v>5</v>
      </c>
      <c r="F20" s="9" t="str">
        <f>'B.kriteria &amp; R.kecocokan'!$B$35</f>
        <v>Sangat Tinggi</v>
      </c>
      <c r="G20" s="8">
        <f>_xlfn.IFS(F20="Tinggi",'B.kriteria &amp; R.kecocokan'!$C$34,F20="Sangat Tinggi",'B.kriteria &amp; R.kecocokan'!$C$35)</f>
        <v>10</v>
      </c>
      <c r="H20" s="8" t="str">
        <f>'B.kriteria &amp; R.kecocokan'!$B$41</f>
        <v>Rendah</v>
      </c>
      <c r="I20" s="8">
        <f>_xlfn.IFS(H20="Rendah",'B.kriteria &amp; R.kecocokan'!$C$41,H20="Sedang",'B.kriteria &amp; R.kecocokan'!$C$42,H20="Tinggi",'B.kriteria &amp; R.kecocokan'!$C$43)</f>
        <v>2.5</v>
      </c>
      <c r="J20" s="8" t="str">
        <f>'B.kriteria &amp; R.kecocokan'!$B$72</f>
        <v>Rendah</v>
      </c>
      <c r="K20" s="8">
        <f>_xlfn.IFS(J20="Rendah",'B.kriteria &amp; R.kecocokan'!$C$72,J20="Sedang",'B.kriteria &amp; R.kecocokan'!$C$73,J20="Tinggi",'B.kriteria &amp; R.kecocokan'!$C$74)</f>
        <v>2.5</v>
      </c>
      <c r="L20" s="8" t="str">
        <f>'B.kriteria &amp; R.kecocokan'!$B$95</f>
        <v>Rendah</v>
      </c>
      <c r="M20" s="8">
        <f>_xlfn.IFS(L20="Rendah",'B.kriteria &amp; R.kecocokan'!$C$95,L20="Tinggi",'B.kriteria &amp; R.kecocokan'!$C$96)</f>
        <v>2.5</v>
      </c>
      <c r="N20" s="8" t="str">
        <f>'B.kriteria &amp; R.kecocokan'!$B$80</f>
        <v>Rendah</v>
      </c>
      <c r="O20" s="8">
        <f>_xlfn.IFS(N20="Rendah",'B.kriteria &amp; R.kecocokan'!$C$80,N20="Tinggi",'B.kriteria &amp; R.kecocokan'!$C$81)</f>
        <v>2.5</v>
      </c>
      <c r="P20" s="8" t="str">
        <f>'B.kriteria &amp; R.kecocokan'!$B$89</f>
        <v>Sedikit</v>
      </c>
      <c r="Q20" s="8">
        <f>_xlfn.IFS(P20="Sedikit",'B.kriteria &amp; R.kecocokan'!$C$89,P20="Sedang",'B.kriteria &amp; R.kecocokan'!$C$88,P20="Sangat Sedikit",'B.kriteria &amp; R.kecocokan'!$C$90)</f>
        <v>2.5</v>
      </c>
      <c r="R20" s="8" t="str">
        <f>'B.kriteria &amp; R.kecocokan'!$B$49</f>
        <v>Rendah</v>
      </c>
      <c r="S20" s="8">
        <f>_xlfn.IFS(R20="Rendah",'B.kriteria &amp; R.kecocokan'!$C$49,R20="Sedang",'B.kriteria &amp; R.kecocokan'!$C$50,R20="Tinggi",'B.kriteria &amp; R.kecocokan'!$C$51)</f>
        <v>2.5</v>
      </c>
      <c r="T20" s="9" t="str">
        <f>'B.kriteria &amp; R.kecocokan'!$B$58</f>
        <v>Sedang</v>
      </c>
      <c r="U20" s="51">
        <f>_xlfn.IFS(T20="Rendah",'B.kriteria &amp; R.kecocokan'!$C$57,T20="Sedang",'B.kriteria &amp; R.kecocokan'!$C$58,T20="Tinggi",'B.kriteria &amp; R.kecocokan'!$C$59)</f>
        <v>5</v>
      </c>
      <c r="V20" s="51" t="str">
        <f>'B.kriteria &amp; R.kecocokan'!$B$65</f>
        <v>Rendah</v>
      </c>
      <c r="W20" s="9">
        <f>_xlfn.IFS(V20="Rendah",'B.kriteria &amp; R.kecocokan'!$C$65,V20="Sedang",'B.kriteria &amp; R.kecocokan'!$C$66,V20="Tinggi",'B.kriteria &amp; R.kecocokan'!$C$67)</f>
        <v>1</v>
      </c>
      <c r="X20" s="117">
        <f t="shared" si="3"/>
        <v>3.5355339059327378</v>
      </c>
      <c r="Y20" s="117">
        <f t="shared" si="4"/>
        <v>3.5355339059327378</v>
      </c>
      <c r="Z20" s="119">
        <f t="shared" si="5"/>
        <v>3.5355339059327378</v>
      </c>
      <c r="AA20" s="55" t="str">
        <f t="shared" si="6"/>
        <v>Tidak Layak</v>
      </c>
    </row>
    <row r="21" spans="1:27" x14ac:dyDescent="0.35">
      <c r="A21" s="5">
        <v>15</v>
      </c>
      <c r="B21" s="2" t="s">
        <v>48</v>
      </c>
      <c r="C21" s="11" t="s">
        <v>13</v>
      </c>
      <c r="D21" s="9" t="str">
        <f>'B.kriteria &amp; R.kecocokan'!$B$23</f>
        <v>Banyak</v>
      </c>
      <c r="E21" s="111">
        <f>_xlfn.IFS(D21="Banyak",'B.kriteria &amp; R.kecocokan'!$C$23,D21="Cukup",'B.kriteria &amp; R.kecocokan'!$C$24,D21="Sedikit",'B.kriteria &amp; R.kecocokan'!$C$25)</f>
        <v>2.5</v>
      </c>
      <c r="F21" s="9" t="str">
        <f>'B.kriteria &amp; R.kecocokan'!$B$35</f>
        <v>Sangat Tinggi</v>
      </c>
      <c r="G21" s="8">
        <f>_xlfn.IFS(F21="Tinggi",'B.kriteria &amp; R.kecocokan'!$C$34,F21="Sangat Tinggi",'B.kriteria &amp; R.kecocokan'!$C$35)</f>
        <v>10</v>
      </c>
      <c r="H21" s="8" t="str">
        <f>'B.kriteria &amp; R.kecocokan'!$B$41</f>
        <v>Rendah</v>
      </c>
      <c r="I21" s="8">
        <f>_xlfn.IFS(H21="Rendah",'B.kriteria &amp; R.kecocokan'!$C$41,H21="Sedang",'B.kriteria &amp; R.kecocokan'!$C$42,H21="Tinggi",'B.kriteria &amp; R.kecocokan'!$C$43)</f>
        <v>2.5</v>
      </c>
      <c r="J21" s="8" t="str">
        <f>'B.kriteria &amp; R.kecocokan'!$B$72</f>
        <v>Rendah</v>
      </c>
      <c r="K21" s="8">
        <f>_xlfn.IFS(J21="Rendah",'B.kriteria &amp; R.kecocokan'!$C$72,J21="Sedang",'B.kriteria &amp; R.kecocokan'!$C$73,J21="Tinggi",'B.kriteria &amp; R.kecocokan'!$C$74)</f>
        <v>2.5</v>
      </c>
      <c r="L21" s="8" t="str">
        <f>'B.kriteria &amp; R.kecocokan'!$B$95</f>
        <v>Rendah</v>
      </c>
      <c r="M21" s="8">
        <f>_xlfn.IFS(L21="Rendah",'B.kriteria &amp; R.kecocokan'!$C$95,L21="Tinggi",'B.kriteria &amp; R.kecocokan'!$C$96)</f>
        <v>2.5</v>
      </c>
      <c r="N21" s="8" t="str">
        <f>'B.kriteria &amp; R.kecocokan'!$B$80</f>
        <v>Rendah</v>
      </c>
      <c r="O21" s="8">
        <f>_xlfn.IFS(N21="Rendah",'B.kriteria &amp; R.kecocokan'!$C$80,N21="Tinggi",'B.kriteria &amp; R.kecocokan'!$C$81)</f>
        <v>2.5</v>
      </c>
      <c r="P21" s="9" t="str">
        <f>'B.kriteria &amp; R.kecocokan'!$B$88</f>
        <v>Sedang</v>
      </c>
      <c r="Q21" s="8">
        <f>_xlfn.IFS(P21="Sedikit",'B.kriteria &amp; R.kecocokan'!$C$89,P21="Sedang",'B.kriteria &amp; R.kecocokan'!$C$88,P21="Sangat Sedikit",'B.kriteria &amp; R.kecocokan'!$C$90)</f>
        <v>5</v>
      </c>
      <c r="R21" s="8" t="str">
        <f>'B.kriteria &amp; R.kecocokan'!$B$49</f>
        <v>Rendah</v>
      </c>
      <c r="S21" s="8">
        <f>_xlfn.IFS(R21="Rendah",'B.kriteria &amp; R.kecocokan'!$C$49,R21="Sedang",'B.kriteria &amp; R.kecocokan'!$C$50,R21="Tinggi",'B.kriteria &amp; R.kecocokan'!$C$51)</f>
        <v>2.5</v>
      </c>
      <c r="T21" s="8" t="str">
        <f>'B.kriteria &amp; R.kecocokan'!$B$57</f>
        <v>Rendah</v>
      </c>
      <c r="U21" s="51">
        <f>_xlfn.IFS(T21="Rendah",'B.kriteria &amp; R.kecocokan'!$C$57,T21="Sedang",'B.kriteria &amp; R.kecocokan'!$C$58,T21="Tinggi",'B.kriteria &amp; R.kecocokan'!$C$59)</f>
        <v>2.5</v>
      </c>
      <c r="V21" s="51" t="str">
        <f>'B.kriteria &amp; R.kecocokan'!$B$65</f>
        <v>Rendah</v>
      </c>
      <c r="W21" s="9">
        <f>_xlfn.IFS(V21="Rendah",'B.kriteria &amp; R.kecocokan'!$C$65,V21="Sedang",'B.kriteria &amp; R.kecocokan'!$C$66,V21="Tinggi",'B.kriteria &amp; R.kecocokan'!$C$67)</f>
        <v>1</v>
      </c>
      <c r="X21" s="117">
        <f t="shared" si="3"/>
        <v>4.3301270189221936</v>
      </c>
      <c r="Y21" s="117">
        <f t="shared" si="4"/>
        <v>2.5</v>
      </c>
      <c r="Z21" s="119">
        <f t="shared" si="5"/>
        <v>2.5</v>
      </c>
      <c r="AA21" s="55" t="str">
        <f t="shared" si="6"/>
        <v>Tidak Layak</v>
      </c>
    </row>
    <row r="22" spans="1:27" x14ac:dyDescent="0.35">
      <c r="A22" s="5">
        <v>16</v>
      </c>
      <c r="B22" s="2" t="s">
        <v>49</v>
      </c>
      <c r="C22" s="11" t="s">
        <v>13</v>
      </c>
      <c r="D22" s="32" t="str">
        <f>'B.kriteria &amp; R.kecocokan'!$B$24</f>
        <v>Cukup</v>
      </c>
      <c r="E22" s="111">
        <f>_xlfn.IFS(D22="Banyak",'B.kriteria &amp; R.kecocokan'!$C$23,D22="Cukup",'B.kriteria &amp; R.kecocokan'!$C$24,D22="Sedikit",'B.kriteria &amp; R.kecocokan'!$C$25)</f>
        <v>5</v>
      </c>
      <c r="F22" s="9" t="str">
        <f>'B.kriteria &amp; R.kecocokan'!$B$34</f>
        <v>Tinggi</v>
      </c>
      <c r="G22" s="8">
        <f>_xlfn.IFS(F22="Tinggi",'B.kriteria &amp; R.kecocokan'!$C$34,F22="Sangat Tinggi",'B.kriteria &amp; R.kecocokan'!$C$35)</f>
        <v>7.5</v>
      </c>
      <c r="H22" s="8" t="str">
        <f>'B.kriteria &amp; R.kecocokan'!$B$41</f>
        <v>Rendah</v>
      </c>
      <c r="I22" s="8">
        <f>_xlfn.IFS(H22="Rendah",'B.kriteria &amp; R.kecocokan'!$C$41,H22="Sedang",'B.kriteria &amp; R.kecocokan'!$C$42,H22="Tinggi",'B.kriteria &amp; R.kecocokan'!$C$43)</f>
        <v>2.5</v>
      </c>
      <c r="J22" s="8" t="str">
        <f>'B.kriteria &amp; R.kecocokan'!$B$72</f>
        <v>Rendah</v>
      </c>
      <c r="K22" s="8">
        <f>_xlfn.IFS(J22="Rendah",'B.kriteria &amp; R.kecocokan'!$C$72,J22="Sedang",'B.kriteria &amp; R.kecocokan'!$C$73,J22="Tinggi",'B.kriteria &amp; R.kecocokan'!$C$74)</f>
        <v>2.5</v>
      </c>
      <c r="L22" s="8" t="str">
        <f>'B.kriteria &amp; R.kecocokan'!$B$95</f>
        <v>Rendah</v>
      </c>
      <c r="M22" s="8">
        <f>_xlfn.IFS(L22="Rendah",'B.kriteria &amp; R.kecocokan'!$C$95,L22="Tinggi",'B.kriteria &amp; R.kecocokan'!$C$96)</f>
        <v>2.5</v>
      </c>
      <c r="N22" s="9" t="str">
        <f>'B.kriteria &amp; R.kecocokan'!$B$81</f>
        <v>Tinggi</v>
      </c>
      <c r="O22" s="8">
        <f>_xlfn.IFS(N22="Rendah",'B.kriteria &amp; R.kecocokan'!$C$80,N22="Tinggi",'B.kriteria &amp; R.kecocokan'!$C$81)</f>
        <v>7.5</v>
      </c>
      <c r="P22" s="9" t="str">
        <f>'B.kriteria &amp; R.kecocokan'!$B$90</f>
        <v>Sangat Sedikit</v>
      </c>
      <c r="Q22" s="8">
        <f>_xlfn.IFS(P22="Sedikit",'B.kriteria &amp; R.kecocokan'!$C$89,P22="Sedang",'B.kriteria &amp; R.kecocokan'!$C$88,P22="Sangat Sedikit",'B.kriteria &amp; R.kecocokan'!$C$90)</f>
        <v>1</v>
      </c>
      <c r="R22" s="8" t="str">
        <f>'B.kriteria &amp; R.kecocokan'!$B$49</f>
        <v>Rendah</v>
      </c>
      <c r="S22" s="8">
        <f>_xlfn.IFS(R22="Rendah",'B.kriteria &amp; R.kecocokan'!$C$49,R22="Sedang",'B.kriteria &amp; R.kecocokan'!$C$50,R22="Tinggi",'B.kriteria &amp; R.kecocokan'!$C$51)</f>
        <v>2.5</v>
      </c>
      <c r="T22" s="8" t="str">
        <f>'B.kriteria &amp; R.kecocokan'!$B$57</f>
        <v>Rendah</v>
      </c>
      <c r="U22" s="51">
        <f>_xlfn.IFS(T22="Rendah",'B.kriteria &amp; R.kecocokan'!$C$57,T22="Sedang",'B.kriteria &amp; R.kecocokan'!$C$58,T22="Tinggi",'B.kriteria &amp; R.kecocokan'!$C$59)</f>
        <v>2.5</v>
      </c>
      <c r="V22" s="51" t="str">
        <f>'B.kriteria &amp; R.kecocokan'!$B$65</f>
        <v>Rendah</v>
      </c>
      <c r="W22" s="9">
        <f>_xlfn.IFS(V22="Rendah",'B.kriteria &amp; R.kecocokan'!$C$65,V22="Sedang",'B.kriteria &amp; R.kecocokan'!$C$66,V22="Tinggi",'B.kriteria &amp; R.kecocokan'!$C$67)</f>
        <v>1</v>
      </c>
      <c r="X22" s="117">
        <f t="shared" si="3"/>
        <v>5.2201532544552753</v>
      </c>
      <c r="Y22" s="117">
        <f t="shared" si="4"/>
        <v>6.8738635424337602</v>
      </c>
      <c r="Z22" s="119">
        <f t="shared" si="5"/>
        <v>5.2201532544552753</v>
      </c>
      <c r="AA22" s="55" t="str">
        <f t="shared" si="6"/>
        <v>Layak</v>
      </c>
    </row>
    <row r="23" spans="1:27" x14ac:dyDescent="0.35">
      <c r="A23" s="1">
        <v>17</v>
      </c>
      <c r="B23" s="2" t="s">
        <v>257</v>
      </c>
      <c r="C23" s="11" t="s">
        <v>13</v>
      </c>
      <c r="D23" s="32" t="str">
        <f>'B.kriteria &amp; R.kecocokan'!$B$24</f>
        <v>Cukup</v>
      </c>
      <c r="E23" s="111">
        <f>_xlfn.IFS(D23="Banyak",'B.kriteria &amp; R.kecocokan'!$C$23,D23="Cukup",'B.kriteria &amp; R.kecocokan'!$C$24,D23="Sedikit",'B.kriteria &amp; R.kecocokan'!$C$25)</f>
        <v>5</v>
      </c>
      <c r="F23" s="9" t="str">
        <f>'B.kriteria &amp; R.kecocokan'!$B$35</f>
        <v>Sangat Tinggi</v>
      </c>
      <c r="G23" s="8">
        <f>_xlfn.IFS(F23="Tinggi",'B.kriteria &amp; R.kecocokan'!$C$34,F23="Sangat Tinggi",'B.kriteria &amp; R.kecocokan'!$C$35)</f>
        <v>10</v>
      </c>
      <c r="H23" s="8" t="str">
        <f>'B.kriteria &amp; R.kecocokan'!$B$41</f>
        <v>Rendah</v>
      </c>
      <c r="I23" s="8">
        <f>_xlfn.IFS(H23="Rendah",'B.kriteria &amp; R.kecocokan'!$C$41,H23="Sedang",'B.kriteria &amp; R.kecocokan'!$C$42,H23="Tinggi",'B.kriteria &amp; R.kecocokan'!$C$43)</f>
        <v>2.5</v>
      </c>
      <c r="J23" s="8" t="str">
        <f>'B.kriteria &amp; R.kecocokan'!$B$72</f>
        <v>Rendah</v>
      </c>
      <c r="K23" s="8">
        <f>_xlfn.IFS(J23="Rendah",'B.kriteria &amp; R.kecocokan'!$C$72,J23="Sedang",'B.kriteria &amp; R.kecocokan'!$C$73,J23="Tinggi",'B.kriteria &amp; R.kecocokan'!$C$74)</f>
        <v>2.5</v>
      </c>
      <c r="L23" s="8" t="str">
        <f>'B.kriteria &amp; R.kecocokan'!$B$95</f>
        <v>Rendah</v>
      </c>
      <c r="M23" s="8">
        <f>_xlfn.IFS(L23="Rendah",'B.kriteria &amp; R.kecocokan'!$C$95,L23="Tinggi",'B.kriteria &amp; R.kecocokan'!$C$96)</f>
        <v>2.5</v>
      </c>
      <c r="N23" s="8" t="str">
        <f>'B.kriteria &amp; R.kecocokan'!$B$80</f>
        <v>Rendah</v>
      </c>
      <c r="O23" s="8">
        <f>_xlfn.IFS(N23="Rendah",'B.kriteria &amp; R.kecocokan'!$C$80,N23="Tinggi",'B.kriteria &amp; R.kecocokan'!$C$81)</f>
        <v>2.5</v>
      </c>
      <c r="P23" s="9" t="str">
        <f>'B.kriteria &amp; R.kecocokan'!$B$88</f>
        <v>Sedang</v>
      </c>
      <c r="Q23" s="8">
        <f>_xlfn.IFS(P23="Sedikit",'B.kriteria &amp; R.kecocokan'!$C$89,P23="Sedang",'B.kriteria &amp; R.kecocokan'!$C$88,P23="Sangat Sedikit",'B.kriteria &amp; R.kecocokan'!$C$90)</f>
        <v>5</v>
      </c>
      <c r="R23" s="9" t="str">
        <f>'B.kriteria &amp; R.kecocokan'!$B$51</f>
        <v>Tinggi</v>
      </c>
      <c r="S23" s="8">
        <f>_xlfn.IFS(R23="Rendah",'B.kriteria &amp; R.kecocokan'!$C$49,R23="Sedang",'B.kriteria &amp; R.kecocokan'!$C$50,R23="Tinggi",'B.kriteria &amp; R.kecocokan'!$C$51)</f>
        <v>7.5</v>
      </c>
      <c r="T23" s="9" t="str">
        <f>'B.kriteria &amp; R.kecocokan'!$B$58</f>
        <v>Sedang</v>
      </c>
      <c r="U23" s="51">
        <f>_xlfn.IFS(T23="Rendah",'B.kriteria &amp; R.kecocokan'!$C$57,T23="Sedang",'B.kriteria &amp; R.kecocokan'!$C$58,T23="Tinggi",'B.kriteria &amp; R.kecocokan'!$C$59)</f>
        <v>5</v>
      </c>
      <c r="V23" s="51" t="str">
        <f>'B.kriteria &amp; R.kecocokan'!$B$65</f>
        <v>Rendah</v>
      </c>
      <c r="W23" s="9">
        <f>_xlfn.IFS(V23="Rendah",'B.kriteria &amp; R.kecocokan'!$C$65,V23="Sedang",'B.kriteria &amp; R.kecocokan'!$C$66,V23="Tinggi",'B.kriteria &amp; R.kecocokan'!$C$67)</f>
        <v>1</v>
      </c>
      <c r="X23" s="117">
        <f t="shared" si="3"/>
        <v>6.6143782776614763</v>
      </c>
      <c r="Y23" s="117">
        <f t="shared" si="4"/>
        <v>5.5901699437494745</v>
      </c>
      <c r="Z23" s="119">
        <f t="shared" si="5"/>
        <v>5.5901699437494745</v>
      </c>
      <c r="AA23" s="55" t="str">
        <f t="shared" si="6"/>
        <v>Tidak Layak</v>
      </c>
    </row>
    <row r="24" spans="1:27" x14ac:dyDescent="0.35">
      <c r="A24" s="5">
        <v>18</v>
      </c>
      <c r="B24" s="2" t="s">
        <v>52</v>
      </c>
      <c r="C24" s="11" t="s">
        <v>13</v>
      </c>
      <c r="D24" s="32" t="str">
        <f>'B.kriteria &amp; R.kecocokan'!$B$24</f>
        <v>Cukup</v>
      </c>
      <c r="E24" s="111">
        <f>_xlfn.IFS(D24="Banyak",'B.kriteria &amp; R.kecocokan'!$C$23,D24="Cukup",'B.kriteria &amp; R.kecocokan'!$C$24,D24="Sedikit",'B.kriteria &amp; R.kecocokan'!$C$25)</f>
        <v>5</v>
      </c>
      <c r="F24" s="9" t="str">
        <f>'B.kriteria &amp; R.kecocokan'!$B$35</f>
        <v>Sangat Tinggi</v>
      </c>
      <c r="G24" s="8">
        <f>_xlfn.IFS(F24="Tinggi",'B.kriteria &amp; R.kecocokan'!$C$34,F24="Sangat Tinggi",'B.kriteria &amp; R.kecocokan'!$C$35)</f>
        <v>10</v>
      </c>
      <c r="H24" s="8" t="str">
        <f>'B.kriteria &amp; R.kecocokan'!$B$41</f>
        <v>Rendah</v>
      </c>
      <c r="I24" s="8">
        <f>_xlfn.IFS(H24="Rendah",'B.kriteria &amp; R.kecocokan'!$C$41,H24="Sedang",'B.kriteria &amp; R.kecocokan'!$C$42,H24="Tinggi",'B.kriteria &amp; R.kecocokan'!$C$43)</f>
        <v>2.5</v>
      </c>
      <c r="J24" s="8" t="str">
        <f>'B.kriteria &amp; R.kecocokan'!$B$72</f>
        <v>Rendah</v>
      </c>
      <c r="K24" s="8">
        <f>_xlfn.IFS(J24="Rendah",'B.kriteria &amp; R.kecocokan'!$C$72,J24="Sedang",'B.kriteria &amp; R.kecocokan'!$C$73,J24="Tinggi",'B.kriteria &amp; R.kecocokan'!$C$74)</f>
        <v>2.5</v>
      </c>
      <c r="L24" s="8" t="str">
        <f>'B.kriteria &amp; R.kecocokan'!$B$95</f>
        <v>Rendah</v>
      </c>
      <c r="M24" s="8">
        <f>_xlfn.IFS(L24="Rendah",'B.kriteria &amp; R.kecocokan'!$C$95,L24="Tinggi",'B.kriteria &amp; R.kecocokan'!$C$96)</f>
        <v>2.5</v>
      </c>
      <c r="N24" s="8" t="str">
        <f>'B.kriteria &amp; R.kecocokan'!$B$80</f>
        <v>Rendah</v>
      </c>
      <c r="O24" s="8">
        <f>_xlfn.IFS(N24="Rendah",'B.kriteria &amp; R.kecocokan'!$C$80,N24="Tinggi",'B.kriteria &amp; R.kecocokan'!$C$81)</f>
        <v>2.5</v>
      </c>
      <c r="P24" s="9" t="str">
        <f>'B.kriteria &amp; R.kecocokan'!$B$88</f>
        <v>Sedang</v>
      </c>
      <c r="Q24" s="8">
        <f>_xlfn.IFS(P24="Sedikit",'B.kriteria &amp; R.kecocokan'!$C$89,P24="Sedang",'B.kriteria &amp; R.kecocokan'!$C$88,P24="Sangat Sedikit",'B.kriteria &amp; R.kecocokan'!$C$90)</f>
        <v>5</v>
      </c>
      <c r="R24" s="9" t="str">
        <f>'B.kriteria &amp; R.kecocokan'!$B$50</f>
        <v>Sedang</v>
      </c>
      <c r="S24" s="8">
        <f>_xlfn.IFS(R24="Rendah",'B.kriteria &amp; R.kecocokan'!$C$49,R24="Sedang",'B.kriteria &amp; R.kecocokan'!$C$50,R24="Tinggi",'B.kriteria &amp; R.kecocokan'!$C$51)</f>
        <v>5</v>
      </c>
      <c r="T24" s="9" t="str">
        <f>'B.kriteria &amp; R.kecocokan'!$B$58</f>
        <v>Sedang</v>
      </c>
      <c r="U24" s="51">
        <f>_xlfn.IFS(T24="Rendah",'B.kriteria &amp; R.kecocokan'!$C$57,T24="Sedang",'B.kriteria &amp; R.kecocokan'!$C$58,T24="Tinggi",'B.kriteria &amp; R.kecocokan'!$C$59)</f>
        <v>5</v>
      </c>
      <c r="V24" s="51" t="str">
        <f>'B.kriteria &amp; R.kecocokan'!$B$65</f>
        <v>Rendah</v>
      </c>
      <c r="W24" s="9">
        <f>_xlfn.IFS(V24="Rendah",'B.kriteria &amp; R.kecocokan'!$C$65,V24="Sedang",'B.kriteria &amp; R.kecocokan'!$C$66,V24="Tinggi",'B.kriteria &amp; R.kecocokan'!$C$67)</f>
        <v>1</v>
      </c>
      <c r="X24" s="117">
        <f t="shared" si="3"/>
        <v>5</v>
      </c>
      <c r="Y24" s="117">
        <f t="shared" si="4"/>
        <v>3.5355339059327378</v>
      </c>
      <c r="Z24" s="119">
        <f t="shared" si="5"/>
        <v>3.5355339059327378</v>
      </c>
      <c r="AA24" s="55" t="str">
        <f t="shared" si="6"/>
        <v>Tidak Layak</v>
      </c>
    </row>
    <row r="25" spans="1:27" x14ac:dyDescent="0.35">
      <c r="A25" s="5">
        <v>19</v>
      </c>
      <c r="B25" s="2" t="s">
        <v>55</v>
      </c>
      <c r="C25" s="11" t="s">
        <v>13</v>
      </c>
      <c r="D25" s="9" t="str">
        <f>'B.kriteria &amp; R.kecocokan'!$B$25</f>
        <v>Sedikit</v>
      </c>
      <c r="E25" s="111">
        <f>_xlfn.IFS(D25="Banyak",'B.kriteria &amp; R.kecocokan'!$C$23,D25="Cukup",'B.kriteria &amp; R.kecocokan'!$C$24,D25="Sedikit",'B.kriteria &amp; R.kecocokan'!$C$25)</f>
        <v>7.5</v>
      </c>
      <c r="F25" s="9" t="str">
        <f>'B.kriteria &amp; R.kecocokan'!$B$34</f>
        <v>Tinggi</v>
      </c>
      <c r="G25" s="8">
        <f>_xlfn.IFS(F25="Tinggi",'B.kriteria &amp; R.kecocokan'!$C$34,F25="Sangat Tinggi",'B.kriteria &amp; R.kecocokan'!$C$35)</f>
        <v>7.5</v>
      </c>
      <c r="H25" s="8" t="str">
        <f>'B.kriteria &amp; R.kecocokan'!$B$41</f>
        <v>Rendah</v>
      </c>
      <c r="I25" s="8">
        <f>_xlfn.IFS(H25="Rendah",'B.kriteria &amp; R.kecocokan'!$C$41,H25="Sedang",'B.kriteria &amp; R.kecocokan'!$C$42,H25="Tinggi",'B.kriteria &amp; R.kecocokan'!$C$43)</f>
        <v>2.5</v>
      </c>
      <c r="J25" s="8" t="str">
        <f>'B.kriteria &amp; R.kecocokan'!$B$72</f>
        <v>Rendah</v>
      </c>
      <c r="K25" s="8">
        <f>_xlfn.IFS(J25="Rendah",'B.kriteria &amp; R.kecocokan'!$C$72,J25="Sedang",'B.kriteria &amp; R.kecocokan'!$C$73,J25="Tinggi",'B.kriteria &amp; R.kecocokan'!$C$74)</f>
        <v>2.5</v>
      </c>
      <c r="L25" s="8" t="str">
        <f>'B.kriteria &amp; R.kecocokan'!$B$95</f>
        <v>Rendah</v>
      </c>
      <c r="M25" s="8">
        <f>_xlfn.IFS(L25="Rendah",'B.kriteria &amp; R.kecocokan'!$C$95,L25="Tinggi",'B.kriteria &amp; R.kecocokan'!$C$96)</f>
        <v>2.5</v>
      </c>
      <c r="N25" s="9" t="str">
        <f>'B.kriteria &amp; R.kecocokan'!$B$81</f>
        <v>Tinggi</v>
      </c>
      <c r="O25" s="8">
        <f>_xlfn.IFS(N25="Rendah",'B.kriteria &amp; R.kecocokan'!$C$80,N25="Tinggi",'B.kriteria &amp; R.kecocokan'!$C$81)</f>
        <v>7.5</v>
      </c>
      <c r="P25" s="9" t="str">
        <f>'B.kriteria &amp; R.kecocokan'!$B$90</f>
        <v>Sangat Sedikit</v>
      </c>
      <c r="Q25" s="8">
        <f>_xlfn.IFS(P25="Sedikit",'B.kriteria &amp; R.kecocokan'!$C$89,P25="Sedang",'B.kriteria &amp; R.kecocokan'!$C$88,P25="Sangat Sedikit",'B.kriteria &amp; R.kecocokan'!$C$90)</f>
        <v>1</v>
      </c>
      <c r="R25" s="8" t="str">
        <f>'B.kriteria &amp; R.kecocokan'!$B$49</f>
        <v>Rendah</v>
      </c>
      <c r="S25" s="8">
        <f>_xlfn.IFS(R25="Rendah",'B.kriteria &amp; R.kecocokan'!$C$49,R25="Sedang",'B.kriteria &amp; R.kecocokan'!$C$50,R25="Tinggi",'B.kriteria &amp; R.kecocokan'!$C$51)</f>
        <v>2.5</v>
      </c>
      <c r="T25" s="9" t="str">
        <f>'B.kriteria &amp; R.kecocokan'!$B$58</f>
        <v>Sedang</v>
      </c>
      <c r="U25" s="51">
        <f>_xlfn.IFS(T25="Rendah",'B.kriteria &amp; R.kecocokan'!$C$57,T25="Sedang",'B.kriteria &amp; R.kecocokan'!$C$58,T25="Tinggi",'B.kriteria &amp; R.kecocokan'!$C$59)</f>
        <v>5</v>
      </c>
      <c r="V25" s="51" t="str">
        <f>'B.kriteria &amp; R.kecocokan'!$B$65</f>
        <v>Rendah</v>
      </c>
      <c r="W25" s="9">
        <f>_xlfn.IFS(V25="Rendah",'B.kriteria &amp; R.kecocokan'!$C$65,V25="Sedang",'B.kriteria &amp; R.kecocokan'!$C$66,V25="Tinggi",'B.kriteria &amp; R.kecocokan'!$C$67)</f>
        <v>1</v>
      </c>
      <c r="X25" s="117">
        <f t="shared" si="3"/>
        <v>6.3047601064592458</v>
      </c>
      <c r="Y25" s="117">
        <f t="shared" si="4"/>
        <v>7.7298124168701534</v>
      </c>
      <c r="Z25" s="119">
        <f t="shared" si="5"/>
        <v>6.3047601064592458</v>
      </c>
      <c r="AA25" s="55" t="str">
        <f t="shared" si="6"/>
        <v>Layak</v>
      </c>
    </row>
    <row r="26" spans="1:27" x14ac:dyDescent="0.35">
      <c r="A26" s="1">
        <v>20</v>
      </c>
      <c r="B26" s="2" t="s">
        <v>56</v>
      </c>
      <c r="C26" s="11" t="s">
        <v>13</v>
      </c>
      <c r="D26" s="32" t="str">
        <f>'B.kriteria &amp; R.kecocokan'!$B$24</f>
        <v>Cukup</v>
      </c>
      <c r="E26" s="111">
        <f>_xlfn.IFS(D26="Banyak",'B.kriteria &amp; R.kecocokan'!$C$23,D26="Cukup",'B.kriteria &amp; R.kecocokan'!$C$24,D26="Sedikit",'B.kriteria &amp; R.kecocokan'!$C$25)</f>
        <v>5</v>
      </c>
      <c r="F26" s="9" t="str">
        <f>'B.kriteria &amp; R.kecocokan'!$B$34</f>
        <v>Tinggi</v>
      </c>
      <c r="G26" s="8">
        <f>_xlfn.IFS(F26="Tinggi",'B.kriteria &amp; R.kecocokan'!$C$34,F26="Sangat Tinggi",'B.kriteria &amp; R.kecocokan'!$C$35)</f>
        <v>7.5</v>
      </c>
      <c r="H26" s="8" t="str">
        <f>'B.kriteria &amp; R.kecocokan'!$B$41</f>
        <v>Rendah</v>
      </c>
      <c r="I26" s="8">
        <f>_xlfn.IFS(H26="Rendah",'B.kriteria &amp; R.kecocokan'!$C$41,H26="Sedang",'B.kriteria &amp; R.kecocokan'!$C$42,H26="Tinggi",'B.kriteria &amp; R.kecocokan'!$C$43)</f>
        <v>2.5</v>
      </c>
      <c r="J26" s="8" t="str">
        <f>'B.kriteria &amp; R.kecocokan'!$B$72</f>
        <v>Rendah</v>
      </c>
      <c r="K26" s="8">
        <f>_xlfn.IFS(J26="Rendah",'B.kriteria &amp; R.kecocokan'!$C$72,J26="Sedang",'B.kriteria &amp; R.kecocokan'!$C$73,J26="Tinggi",'B.kriteria &amp; R.kecocokan'!$C$74)</f>
        <v>2.5</v>
      </c>
      <c r="L26" s="8" t="str">
        <f>'B.kriteria &amp; R.kecocokan'!$B$95</f>
        <v>Rendah</v>
      </c>
      <c r="M26" s="8">
        <f>_xlfn.IFS(L26="Rendah",'B.kriteria &amp; R.kecocokan'!$C$95,L26="Tinggi",'B.kriteria &amp; R.kecocokan'!$C$96)</f>
        <v>2.5</v>
      </c>
      <c r="N26" s="8" t="str">
        <f>'B.kriteria &amp; R.kecocokan'!$B$80</f>
        <v>Rendah</v>
      </c>
      <c r="O26" s="8">
        <f>_xlfn.IFS(N26="Rendah",'B.kriteria &amp; R.kecocokan'!$C$80,N26="Tinggi",'B.kriteria &amp; R.kecocokan'!$C$81)</f>
        <v>2.5</v>
      </c>
      <c r="P26" s="8" t="str">
        <f>'B.kriteria &amp; R.kecocokan'!$B$89</f>
        <v>Sedikit</v>
      </c>
      <c r="Q26" s="8">
        <f>_xlfn.IFS(P26="Sedikit",'B.kriteria &amp; R.kecocokan'!$C$89,P26="Sedang",'B.kriteria &amp; R.kecocokan'!$C$88,P26="Sangat Sedikit",'B.kriteria &amp; R.kecocokan'!$C$90)</f>
        <v>2.5</v>
      </c>
      <c r="R26" s="8" t="str">
        <f>'B.kriteria &amp; R.kecocokan'!$B$49</f>
        <v>Rendah</v>
      </c>
      <c r="S26" s="8">
        <f>_xlfn.IFS(R26="Rendah",'B.kriteria &amp; R.kecocokan'!$C$49,R26="Sedang",'B.kriteria &amp; R.kecocokan'!$C$50,R26="Tinggi",'B.kriteria &amp; R.kecocokan'!$C$51)</f>
        <v>2.5</v>
      </c>
      <c r="T26" s="9" t="str">
        <f>'B.kriteria &amp; R.kecocokan'!$B$58</f>
        <v>Sedang</v>
      </c>
      <c r="U26" s="51">
        <f>_xlfn.IFS(T26="Rendah",'B.kriteria &amp; R.kecocokan'!$C$57,T26="Sedang",'B.kriteria &amp; R.kecocokan'!$C$58,T26="Tinggi",'B.kriteria &amp; R.kecocokan'!$C$59)</f>
        <v>5</v>
      </c>
      <c r="V26" s="51" t="str">
        <f>'B.kriteria &amp; R.kecocokan'!$B$65</f>
        <v>Rendah</v>
      </c>
      <c r="W26" s="9">
        <f>_xlfn.IFS(V26="Rendah",'B.kriteria &amp; R.kecocokan'!$C$65,V26="Sedang",'B.kriteria &amp; R.kecocokan'!$C$66,V26="Tinggi",'B.kriteria &amp; R.kecocokan'!$C$67)</f>
        <v>1</v>
      </c>
      <c r="X26" s="117">
        <f t="shared" si="3"/>
        <v>2.5</v>
      </c>
      <c r="Y26" s="117">
        <f t="shared" si="4"/>
        <v>4.3301270189221936</v>
      </c>
      <c r="Z26" s="119">
        <f t="shared" si="5"/>
        <v>2.5</v>
      </c>
      <c r="AA26" s="55" t="str">
        <f t="shared" si="6"/>
        <v>Layak</v>
      </c>
    </row>
    <row r="27" spans="1:27" x14ac:dyDescent="0.35">
      <c r="A27" s="5">
        <v>21</v>
      </c>
      <c r="B27" s="2" t="s">
        <v>57</v>
      </c>
      <c r="C27" s="11" t="s">
        <v>13</v>
      </c>
      <c r="D27" s="9" t="str">
        <f>'B.kriteria &amp; R.kecocokan'!$B$25</f>
        <v>Sedikit</v>
      </c>
      <c r="E27" s="111">
        <f>_xlfn.IFS(D27="Banyak",'B.kriteria &amp; R.kecocokan'!$C$23,D27="Cukup",'B.kriteria &amp; R.kecocokan'!$C$24,D27="Sedikit",'B.kriteria &amp; R.kecocokan'!$C$25)</f>
        <v>7.5</v>
      </c>
      <c r="F27" s="9" t="str">
        <f>'B.kriteria &amp; R.kecocokan'!$B$35</f>
        <v>Sangat Tinggi</v>
      </c>
      <c r="G27" s="8">
        <f>_xlfn.IFS(F27="Tinggi",'B.kriteria &amp; R.kecocokan'!$C$34,F27="Sangat Tinggi",'B.kriteria &amp; R.kecocokan'!$C$35)</f>
        <v>10</v>
      </c>
      <c r="H27" s="8" t="str">
        <f>'B.kriteria &amp; R.kecocokan'!$B$41</f>
        <v>Rendah</v>
      </c>
      <c r="I27" s="8">
        <f>_xlfn.IFS(H27="Rendah",'B.kriteria &amp; R.kecocokan'!$C$41,H27="Sedang",'B.kriteria &amp; R.kecocokan'!$C$42,H27="Tinggi",'B.kriteria &amp; R.kecocokan'!$C$43)</f>
        <v>2.5</v>
      </c>
      <c r="J27" s="8" t="str">
        <f>'B.kriteria &amp; R.kecocokan'!$B$72</f>
        <v>Rendah</v>
      </c>
      <c r="K27" s="8">
        <f>_xlfn.IFS(J27="Rendah",'B.kriteria &amp; R.kecocokan'!$C$72,J27="Sedang",'B.kriteria &amp; R.kecocokan'!$C$73,J27="Tinggi",'B.kriteria &amp; R.kecocokan'!$C$74)</f>
        <v>2.5</v>
      </c>
      <c r="L27" s="8" t="str">
        <f>'B.kriteria &amp; R.kecocokan'!$B$95</f>
        <v>Rendah</v>
      </c>
      <c r="M27" s="8">
        <f>_xlfn.IFS(L27="Rendah",'B.kriteria &amp; R.kecocokan'!$C$95,L27="Tinggi",'B.kriteria &amp; R.kecocokan'!$C$96)</f>
        <v>2.5</v>
      </c>
      <c r="N27" s="9" t="str">
        <f>'B.kriteria &amp; R.kecocokan'!$B$81</f>
        <v>Tinggi</v>
      </c>
      <c r="O27" s="8">
        <f>_xlfn.IFS(N27="Rendah",'B.kriteria &amp; R.kecocokan'!$C$80,N27="Tinggi",'B.kriteria &amp; R.kecocokan'!$C$81)</f>
        <v>7.5</v>
      </c>
      <c r="P27" s="9" t="str">
        <f>'B.kriteria &amp; R.kecocokan'!$B$90</f>
        <v>Sangat Sedikit</v>
      </c>
      <c r="Q27" s="8">
        <f>_xlfn.IFS(P27="Sedikit",'B.kriteria &amp; R.kecocokan'!$C$89,P27="Sedang",'B.kriteria &amp; R.kecocokan'!$C$88,P27="Sangat Sedikit",'B.kriteria &amp; R.kecocokan'!$C$90)</f>
        <v>1</v>
      </c>
      <c r="R27" s="8" t="str">
        <f>'B.kriteria &amp; R.kecocokan'!$B$49</f>
        <v>Rendah</v>
      </c>
      <c r="S27" s="8">
        <f>_xlfn.IFS(R27="Rendah",'B.kriteria &amp; R.kecocokan'!$C$49,R27="Sedang",'B.kriteria &amp; R.kecocokan'!$C$50,R27="Tinggi",'B.kriteria &amp; R.kecocokan'!$C$51)</f>
        <v>2.5</v>
      </c>
      <c r="T27" s="9" t="str">
        <f>'B.kriteria &amp; R.kecocokan'!$B$58</f>
        <v>Sedang</v>
      </c>
      <c r="U27" s="51">
        <f>_xlfn.IFS(T27="Rendah",'B.kriteria &amp; R.kecocokan'!$C$57,T27="Sedang",'B.kriteria &amp; R.kecocokan'!$C$58,T27="Tinggi",'B.kriteria &amp; R.kecocokan'!$C$59)</f>
        <v>5</v>
      </c>
      <c r="V27" s="51" t="str">
        <f>'B.kriteria &amp; R.kecocokan'!$B$65</f>
        <v>Rendah</v>
      </c>
      <c r="W27" s="9">
        <f>_xlfn.IFS(V27="Rendah",'B.kriteria &amp; R.kecocokan'!$C$65,V27="Sedang",'B.kriteria &amp; R.kecocokan'!$C$66,V27="Tinggi",'B.kriteria &amp; R.kecocokan'!$C$67)</f>
        <v>1</v>
      </c>
      <c r="X27" s="117">
        <f t="shared" si="3"/>
        <v>6.7823299831252681</v>
      </c>
      <c r="Y27" s="117">
        <f t="shared" si="4"/>
        <v>7.3143694191638966</v>
      </c>
      <c r="Z27" s="119">
        <f t="shared" si="5"/>
        <v>6.7823299831252681</v>
      </c>
      <c r="AA27" s="55" t="str">
        <f t="shared" si="6"/>
        <v>Layak</v>
      </c>
    </row>
    <row r="28" spans="1:27" x14ac:dyDescent="0.35">
      <c r="A28" s="5">
        <v>22</v>
      </c>
      <c r="B28" s="2" t="s">
        <v>59</v>
      </c>
      <c r="C28" s="11" t="s">
        <v>13</v>
      </c>
      <c r="D28" s="9" t="str">
        <f>'B.kriteria &amp; R.kecocokan'!$B$23</f>
        <v>Banyak</v>
      </c>
      <c r="E28" s="111">
        <f>_xlfn.IFS(D28="Banyak",'B.kriteria &amp; R.kecocokan'!$C$23,D28="Cukup",'B.kriteria &amp; R.kecocokan'!$C$24,D28="Sedikit",'B.kriteria &amp; R.kecocokan'!$C$25)</f>
        <v>2.5</v>
      </c>
      <c r="F28" s="9" t="str">
        <f>'B.kriteria &amp; R.kecocokan'!$B$34</f>
        <v>Tinggi</v>
      </c>
      <c r="G28" s="8">
        <f>_xlfn.IFS(F28="Tinggi",'B.kriteria &amp; R.kecocokan'!$C$34,F28="Sangat Tinggi",'B.kriteria &amp; R.kecocokan'!$C$35)</f>
        <v>7.5</v>
      </c>
      <c r="H28" s="8" t="str">
        <f>'B.kriteria &amp; R.kecocokan'!$B$41</f>
        <v>Rendah</v>
      </c>
      <c r="I28" s="8">
        <f>_xlfn.IFS(H28="Rendah",'B.kriteria &amp; R.kecocokan'!$C$41,H28="Sedang",'B.kriteria &amp; R.kecocokan'!$C$42,H28="Tinggi",'B.kriteria &amp; R.kecocokan'!$C$43)</f>
        <v>2.5</v>
      </c>
      <c r="J28" s="8" t="str">
        <f>'B.kriteria &amp; R.kecocokan'!$B$72</f>
        <v>Rendah</v>
      </c>
      <c r="K28" s="8">
        <f>_xlfn.IFS(J28="Rendah",'B.kriteria &amp; R.kecocokan'!$C$72,J28="Sedang",'B.kriteria &amp; R.kecocokan'!$C$73,J28="Tinggi",'B.kriteria &amp; R.kecocokan'!$C$74)</f>
        <v>2.5</v>
      </c>
      <c r="L28" s="8" t="str">
        <f>'B.kriteria &amp; R.kecocokan'!$B$95</f>
        <v>Rendah</v>
      </c>
      <c r="M28" s="8">
        <f>_xlfn.IFS(L28="Rendah",'B.kriteria &amp; R.kecocokan'!$C$95,L28="Tinggi",'B.kriteria &amp; R.kecocokan'!$C$96)</f>
        <v>2.5</v>
      </c>
      <c r="N28" s="8" t="str">
        <f>'B.kriteria &amp; R.kecocokan'!$B$80</f>
        <v>Rendah</v>
      </c>
      <c r="O28" s="8">
        <f>_xlfn.IFS(N28="Rendah",'B.kriteria &amp; R.kecocokan'!$C$80,N28="Tinggi",'B.kriteria &amp; R.kecocokan'!$C$81)</f>
        <v>2.5</v>
      </c>
      <c r="P28" s="9" t="str">
        <f>'B.kriteria &amp; R.kecocokan'!$B$88</f>
        <v>Sedang</v>
      </c>
      <c r="Q28" s="8">
        <f>_xlfn.IFS(P28="Sedikit",'B.kriteria &amp; R.kecocokan'!$C$89,P28="Sedang",'B.kriteria &amp; R.kecocokan'!$C$88,P28="Sangat Sedikit",'B.kriteria &amp; R.kecocokan'!$C$90)</f>
        <v>5</v>
      </c>
      <c r="R28" s="8" t="str">
        <f>'B.kriteria &amp; R.kecocokan'!$B$49</f>
        <v>Rendah</v>
      </c>
      <c r="S28" s="8">
        <f>_xlfn.IFS(R28="Rendah",'B.kriteria &amp; R.kecocokan'!$C$49,R28="Sedang",'B.kriteria &amp; R.kecocokan'!$C$50,R28="Tinggi",'B.kriteria &amp; R.kecocokan'!$C$51)</f>
        <v>2.5</v>
      </c>
      <c r="T28" s="8" t="str">
        <f>'B.kriteria &amp; R.kecocokan'!$B$57</f>
        <v>Rendah</v>
      </c>
      <c r="U28" s="51">
        <f>_xlfn.IFS(T28="Rendah",'B.kriteria &amp; R.kecocokan'!$C$57,T28="Sedang",'B.kriteria &amp; R.kecocokan'!$C$58,T28="Tinggi",'B.kriteria &amp; R.kecocokan'!$C$59)</f>
        <v>2.5</v>
      </c>
      <c r="V28" s="51" t="str">
        <f>'B.kriteria &amp; R.kecocokan'!$B$65</f>
        <v>Rendah</v>
      </c>
      <c r="W28" s="9">
        <f>_xlfn.IFS(V28="Rendah",'B.kriteria &amp; R.kecocokan'!$C$65,V28="Sedang",'B.kriteria &amp; R.kecocokan'!$C$66,V28="Tinggi",'B.kriteria &amp; R.kecocokan'!$C$67)</f>
        <v>1</v>
      </c>
      <c r="X28" s="117">
        <f t="shared" si="3"/>
        <v>3.5355339059327378</v>
      </c>
      <c r="Y28" s="117">
        <f t="shared" si="4"/>
        <v>3.5355339059327378</v>
      </c>
      <c r="Z28" s="119">
        <f t="shared" si="5"/>
        <v>3.5355339059327378</v>
      </c>
      <c r="AA28" s="55" t="str">
        <f t="shared" si="6"/>
        <v>Tidak Layak</v>
      </c>
    </row>
    <row r="29" spans="1:27" x14ac:dyDescent="0.35">
      <c r="A29" s="1">
        <v>23</v>
      </c>
      <c r="B29" s="2" t="s">
        <v>61</v>
      </c>
      <c r="C29" s="11" t="s">
        <v>13</v>
      </c>
      <c r="D29" s="32" t="str">
        <f>'B.kriteria &amp; R.kecocokan'!$B$24</f>
        <v>Cukup</v>
      </c>
      <c r="E29" s="111">
        <f>_xlfn.IFS(D29="Banyak",'B.kriteria &amp; R.kecocokan'!$C$23,D29="Cukup",'B.kriteria &amp; R.kecocokan'!$C$24,D29="Sedikit",'B.kriteria &amp; R.kecocokan'!$C$25)</f>
        <v>5</v>
      </c>
      <c r="F29" s="9" t="str">
        <f>'B.kriteria &amp; R.kecocokan'!$B$34</f>
        <v>Tinggi</v>
      </c>
      <c r="G29" s="8">
        <f>_xlfn.IFS(F29="Tinggi",'B.kriteria &amp; R.kecocokan'!$C$34,F29="Sangat Tinggi",'B.kriteria &amp; R.kecocokan'!$C$35)</f>
        <v>7.5</v>
      </c>
      <c r="H29" s="8" t="str">
        <f>'B.kriteria &amp; R.kecocokan'!$B$41</f>
        <v>Rendah</v>
      </c>
      <c r="I29" s="8">
        <f>_xlfn.IFS(H29="Rendah",'B.kriteria &amp; R.kecocokan'!$C$41,H29="Sedang",'B.kriteria &amp; R.kecocokan'!$C$42,H29="Tinggi",'B.kriteria &amp; R.kecocokan'!$C$43)</f>
        <v>2.5</v>
      </c>
      <c r="J29" s="8" t="str">
        <f>'B.kriteria &amp; R.kecocokan'!$B$72</f>
        <v>Rendah</v>
      </c>
      <c r="K29" s="8">
        <f>_xlfn.IFS(J29="Rendah",'B.kriteria &amp; R.kecocokan'!$C$72,J29="Sedang",'B.kriteria &amp; R.kecocokan'!$C$73,J29="Tinggi",'B.kriteria &amp; R.kecocokan'!$C$74)</f>
        <v>2.5</v>
      </c>
      <c r="L29" s="8" t="str">
        <f>'B.kriteria &amp; R.kecocokan'!$B$95</f>
        <v>Rendah</v>
      </c>
      <c r="M29" s="8">
        <f>_xlfn.IFS(L29="Rendah",'B.kriteria &amp; R.kecocokan'!$C$95,L29="Tinggi",'B.kriteria &amp; R.kecocokan'!$C$96)</f>
        <v>2.5</v>
      </c>
      <c r="N29" s="8" t="str">
        <f>'B.kriteria &amp; R.kecocokan'!$B$80</f>
        <v>Rendah</v>
      </c>
      <c r="O29" s="8">
        <f>_xlfn.IFS(N29="Rendah",'B.kriteria &amp; R.kecocokan'!$C$80,N29="Tinggi",'B.kriteria &amp; R.kecocokan'!$C$81)</f>
        <v>2.5</v>
      </c>
      <c r="P29" s="9" t="str">
        <f>'B.kriteria &amp; R.kecocokan'!$B$88</f>
        <v>Sedang</v>
      </c>
      <c r="Q29" s="8">
        <f>_xlfn.IFS(P29="Sedikit",'B.kriteria &amp; R.kecocokan'!$C$89,P29="Sedang",'B.kriteria &amp; R.kecocokan'!$C$88,P29="Sangat Sedikit",'B.kriteria &amp; R.kecocokan'!$C$90)</f>
        <v>5</v>
      </c>
      <c r="R29" s="8" t="str">
        <f>'B.kriteria &amp; R.kecocokan'!$B$49</f>
        <v>Rendah</v>
      </c>
      <c r="S29" s="8">
        <f>_xlfn.IFS(R29="Rendah",'B.kriteria &amp; R.kecocokan'!$C$49,R29="Sedang",'B.kriteria &amp; R.kecocokan'!$C$50,R29="Tinggi",'B.kriteria &amp; R.kecocokan'!$C$51)</f>
        <v>2.5</v>
      </c>
      <c r="T29" s="8" t="str">
        <f>'B.kriteria &amp; R.kecocokan'!$B$57</f>
        <v>Rendah</v>
      </c>
      <c r="U29" s="51">
        <f>_xlfn.IFS(T29="Rendah",'B.kriteria &amp; R.kecocokan'!$C$57,T29="Sedang",'B.kriteria &amp; R.kecocokan'!$C$58,T29="Tinggi",'B.kriteria &amp; R.kecocokan'!$C$59)</f>
        <v>2.5</v>
      </c>
      <c r="V29" s="51" t="str">
        <f>'B.kriteria &amp; R.kecocokan'!$B$65</f>
        <v>Rendah</v>
      </c>
      <c r="W29" s="9">
        <f>_xlfn.IFS(V29="Rendah",'B.kriteria &amp; R.kecocokan'!$C$65,V29="Sedang",'B.kriteria &amp; R.kecocokan'!$C$66,V29="Tinggi",'B.kriteria &amp; R.kecocokan'!$C$67)</f>
        <v>1</v>
      </c>
      <c r="X29" s="117">
        <f t="shared" si="3"/>
        <v>2.5</v>
      </c>
      <c r="Y29" s="117">
        <f t="shared" si="4"/>
        <v>2.5</v>
      </c>
      <c r="Z29" s="119">
        <f t="shared" si="5"/>
        <v>2.5</v>
      </c>
      <c r="AA29" s="55" t="str">
        <f t="shared" si="6"/>
        <v>Tidak Layak</v>
      </c>
    </row>
    <row r="30" spans="1:27" s="132" customFormat="1" x14ac:dyDescent="0.35">
      <c r="A30" s="122">
        <v>24</v>
      </c>
      <c r="B30" s="88" t="s">
        <v>62</v>
      </c>
      <c r="C30" s="123" t="s">
        <v>13</v>
      </c>
      <c r="D30" s="124" t="str">
        <f>'B.kriteria &amp; R.kecocokan'!$B$24</f>
        <v>Cukup</v>
      </c>
      <c r="E30" s="125">
        <f>_xlfn.IFS(D30="Banyak",'B.kriteria &amp; R.kecocokan'!$C$23,D30="Cukup",'B.kriteria &amp; R.kecocokan'!$C$24,D30="Sedikit",'B.kriteria &amp; R.kecocokan'!$C$25)</f>
        <v>5</v>
      </c>
      <c r="F30" s="126" t="str">
        <f>'B.kriteria &amp; R.kecocokan'!$B$35</f>
        <v>Sangat Tinggi</v>
      </c>
      <c r="G30" s="127">
        <f>_xlfn.IFS(F30="Tinggi",'B.kriteria &amp; R.kecocokan'!$C$34,F30="Sangat Tinggi",'B.kriteria &amp; R.kecocokan'!$C$35)</f>
        <v>10</v>
      </c>
      <c r="H30" s="127" t="str">
        <f>'B.kriteria &amp; R.kecocokan'!$B$41</f>
        <v>Rendah</v>
      </c>
      <c r="I30" s="127">
        <f>_xlfn.IFS(H30="Rendah",'B.kriteria &amp; R.kecocokan'!$C$41,H30="Sedang",'B.kriteria &amp; R.kecocokan'!$C$42,H30="Tinggi",'B.kriteria &amp; R.kecocokan'!$C$43)</f>
        <v>2.5</v>
      </c>
      <c r="J30" s="127" t="str">
        <f>'B.kriteria &amp; R.kecocokan'!$B$72</f>
        <v>Rendah</v>
      </c>
      <c r="K30" s="127">
        <f>_xlfn.IFS(J30="Rendah",'B.kriteria &amp; R.kecocokan'!$C$72,J30="Sedang",'B.kriteria &amp; R.kecocokan'!$C$73,J30="Tinggi",'B.kriteria &amp; R.kecocokan'!$C$74)</f>
        <v>2.5</v>
      </c>
      <c r="L30" s="127" t="str">
        <f>'B.kriteria &amp; R.kecocokan'!$B$95</f>
        <v>Rendah</v>
      </c>
      <c r="M30" s="127">
        <f>_xlfn.IFS(L30="Rendah",'B.kriteria &amp; R.kecocokan'!$C$95,L30="Tinggi",'B.kriteria &amp; R.kecocokan'!$C$96)</f>
        <v>2.5</v>
      </c>
      <c r="N30" s="127" t="str">
        <f>'B.kriteria &amp; R.kecocokan'!$B$80</f>
        <v>Rendah</v>
      </c>
      <c r="O30" s="127">
        <f>_xlfn.IFS(N30="Rendah",'B.kriteria &amp; R.kecocokan'!$C$80,N30="Tinggi",'B.kriteria &amp; R.kecocokan'!$C$81)</f>
        <v>2.5</v>
      </c>
      <c r="P30" s="126" t="str">
        <f>'B.kriteria &amp; R.kecocokan'!$B$88</f>
        <v>Sedang</v>
      </c>
      <c r="Q30" s="127">
        <f>_xlfn.IFS(P30="Sedikit",'B.kriteria &amp; R.kecocokan'!$C$89,P30="Sedang",'B.kriteria &amp; R.kecocokan'!$C$88,P30="Sangat Sedikit",'B.kriteria &amp; R.kecocokan'!$C$90)</f>
        <v>5</v>
      </c>
      <c r="R30" s="127" t="str">
        <f>'B.kriteria &amp; R.kecocokan'!$B$49</f>
        <v>Rendah</v>
      </c>
      <c r="S30" s="127">
        <f>_xlfn.IFS(R30="Rendah",'B.kriteria &amp; R.kecocokan'!$C$49,R30="Sedang",'B.kriteria &amp; R.kecocokan'!$C$50,R30="Tinggi",'B.kriteria &amp; R.kecocokan'!$C$51)</f>
        <v>2.5</v>
      </c>
      <c r="T30" s="127" t="str">
        <f>'B.kriteria &amp; R.kecocokan'!$B$57</f>
        <v>Rendah</v>
      </c>
      <c r="U30" s="128">
        <f>_xlfn.IFS(T30="Rendah",'B.kriteria &amp; R.kecocokan'!$C$57,T30="Sedang",'B.kriteria &amp; R.kecocokan'!$C$58,T30="Tinggi",'B.kriteria &amp; R.kecocokan'!$C$59)</f>
        <v>2.5</v>
      </c>
      <c r="V30" s="128" t="str">
        <f>'B.kriteria &amp; R.kecocokan'!$B$65</f>
        <v>Rendah</v>
      </c>
      <c r="W30" s="126">
        <f>_xlfn.IFS(V30="Rendah",'B.kriteria &amp; R.kecocokan'!$C$65,V30="Sedang",'B.kriteria &amp; R.kecocokan'!$C$66,V30="Tinggi",'B.kriteria &amp; R.kecocokan'!$C$67)</f>
        <v>1</v>
      </c>
      <c r="X30" s="129">
        <f t="shared" si="3"/>
        <v>3.5355339059327378</v>
      </c>
      <c r="Y30" s="129">
        <f t="shared" si="4"/>
        <v>0</v>
      </c>
      <c r="Z30" s="130">
        <f t="shared" si="5"/>
        <v>0</v>
      </c>
      <c r="AA30" s="131" t="str">
        <f t="shared" si="6"/>
        <v>Tidak Layak</v>
      </c>
    </row>
    <row r="31" spans="1:27" x14ac:dyDescent="0.35">
      <c r="A31" s="5">
        <v>25</v>
      </c>
      <c r="B31" s="2" t="s">
        <v>64</v>
      </c>
      <c r="C31" s="11" t="s">
        <v>13</v>
      </c>
      <c r="D31" s="9" t="str">
        <f>'B.kriteria &amp; R.kecocokan'!$B$25</f>
        <v>Sedikit</v>
      </c>
      <c r="E31" s="111">
        <f>_xlfn.IFS(D31="Banyak",'B.kriteria &amp; R.kecocokan'!$C$23,D31="Cukup",'B.kriteria &amp; R.kecocokan'!$C$24,D31="Sedikit",'B.kriteria &amp; R.kecocokan'!$C$25)</f>
        <v>7.5</v>
      </c>
      <c r="F31" s="9" t="str">
        <f>'B.kriteria &amp; R.kecocokan'!$B$35</f>
        <v>Sangat Tinggi</v>
      </c>
      <c r="G31" s="8">
        <f>_xlfn.IFS(F31="Tinggi",'B.kriteria &amp; R.kecocokan'!$C$34,F31="Sangat Tinggi",'B.kriteria &amp; R.kecocokan'!$C$35)</f>
        <v>10</v>
      </c>
      <c r="H31" s="8" t="str">
        <f>'B.kriteria &amp; R.kecocokan'!$B$41</f>
        <v>Rendah</v>
      </c>
      <c r="I31" s="8">
        <f>_xlfn.IFS(H31="Rendah",'B.kriteria &amp; R.kecocokan'!$C$41,H31="Sedang",'B.kriteria &amp; R.kecocokan'!$C$42,H31="Tinggi",'B.kriteria &amp; R.kecocokan'!$C$43)</f>
        <v>2.5</v>
      </c>
      <c r="J31" s="8" t="str">
        <f>'B.kriteria &amp; R.kecocokan'!$B$72</f>
        <v>Rendah</v>
      </c>
      <c r="K31" s="8">
        <f>_xlfn.IFS(J31="Rendah",'B.kriteria &amp; R.kecocokan'!$C$72,J31="Sedang",'B.kriteria &amp; R.kecocokan'!$C$73,J31="Tinggi",'B.kriteria &amp; R.kecocokan'!$C$74)</f>
        <v>2.5</v>
      </c>
      <c r="L31" s="8" t="str">
        <f>'B.kriteria &amp; R.kecocokan'!$B$95</f>
        <v>Rendah</v>
      </c>
      <c r="M31" s="8">
        <f>_xlfn.IFS(L31="Rendah",'B.kriteria &amp; R.kecocokan'!$C$95,L31="Tinggi",'B.kriteria &amp; R.kecocokan'!$C$96)</f>
        <v>2.5</v>
      </c>
      <c r="N31" s="9" t="str">
        <f>'B.kriteria &amp; R.kecocokan'!$B$81</f>
        <v>Tinggi</v>
      </c>
      <c r="O31" s="8">
        <f>_xlfn.IFS(N31="Rendah",'B.kriteria &amp; R.kecocokan'!$C$80,N31="Tinggi",'B.kriteria &amp; R.kecocokan'!$C$81)</f>
        <v>7.5</v>
      </c>
      <c r="P31" s="9" t="str">
        <f>'B.kriteria &amp; R.kecocokan'!$B$90</f>
        <v>Sangat Sedikit</v>
      </c>
      <c r="Q31" s="8">
        <f>_xlfn.IFS(P31="Sedikit",'B.kriteria &amp; R.kecocokan'!$C$89,P31="Sedang",'B.kriteria &amp; R.kecocokan'!$C$88,P31="Sangat Sedikit",'B.kriteria &amp; R.kecocokan'!$C$90)</f>
        <v>1</v>
      </c>
      <c r="R31" s="8" t="str">
        <f>'B.kriteria &amp; R.kecocokan'!$B$49</f>
        <v>Rendah</v>
      </c>
      <c r="S31" s="8">
        <f>_xlfn.IFS(R31="Rendah",'B.kriteria &amp; R.kecocokan'!$C$49,R31="Sedang",'B.kriteria &amp; R.kecocokan'!$C$50,R31="Tinggi",'B.kriteria &amp; R.kecocokan'!$C$51)</f>
        <v>2.5</v>
      </c>
      <c r="T31" s="9" t="str">
        <f>'B.kriteria &amp; R.kecocokan'!$B$58</f>
        <v>Sedang</v>
      </c>
      <c r="U31" s="51">
        <f>_xlfn.IFS(T31="Rendah",'B.kriteria &amp; R.kecocokan'!$C$57,T31="Sedang",'B.kriteria &amp; R.kecocokan'!$C$58,T31="Tinggi",'B.kriteria &amp; R.kecocokan'!$C$59)</f>
        <v>5</v>
      </c>
      <c r="V31" s="51" t="str">
        <f>'B.kriteria &amp; R.kecocokan'!$B$65</f>
        <v>Rendah</v>
      </c>
      <c r="W31" s="9">
        <f>_xlfn.IFS(V31="Rendah",'B.kriteria &amp; R.kecocokan'!$C$65,V31="Sedang",'B.kriteria &amp; R.kecocokan'!$C$66,V31="Tinggi",'B.kriteria &amp; R.kecocokan'!$C$67)</f>
        <v>1</v>
      </c>
      <c r="X31" s="117">
        <f t="shared" si="3"/>
        <v>6.7823299831252681</v>
      </c>
      <c r="Y31" s="117">
        <f t="shared" si="4"/>
        <v>7.3143694191638966</v>
      </c>
      <c r="Z31" s="119">
        <f t="shared" si="5"/>
        <v>6.7823299831252681</v>
      </c>
      <c r="AA31" s="55" t="str">
        <f t="shared" si="6"/>
        <v>Layak</v>
      </c>
    </row>
    <row r="32" spans="1:27" x14ac:dyDescent="0.35">
      <c r="A32" s="1">
        <v>26</v>
      </c>
      <c r="B32" s="2" t="s">
        <v>66</v>
      </c>
      <c r="C32" s="11" t="s">
        <v>13</v>
      </c>
      <c r="D32" s="9" t="str">
        <f>'B.kriteria &amp; R.kecocokan'!$B$25</f>
        <v>Sedikit</v>
      </c>
      <c r="E32" s="111">
        <f>_xlfn.IFS(D32="Banyak",'B.kriteria &amp; R.kecocokan'!$C$23,D32="Cukup",'B.kriteria &amp; R.kecocokan'!$C$24,D32="Sedikit",'B.kriteria &amp; R.kecocokan'!$C$25)</f>
        <v>7.5</v>
      </c>
      <c r="F32" s="9" t="str">
        <f>'B.kriteria &amp; R.kecocokan'!$B$34</f>
        <v>Tinggi</v>
      </c>
      <c r="G32" s="8">
        <f>_xlfn.IFS(F32="Tinggi",'B.kriteria &amp; R.kecocokan'!$C$34,F32="Sangat Tinggi",'B.kriteria &amp; R.kecocokan'!$C$35)</f>
        <v>7.5</v>
      </c>
      <c r="H32" s="8" t="str">
        <f>'B.kriteria &amp; R.kecocokan'!$B$41</f>
        <v>Rendah</v>
      </c>
      <c r="I32" s="8">
        <f>_xlfn.IFS(H32="Rendah",'B.kriteria &amp; R.kecocokan'!$C$41,H32="Sedang",'B.kriteria &amp; R.kecocokan'!$C$42,H32="Tinggi",'B.kriteria &amp; R.kecocokan'!$C$43)</f>
        <v>2.5</v>
      </c>
      <c r="J32" s="8" t="str">
        <f>'B.kriteria &amp; R.kecocokan'!$B$72</f>
        <v>Rendah</v>
      </c>
      <c r="K32" s="8">
        <f>_xlfn.IFS(J32="Rendah",'B.kriteria &amp; R.kecocokan'!$C$72,J32="Sedang",'B.kriteria &amp; R.kecocokan'!$C$73,J32="Tinggi",'B.kriteria &amp; R.kecocokan'!$C$74)</f>
        <v>2.5</v>
      </c>
      <c r="L32" s="8" t="str">
        <f>'B.kriteria &amp; R.kecocokan'!$B$95</f>
        <v>Rendah</v>
      </c>
      <c r="M32" s="8">
        <f>_xlfn.IFS(L32="Rendah",'B.kriteria &amp; R.kecocokan'!$C$95,L32="Tinggi",'B.kriteria &amp; R.kecocokan'!$C$96)</f>
        <v>2.5</v>
      </c>
      <c r="N32" s="9" t="str">
        <f>'B.kriteria &amp; R.kecocokan'!$B$81</f>
        <v>Tinggi</v>
      </c>
      <c r="O32" s="8">
        <f>_xlfn.IFS(N32="Rendah",'B.kriteria &amp; R.kecocokan'!$C$80,N32="Tinggi",'B.kriteria &amp; R.kecocokan'!$C$81)</f>
        <v>7.5</v>
      </c>
      <c r="P32" s="9" t="str">
        <f>'B.kriteria &amp; R.kecocokan'!$B$90</f>
        <v>Sangat Sedikit</v>
      </c>
      <c r="Q32" s="8">
        <f>_xlfn.IFS(P32="Sedikit",'B.kriteria &amp; R.kecocokan'!$C$89,P32="Sedang",'B.kriteria &amp; R.kecocokan'!$C$88,P32="Sangat Sedikit",'B.kriteria &amp; R.kecocokan'!$C$90)</f>
        <v>1</v>
      </c>
      <c r="R32" s="8" t="str">
        <f>'B.kriteria &amp; R.kecocokan'!$B$49</f>
        <v>Rendah</v>
      </c>
      <c r="S32" s="8">
        <f>_xlfn.IFS(R32="Rendah",'B.kriteria &amp; R.kecocokan'!$C$49,R32="Sedang",'B.kriteria &amp; R.kecocokan'!$C$50,R32="Tinggi",'B.kriteria &amp; R.kecocokan'!$C$51)</f>
        <v>2.5</v>
      </c>
      <c r="T32" s="8" t="str">
        <f>'B.kriteria &amp; R.kecocokan'!$B$57</f>
        <v>Rendah</v>
      </c>
      <c r="U32" s="51">
        <f>_xlfn.IFS(T32="Rendah",'B.kriteria &amp; R.kecocokan'!$C$57,T32="Sedang",'B.kriteria &amp; R.kecocokan'!$C$58,T32="Tinggi",'B.kriteria &amp; R.kecocokan'!$C$59)</f>
        <v>2.5</v>
      </c>
      <c r="V32" s="51" t="str">
        <f>'B.kriteria &amp; R.kecocokan'!$B$65</f>
        <v>Rendah</v>
      </c>
      <c r="W32" s="9">
        <f>_xlfn.IFS(V32="Rendah",'B.kriteria &amp; R.kecocokan'!$C$65,V32="Sedang",'B.kriteria &amp; R.kecocokan'!$C$66,V32="Tinggi",'B.kriteria &amp; R.kecocokan'!$C$67)</f>
        <v>1</v>
      </c>
      <c r="X32" s="117">
        <f t="shared" si="3"/>
        <v>5.7879184513951127</v>
      </c>
      <c r="Y32" s="117">
        <f t="shared" si="4"/>
        <v>7.3143694191638966</v>
      </c>
      <c r="Z32" s="119">
        <f t="shared" si="5"/>
        <v>5.7879184513951127</v>
      </c>
      <c r="AA32" s="55" t="str">
        <f t="shared" si="6"/>
        <v>Layak</v>
      </c>
    </row>
    <row r="33" spans="1:27" x14ac:dyDescent="0.35">
      <c r="A33" s="5">
        <v>27</v>
      </c>
      <c r="B33" s="2" t="s">
        <v>68</v>
      </c>
      <c r="C33" s="11" t="s">
        <v>13</v>
      </c>
      <c r="D33" s="32" t="str">
        <f>'B.kriteria &amp; R.kecocokan'!$B$24</f>
        <v>Cukup</v>
      </c>
      <c r="E33" s="111">
        <f>_xlfn.IFS(D33="Banyak",'B.kriteria &amp; R.kecocokan'!$C$23,D33="Cukup",'B.kriteria &amp; R.kecocokan'!$C$24,D33="Sedikit",'B.kriteria &amp; R.kecocokan'!$C$25)</f>
        <v>5</v>
      </c>
      <c r="F33" s="9" t="str">
        <f>'B.kriteria &amp; R.kecocokan'!$B$34</f>
        <v>Tinggi</v>
      </c>
      <c r="G33" s="8">
        <f>_xlfn.IFS(F33="Tinggi",'B.kriteria &amp; R.kecocokan'!$C$34,F33="Sangat Tinggi",'B.kriteria &amp; R.kecocokan'!$C$35)</f>
        <v>7.5</v>
      </c>
      <c r="H33" s="9" t="str">
        <f>'B.kriteria &amp; R.kecocokan'!$B$43</f>
        <v>Tinggi</v>
      </c>
      <c r="I33" s="8">
        <f>_xlfn.IFS(H33="Rendah",'B.kriteria &amp; R.kecocokan'!$C$41,H33="Sedang",'B.kriteria &amp; R.kecocokan'!$C$42,H33="Tinggi",'B.kriteria &amp; R.kecocokan'!$C$43)</f>
        <v>7.5</v>
      </c>
      <c r="J33" s="8" t="str">
        <f>'B.kriteria &amp; R.kecocokan'!$B$72</f>
        <v>Rendah</v>
      </c>
      <c r="K33" s="8">
        <f>_xlfn.IFS(J33="Rendah",'B.kriteria &amp; R.kecocokan'!$C$72,J33="Sedang",'B.kriteria &amp; R.kecocokan'!$C$73,J33="Tinggi",'B.kriteria &amp; R.kecocokan'!$C$74)</f>
        <v>2.5</v>
      </c>
      <c r="L33" s="8" t="str">
        <f>'B.kriteria &amp; R.kecocokan'!$B$95</f>
        <v>Rendah</v>
      </c>
      <c r="M33" s="8">
        <f>_xlfn.IFS(L33="Rendah",'B.kriteria &amp; R.kecocokan'!$C$95,L33="Tinggi",'B.kriteria &amp; R.kecocokan'!$C$96)</f>
        <v>2.5</v>
      </c>
      <c r="N33" s="8" t="str">
        <f>'B.kriteria &amp; R.kecocokan'!$B$80</f>
        <v>Rendah</v>
      </c>
      <c r="O33" s="8">
        <f>_xlfn.IFS(N33="Rendah",'B.kriteria &amp; R.kecocokan'!$C$80,N33="Tinggi",'B.kriteria &amp; R.kecocokan'!$C$81)</f>
        <v>2.5</v>
      </c>
      <c r="P33" s="9" t="str">
        <f>'B.kriteria &amp; R.kecocokan'!$B$88</f>
        <v>Sedang</v>
      </c>
      <c r="Q33" s="8">
        <f>_xlfn.IFS(P33="Sedikit",'B.kriteria &amp; R.kecocokan'!$C$89,P33="Sedang",'B.kriteria &amp; R.kecocokan'!$C$88,P33="Sangat Sedikit",'B.kriteria &amp; R.kecocokan'!$C$90)</f>
        <v>5</v>
      </c>
      <c r="R33" s="8" t="str">
        <f>'B.kriteria &amp; R.kecocokan'!$B$49</f>
        <v>Rendah</v>
      </c>
      <c r="S33" s="8">
        <f>_xlfn.IFS(R33="Rendah",'B.kriteria &amp; R.kecocokan'!$C$49,R33="Sedang",'B.kriteria &amp; R.kecocokan'!$C$50,R33="Tinggi",'B.kriteria &amp; R.kecocokan'!$C$51)</f>
        <v>2.5</v>
      </c>
      <c r="T33" s="8" t="str">
        <f>'B.kriteria &amp; R.kecocokan'!$B$57</f>
        <v>Rendah</v>
      </c>
      <c r="U33" s="51">
        <f>_xlfn.IFS(T33="Rendah",'B.kriteria &amp; R.kecocokan'!$C$57,T33="Sedang",'B.kriteria &amp; R.kecocokan'!$C$58,T33="Tinggi",'B.kriteria &amp; R.kecocokan'!$C$59)</f>
        <v>2.5</v>
      </c>
      <c r="V33" s="51" t="str">
        <f>'B.kriteria &amp; R.kecocokan'!$B$65</f>
        <v>Rendah</v>
      </c>
      <c r="W33" s="9">
        <f>_xlfn.IFS(V33="Rendah",'B.kriteria &amp; R.kecocokan'!$C$65,V33="Sedang",'B.kriteria &amp; R.kecocokan'!$C$66,V33="Tinggi",'B.kriteria &amp; R.kecocokan'!$C$67)</f>
        <v>1</v>
      </c>
      <c r="X33" s="117">
        <f t="shared" si="3"/>
        <v>5.5901699437494745</v>
      </c>
      <c r="Y33" s="117">
        <f t="shared" si="4"/>
        <v>5.5901699437494745</v>
      </c>
      <c r="Z33" s="119">
        <f t="shared" si="5"/>
        <v>5.5901699437494745</v>
      </c>
      <c r="AA33" s="55" t="str">
        <f t="shared" si="6"/>
        <v>Tidak Layak</v>
      </c>
    </row>
    <row r="34" spans="1:27" x14ac:dyDescent="0.35">
      <c r="A34" s="5">
        <v>28</v>
      </c>
      <c r="B34" s="2" t="s">
        <v>69</v>
      </c>
      <c r="C34" s="11" t="s">
        <v>13</v>
      </c>
      <c r="D34" s="32" t="str">
        <f>'B.kriteria &amp; R.kecocokan'!$B$24</f>
        <v>Cukup</v>
      </c>
      <c r="E34" s="111">
        <f>_xlfn.IFS(D34="Banyak",'B.kriteria &amp; R.kecocokan'!$C$23,D34="Cukup",'B.kriteria &amp; R.kecocokan'!$C$24,D34="Sedikit",'B.kriteria &amp; R.kecocokan'!$C$25)</f>
        <v>5</v>
      </c>
      <c r="F34" s="9" t="str">
        <f>'B.kriteria &amp; R.kecocokan'!$B$34</f>
        <v>Tinggi</v>
      </c>
      <c r="G34" s="8">
        <f>_xlfn.IFS(F34="Tinggi",'B.kriteria &amp; R.kecocokan'!$C$34,F34="Sangat Tinggi",'B.kriteria &amp; R.kecocokan'!$C$35)</f>
        <v>7.5</v>
      </c>
      <c r="H34" s="8" t="str">
        <f>'B.kriteria &amp; R.kecocokan'!$B$41</f>
        <v>Rendah</v>
      </c>
      <c r="I34" s="8">
        <f>_xlfn.IFS(H34="Rendah",'B.kriteria &amp; R.kecocokan'!$C$41,H34="Sedang",'B.kriteria &amp; R.kecocokan'!$C$42,H34="Tinggi",'B.kriteria &amp; R.kecocokan'!$C$43)</f>
        <v>2.5</v>
      </c>
      <c r="J34" s="8" t="str">
        <f>'B.kriteria &amp; R.kecocokan'!$B$72</f>
        <v>Rendah</v>
      </c>
      <c r="K34" s="8">
        <f>_xlfn.IFS(J34="Rendah",'B.kriteria &amp; R.kecocokan'!$C$72,J34="Sedang",'B.kriteria &amp; R.kecocokan'!$C$73,J34="Tinggi",'B.kriteria &amp; R.kecocokan'!$C$74)</f>
        <v>2.5</v>
      </c>
      <c r="L34" s="8" t="str">
        <f>'B.kriteria &amp; R.kecocokan'!$B$95</f>
        <v>Rendah</v>
      </c>
      <c r="M34" s="8">
        <f>_xlfn.IFS(L34="Rendah",'B.kriteria &amp; R.kecocokan'!$C$95,L34="Tinggi",'B.kriteria &amp; R.kecocokan'!$C$96)</f>
        <v>2.5</v>
      </c>
      <c r="N34" s="8" t="str">
        <f>'B.kriteria &amp; R.kecocokan'!$B$80</f>
        <v>Rendah</v>
      </c>
      <c r="O34" s="8">
        <f>_xlfn.IFS(N34="Rendah",'B.kriteria &amp; R.kecocokan'!$C$80,N34="Tinggi",'B.kriteria &amp; R.kecocokan'!$C$81)</f>
        <v>2.5</v>
      </c>
      <c r="P34" s="8" t="str">
        <f>'B.kriteria &amp; R.kecocokan'!$B$89</f>
        <v>Sedikit</v>
      </c>
      <c r="Q34" s="8">
        <f>_xlfn.IFS(P34="Sedikit",'B.kriteria &amp; R.kecocokan'!$C$89,P34="Sedang",'B.kriteria &amp; R.kecocokan'!$C$88,P34="Sangat Sedikit",'B.kriteria &amp; R.kecocokan'!$C$90)</f>
        <v>2.5</v>
      </c>
      <c r="R34" s="8" t="str">
        <f>'B.kriteria &amp; R.kecocokan'!$B$49</f>
        <v>Rendah</v>
      </c>
      <c r="S34" s="8">
        <f>_xlfn.IFS(R34="Rendah",'B.kriteria &amp; R.kecocokan'!$C$49,R34="Sedang",'B.kriteria &amp; R.kecocokan'!$C$50,R34="Tinggi",'B.kriteria &amp; R.kecocokan'!$C$51)</f>
        <v>2.5</v>
      </c>
      <c r="T34" s="9" t="str">
        <f>'B.kriteria &amp; R.kecocokan'!$B$58</f>
        <v>Sedang</v>
      </c>
      <c r="U34" s="51">
        <f>_xlfn.IFS(T34="Rendah",'B.kriteria &amp; R.kecocokan'!$C$57,T34="Sedang",'B.kriteria &amp; R.kecocokan'!$C$58,T34="Tinggi",'B.kriteria &amp; R.kecocokan'!$C$59)</f>
        <v>5</v>
      </c>
      <c r="V34" s="51" t="str">
        <f>'B.kriteria &amp; R.kecocokan'!$B$65</f>
        <v>Rendah</v>
      </c>
      <c r="W34" s="9">
        <f>_xlfn.IFS(V34="Rendah",'B.kriteria &amp; R.kecocokan'!$C$65,V34="Sedang",'B.kriteria &amp; R.kecocokan'!$C$66,V34="Tinggi",'B.kriteria &amp; R.kecocokan'!$C$67)</f>
        <v>1</v>
      </c>
      <c r="X34" s="117">
        <f t="shared" si="3"/>
        <v>2.5</v>
      </c>
      <c r="Y34" s="117">
        <f t="shared" si="4"/>
        <v>4.3301270189221936</v>
      </c>
      <c r="Z34" s="119">
        <f t="shared" si="5"/>
        <v>2.5</v>
      </c>
      <c r="AA34" s="55" t="str">
        <f t="shared" si="6"/>
        <v>Layak</v>
      </c>
    </row>
    <row r="35" spans="1:27" x14ac:dyDescent="0.35">
      <c r="A35" s="1">
        <v>29</v>
      </c>
      <c r="B35" s="2" t="s">
        <v>70</v>
      </c>
      <c r="C35" s="11" t="s">
        <v>13</v>
      </c>
      <c r="D35" s="9" t="str">
        <f>'B.kriteria &amp; R.kecocokan'!$B$23</f>
        <v>Banyak</v>
      </c>
      <c r="E35" s="111">
        <f>_xlfn.IFS(D35="Banyak",'B.kriteria &amp; R.kecocokan'!$C$23,D35="Cukup",'B.kriteria &amp; R.kecocokan'!$C$24,D35="Sedikit",'B.kriteria &amp; R.kecocokan'!$C$25)</f>
        <v>2.5</v>
      </c>
      <c r="F35" s="9" t="str">
        <f>'B.kriteria &amp; R.kecocokan'!$B$35</f>
        <v>Sangat Tinggi</v>
      </c>
      <c r="G35" s="8">
        <f>_xlfn.IFS(F35="Tinggi",'B.kriteria &amp; R.kecocokan'!$C$34,F35="Sangat Tinggi",'B.kriteria &amp; R.kecocokan'!$C$35)</f>
        <v>10</v>
      </c>
      <c r="H35" s="8" t="str">
        <f>'B.kriteria &amp; R.kecocokan'!$B$41</f>
        <v>Rendah</v>
      </c>
      <c r="I35" s="8">
        <f>_xlfn.IFS(H35="Rendah",'B.kriteria &amp; R.kecocokan'!$C$41,H35="Sedang",'B.kriteria &amp; R.kecocokan'!$C$42,H35="Tinggi",'B.kriteria &amp; R.kecocokan'!$C$43)</f>
        <v>2.5</v>
      </c>
      <c r="J35" s="8" t="str">
        <f>'B.kriteria &amp; R.kecocokan'!$B$72</f>
        <v>Rendah</v>
      </c>
      <c r="K35" s="8">
        <f>_xlfn.IFS(J35="Rendah",'B.kriteria &amp; R.kecocokan'!$C$72,J35="Sedang",'B.kriteria &amp; R.kecocokan'!$C$73,J35="Tinggi",'B.kriteria &amp; R.kecocokan'!$C$74)</f>
        <v>2.5</v>
      </c>
      <c r="L35" s="8" t="str">
        <f>'B.kriteria &amp; R.kecocokan'!$B$95</f>
        <v>Rendah</v>
      </c>
      <c r="M35" s="8">
        <f>_xlfn.IFS(L35="Rendah",'B.kriteria &amp; R.kecocokan'!$C$95,L35="Tinggi",'B.kriteria &amp; R.kecocokan'!$C$96)</f>
        <v>2.5</v>
      </c>
      <c r="N35" s="8" t="str">
        <f>'B.kriteria &amp; R.kecocokan'!$B$80</f>
        <v>Rendah</v>
      </c>
      <c r="O35" s="8">
        <f>_xlfn.IFS(N35="Rendah",'B.kriteria &amp; R.kecocokan'!$C$80,N35="Tinggi",'B.kriteria &amp; R.kecocokan'!$C$81)</f>
        <v>2.5</v>
      </c>
      <c r="P35" s="9" t="str">
        <f>'B.kriteria &amp; R.kecocokan'!$B$90</f>
        <v>Sangat Sedikit</v>
      </c>
      <c r="Q35" s="8">
        <f>_xlfn.IFS(P35="Sedikit",'B.kriteria &amp; R.kecocokan'!$C$89,P35="Sedang",'B.kriteria &amp; R.kecocokan'!$C$88,P35="Sangat Sedikit",'B.kriteria &amp; R.kecocokan'!$C$90)</f>
        <v>1</v>
      </c>
      <c r="R35" s="8" t="str">
        <f>'B.kriteria &amp; R.kecocokan'!$B$49</f>
        <v>Rendah</v>
      </c>
      <c r="S35" s="8">
        <f>_xlfn.IFS(R35="Rendah",'B.kriteria &amp; R.kecocokan'!$C$49,R35="Sedang",'B.kriteria &amp; R.kecocokan'!$C$50,R35="Tinggi",'B.kriteria &amp; R.kecocokan'!$C$51)</f>
        <v>2.5</v>
      </c>
      <c r="T35" s="8" t="str">
        <f>'B.kriteria &amp; R.kecocokan'!$B$57</f>
        <v>Rendah</v>
      </c>
      <c r="U35" s="51">
        <f>_xlfn.IFS(T35="Rendah",'B.kriteria &amp; R.kecocokan'!$C$57,T35="Sedang",'B.kriteria &amp; R.kecocokan'!$C$58,T35="Tinggi",'B.kriteria &amp; R.kecocokan'!$C$59)</f>
        <v>2.5</v>
      </c>
      <c r="V35" s="51" t="str">
        <f>'B.kriteria &amp; R.kecocokan'!$B$65</f>
        <v>Rendah</v>
      </c>
      <c r="W35" s="9">
        <f>_xlfn.IFS(V35="Rendah",'B.kriteria &amp; R.kecocokan'!$C$65,V35="Sedang",'B.kriteria &amp; R.kecocokan'!$C$66,V35="Tinggi",'B.kriteria &amp; R.kecocokan'!$C$67)</f>
        <v>1</v>
      </c>
      <c r="X35" s="117">
        <f t="shared" si="3"/>
        <v>3.8405728739343039</v>
      </c>
      <c r="Y35" s="117">
        <f t="shared" si="4"/>
        <v>4.7169905660283016</v>
      </c>
      <c r="Z35" s="119">
        <f t="shared" si="5"/>
        <v>3.8405728739343039</v>
      </c>
      <c r="AA35" s="55" t="str">
        <f t="shared" si="6"/>
        <v>Layak</v>
      </c>
    </row>
    <row r="36" spans="1:27" x14ac:dyDescent="0.35">
      <c r="A36" s="5">
        <v>30</v>
      </c>
      <c r="B36" s="2" t="s">
        <v>71</v>
      </c>
      <c r="C36" s="11" t="s">
        <v>13</v>
      </c>
      <c r="D36" s="9" t="str">
        <f>'B.kriteria &amp; R.kecocokan'!$B$25</f>
        <v>Sedikit</v>
      </c>
      <c r="E36" s="111">
        <f>_xlfn.IFS(D36="Banyak",'B.kriteria &amp; R.kecocokan'!$C$23,D36="Cukup",'B.kriteria &amp; R.kecocokan'!$C$24,D36="Sedikit",'B.kriteria &amp; R.kecocokan'!$C$25)</f>
        <v>7.5</v>
      </c>
      <c r="F36" s="9" t="str">
        <f>'B.kriteria &amp; R.kecocokan'!$B$35</f>
        <v>Sangat Tinggi</v>
      </c>
      <c r="G36" s="8">
        <f>_xlfn.IFS(F36="Tinggi",'B.kriteria &amp; R.kecocokan'!$C$34,F36="Sangat Tinggi",'B.kriteria &amp; R.kecocokan'!$C$35)</f>
        <v>10</v>
      </c>
      <c r="H36" s="8" t="str">
        <f>'B.kriteria &amp; R.kecocokan'!$B$41</f>
        <v>Rendah</v>
      </c>
      <c r="I36" s="8">
        <f>_xlfn.IFS(H36="Rendah",'B.kriteria &amp; R.kecocokan'!$C$41,H36="Sedang",'B.kriteria &amp; R.kecocokan'!$C$42,H36="Tinggi",'B.kriteria &amp; R.kecocokan'!$C$43)</f>
        <v>2.5</v>
      </c>
      <c r="J36" s="8" t="str">
        <f>'B.kriteria &amp; R.kecocokan'!$B$72</f>
        <v>Rendah</v>
      </c>
      <c r="K36" s="8">
        <f>_xlfn.IFS(J36="Rendah",'B.kriteria &amp; R.kecocokan'!$C$72,J36="Sedang",'B.kriteria &amp; R.kecocokan'!$C$73,J36="Tinggi",'B.kriteria &amp; R.kecocokan'!$C$74)</f>
        <v>2.5</v>
      </c>
      <c r="L36" s="8" t="str">
        <f>'B.kriteria &amp; R.kecocokan'!$B$95</f>
        <v>Rendah</v>
      </c>
      <c r="M36" s="8">
        <f>_xlfn.IFS(L36="Rendah",'B.kriteria &amp; R.kecocokan'!$C$95,L36="Tinggi",'B.kriteria &amp; R.kecocokan'!$C$96)</f>
        <v>2.5</v>
      </c>
      <c r="N36" s="9" t="str">
        <f>'B.kriteria &amp; R.kecocokan'!$B$81</f>
        <v>Tinggi</v>
      </c>
      <c r="O36" s="8">
        <f>_xlfn.IFS(N36="Rendah",'B.kriteria &amp; R.kecocokan'!$C$80,N36="Tinggi",'B.kriteria &amp; R.kecocokan'!$C$81)</f>
        <v>7.5</v>
      </c>
      <c r="P36" s="9" t="str">
        <f>'B.kriteria &amp; R.kecocokan'!$B$88</f>
        <v>Sedang</v>
      </c>
      <c r="Q36" s="8">
        <f>_xlfn.IFS(P36="Sedikit",'B.kriteria &amp; R.kecocokan'!$C$89,P36="Sedang",'B.kriteria &amp; R.kecocokan'!$C$88,P36="Sangat Sedikit",'B.kriteria &amp; R.kecocokan'!$C$90)</f>
        <v>5</v>
      </c>
      <c r="R36" s="9" t="str">
        <f>'B.kriteria &amp; R.kecocokan'!$B$51</f>
        <v>Tinggi</v>
      </c>
      <c r="S36" s="8">
        <f>_xlfn.IFS(R36="Rendah",'B.kriteria &amp; R.kecocokan'!$C$49,R36="Sedang",'B.kriteria &amp; R.kecocokan'!$C$50,R36="Tinggi",'B.kriteria &amp; R.kecocokan'!$C$51)</f>
        <v>7.5</v>
      </c>
      <c r="T36" s="9" t="str">
        <f>'B.kriteria &amp; R.kecocokan'!$B$59</f>
        <v>Tinggi</v>
      </c>
      <c r="U36" s="51">
        <f>_xlfn.IFS(T36="Rendah",'B.kriteria &amp; R.kecocokan'!$C$57,T36="Sedang",'B.kriteria &amp; R.kecocokan'!$C$58,T36="Tinggi",'B.kriteria &amp; R.kecocokan'!$C$59)</f>
        <v>7.5</v>
      </c>
      <c r="V36" s="51" t="str">
        <f>'B.kriteria &amp; R.kecocokan'!$B$65</f>
        <v>Rendah</v>
      </c>
      <c r="W36" s="9">
        <f>_xlfn.IFS(V36="Rendah",'B.kriteria &amp; R.kecocokan'!$C$65,V36="Sedang",'B.kriteria &amp; R.kecocokan'!$C$66,V36="Tinggi",'B.kriteria &amp; R.kecocokan'!$C$67)</f>
        <v>1</v>
      </c>
      <c r="X36" s="117">
        <f t="shared" si="3"/>
        <v>9.6824583655185421</v>
      </c>
      <c r="Y36" s="117">
        <f t="shared" si="4"/>
        <v>9.013878188659973</v>
      </c>
      <c r="Z36" s="119">
        <f t="shared" si="5"/>
        <v>9.013878188659973</v>
      </c>
      <c r="AA36" s="55" t="str">
        <f t="shared" si="6"/>
        <v>Tidak Layak</v>
      </c>
    </row>
    <row r="37" spans="1:27" x14ac:dyDescent="0.35">
      <c r="A37" s="5">
        <v>31</v>
      </c>
      <c r="B37" s="2" t="s">
        <v>74</v>
      </c>
      <c r="C37" s="11" t="s">
        <v>13</v>
      </c>
      <c r="D37" s="32" t="str">
        <f>'B.kriteria &amp; R.kecocokan'!$B$24</f>
        <v>Cukup</v>
      </c>
      <c r="E37" s="111">
        <f>_xlfn.IFS(D37="Banyak",'B.kriteria &amp; R.kecocokan'!$C$23,D37="Cukup",'B.kriteria &amp; R.kecocokan'!$C$24,D37="Sedikit",'B.kriteria &amp; R.kecocokan'!$C$25)</f>
        <v>5</v>
      </c>
      <c r="F37" s="9" t="str">
        <f>'B.kriteria &amp; R.kecocokan'!$B$35</f>
        <v>Sangat Tinggi</v>
      </c>
      <c r="G37" s="8">
        <f>_xlfn.IFS(F37="Tinggi",'B.kriteria &amp; R.kecocokan'!$C$34,F37="Sangat Tinggi",'B.kriteria &amp; R.kecocokan'!$C$35)</f>
        <v>10</v>
      </c>
      <c r="H37" s="8" t="str">
        <f>'B.kriteria &amp; R.kecocokan'!$B$41</f>
        <v>Rendah</v>
      </c>
      <c r="I37" s="8">
        <f>_xlfn.IFS(H37="Rendah",'B.kriteria &amp; R.kecocokan'!$C$41,H37="Sedang",'B.kriteria &amp; R.kecocokan'!$C$42,H37="Tinggi",'B.kriteria &amp; R.kecocokan'!$C$43)</f>
        <v>2.5</v>
      </c>
      <c r="J37" s="8" t="str">
        <f>'B.kriteria &amp; R.kecocokan'!$B$72</f>
        <v>Rendah</v>
      </c>
      <c r="K37" s="8">
        <f>_xlfn.IFS(J37="Rendah",'B.kriteria &amp; R.kecocokan'!$C$72,J37="Sedang",'B.kriteria &amp; R.kecocokan'!$C$73,J37="Tinggi",'B.kriteria &amp; R.kecocokan'!$C$74)</f>
        <v>2.5</v>
      </c>
      <c r="L37" s="8" t="str">
        <f>'B.kriteria &amp; R.kecocokan'!$B$95</f>
        <v>Rendah</v>
      </c>
      <c r="M37" s="8">
        <f>_xlfn.IFS(L37="Rendah",'B.kriteria &amp; R.kecocokan'!$C$95,L37="Tinggi",'B.kriteria &amp; R.kecocokan'!$C$96)</f>
        <v>2.5</v>
      </c>
      <c r="N37" s="8" t="str">
        <f>'B.kriteria &amp; R.kecocokan'!$B$80</f>
        <v>Rendah</v>
      </c>
      <c r="O37" s="8">
        <f>_xlfn.IFS(N37="Rendah",'B.kriteria &amp; R.kecocokan'!$C$80,N37="Tinggi",'B.kriteria &amp; R.kecocokan'!$C$81)</f>
        <v>2.5</v>
      </c>
      <c r="P37" s="8" t="str">
        <f>'B.kriteria &amp; R.kecocokan'!$B$89</f>
        <v>Sedikit</v>
      </c>
      <c r="Q37" s="8">
        <f>_xlfn.IFS(P37="Sedikit",'B.kriteria &amp; R.kecocokan'!$C$89,P37="Sedang",'B.kriteria &amp; R.kecocokan'!$C$88,P37="Sangat Sedikit",'B.kriteria &amp; R.kecocokan'!$C$90)</f>
        <v>2.5</v>
      </c>
      <c r="R37" s="8" t="str">
        <f>'B.kriteria &amp; R.kecocokan'!$B$49</f>
        <v>Rendah</v>
      </c>
      <c r="S37" s="8">
        <f>_xlfn.IFS(R37="Rendah",'B.kriteria &amp; R.kecocokan'!$C$49,R37="Sedang",'B.kriteria &amp; R.kecocokan'!$C$50,R37="Tinggi",'B.kriteria &amp; R.kecocokan'!$C$51)</f>
        <v>2.5</v>
      </c>
      <c r="T37" s="9" t="str">
        <f>'B.kriteria &amp; R.kecocokan'!$B$58</f>
        <v>Sedang</v>
      </c>
      <c r="U37" s="51">
        <f>_xlfn.IFS(T37="Rendah",'B.kriteria &amp; R.kecocokan'!$C$57,T37="Sedang",'B.kriteria &amp; R.kecocokan'!$C$58,T37="Tinggi",'B.kriteria &amp; R.kecocokan'!$C$59)</f>
        <v>5</v>
      </c>
      <c r="V37" s="51" t="str">
        <f>'B.kriteria &amp; R.kecocokan'!$B$65</f>
        <v>Rendah</v>
      </c>
      <c r="W37" s="9">
        <f>_xlfn.IFS(V37="Rendah",'B.kriteria &amp; R.kecocokan'!$C$65,V37="Sedang",'B.kriteria &amp; R.kecocokan'!$C$66,V37="Tinggi",'B.kriteria &amp; R.kecocokan'!$C$67)</f>
        <v>1</v>
      </c>
      <c r="X37" s="117">
        <f t="shared" si="3"/>
        <v>3.5355339059327378</v>
      </c>
      <c r="Y37" s="117">
        <f t="shared" si="4"/>
        <v>3.5355339059327378</v>
      </c>
      <c r="Z37" s="119">
        <f t="shared" si="5"/>
        <v>3.5355339059327378</v>
      </c>
      <c r="AA37" s="55" t="str">
        <f t="shared" si="6"/>
        <v>Tidak Layak</v>
      </c>
    </row>
    <row r="38" spans="1:27" x14ac:dyDescent="0.35">
      <c r="A38" s="1">
        <v>32</v>
      </c>
      <c r="B38" s="2" t="s">
        <v>76</v>
      </c>
      <c r="C38" s="11" t="s">
        <v>13</v>
      </c>
      <c r="D38" s="32" t="str">
        <f>'B.kriteria &amp; R.kecocokan'!$B$24</f>
        <v>Cukup</v>
      </c>
      <c r="E38" s="111">
        <f>_xlfn.IFS(D38="Banyak",'B.kriteria &amp; R.kecocokan'!$C$23,D38="Cukup",'B.kriteria &amp; R.kecocokan'!$C$24,D38="Sedikit",'B.kriteria &amp; R.kecocokan'!$C$25)</f>
        <v>5</v>
      </c>
      <c r="F38" s="9" t="str">
        <f>'B.kriteria &amp; R.kecocokan'!$B$34</f>
        <v>Tinggi</v>
      </c>
      <c r="G38" s="8">
        <f>_xlfn.IFS(F38="Tinggi",'B.kriteria &amp; R.kecocokan'!$C$34,F38="Sangat Tinggi",'B.kriteria &amp; R.kecocokan'!$C$35)</f>
        <v>7.5</v>
      </c>
      <c r="H38" s="8" t="str">
        <f>'B.kriteria &amp; R.kecocokan'!$B$41</f>
        <v>Rendah</v>
      </c>
      <c r="I38" s="8">
        <f>_xlfn.IFS(H38="Rendah",'B.kriteria &amp; R.kecocokan'!$C$41,H38="Sedang",'B.kriteria &amp; R.kecocokan'!$C$42,H38="Tinggi",'B.kriteria &amp; R.kecocokan'!$C$43)</f>
        <v>2.5</v>
      </c>
      <c r="J38" s="8" t="str">
        <f>'B.kriteria &amp; R.kecocokan'!$B$72</f>
        <v>Rendah</v>
      </c>
      <c r="K38" s="8">
        <f>_xlfn.IFS(J38="Rendah",'B.kriteria &amp; R.kecocokan'!$C$72,J38="Sedang",'B.kriteria &amp; R.kecocokan'!$C$73,J38="Tinggi",'B.kriteria &amp; R.kecocokan'!$C$74)</f>
        <v>2.5</v>
      </c>
      <c r="L38" s="8" t="str">
        <f>'B.kriteria &amp; R.kecocokan'!$B$95</f>
        <v>Rendah</v>
      </c>
      <c r="M38" s="8">
        <f>_xlfn.IFS(L38="Rendah",'B.kriteria &amp; R.kecocokan'!$C$95,L38="Tinggi",'B.kriteria &amp; R.kecocokan'!$C$96)</f>
        <v>2.5</v>
      </c>
      <c r="N38" s="8" t="str">
        <f>'B.kriteria &amp; R.kecocokan'!$B$80</f>
        <v>Rendah</v>
      </c>
      <c r="O38" s="8">
        <f>_xlfn.IFS(N38="Rendah",'B.kriteria &amp; R.kecocokan'!$C$80,N38="Tinggi",'B.kriteria &amp; R.kecocokan'!$C$81)</f>
        <v>2.5</v>
      </c>
      <c r="P38" s="9" t="str">
        <f>'B.kriteria &amp; R.kecocokan'!$B$88</f>
        <v>Sedang</v>
      </c>
      <c r="Q38" s="8">
        <f>_xlfn.IFS(P38="Sedikit",'B.kriteria &amp; R.kecocokan'!$C$89,P38="Sedang",'B.kriteria &amp; R.kecocokan'!$C$88,P38="Sangat Sedikit",'B.kriteria &amp; R.kecocokan'!$C$90)</f>
        <v>5</v>
      </c>
      <c r="R38" s="8" t="str">
        <f>'B.kriteria &amp; R.kecocokan'!$B$49</f>
        <v>Rendah</v>
      </c>
      <c r="S38" s="8">
        <f>_xlfn.IFS(R38="Rendah",'B.kriteria &amp; R.kecocokan'!$C$49,R38="Sedang",'B.kriteria &amp; R.kecocokan'!$C$50,R38="Tinggi",'B.kriteria &amp; R.kecocokan'!$C$51)</f>
        <v>2.5</v>
      </c>
      <c r="T38" s="8" t="str">
        <f>'B.kriteria &amp; R.kecocokan'!$B$57</f>
        <v>Rendah</v>
      </c>
      <c r="U38" s="51">
        <f>_xlfn.IFS(T38="Rendah",'B.kriteria &amp; R.kecocokan'!$C$57,T38="Sedang",'B.kriteria &amp; R.kecocokan'!$C$58,T38="Tinggi",'B.kriteria &amp; R.kecocokan'!$C$59)</f>
        <v>2.5</v>
      </c>
      <c r="V38" s="51" t="str">
        <f>'B.kriteria &amp; R.kecocokan'!$B$65</f>
        <v>Rendah</v>
      </c>
      <c r="W38" s="9">
        <f>_xlfn.IFS(V38="Rendah",'B.kriteria &amp; R.kecocokan'!$C$65,V38="Sedang",'B.kriteria &amp; R.kecocokan'!$C$66,V38="Tinggi",'B.kriteria &amp; R.kecocokan'!$C$67)</f>
        <v>1</v>
      </c>
      <c r="X38" s="117">
        <f t="shared" si="3"/>
        <v>2.5</v>
      </c>
      <c r="Y38" s="117">
        <f t="shared" si="4"/>
        <v>2.5</v>
      </c>
      <c r="Z38" s="119">
        <f t="shared" si="5"/>
        <v>2.5</v>
      </c>
      <c r="AA38" s="55" t="str">
        <f t="shared" si="6"/>
        <v>Tidak Layak</v>
      </c>
    </row>
    <row r="39" spans="1:27" x14ac:dyDescent="0.35">
      <c r="A39" s="5">
        <v>33</v>
      </c>
      <c r="B39" s="2" t="s">
        <v>79</v>
      </c>
      <c r="C39" s="11" t="s">
        <v>13</v>
      </c>
      <c r="D39" s="9" t="str">
        <f>'B.kriteria &amp; R.kecocokan'!$B$25</f>
        <v>Sedikit</v>
      </c>
      <c r="E39" s="111">
        <f>_xlfn.IFS(D39="Banyak",'B.kriteria &amp; R.kecocokan'!$C$23,D39="Cukup",'B.kriteria &amp; R.kecocokan'!$C$24,D39="Sedikit",'B.kriteria &amp; R.kecocokan'!$C$25)</f>
        <v>7.5</v>
      </c>
      <c r="F39" s="9" t="str">
        <f>'B.kriteria &amp; R.kecocokan'!$B$34</f>
        <v>Tinggi</v>
      </c>
      <c r="G39" s="8">
        <f>_xlfn.IFS(F39="Tinggi",'B.kriteria &amp; R.kecocokan'!$C$34,F39="Sangat Tinggi",'B.kriteria &amp; R.kecocokan'!$C$35)</f>
        <v>7.5</v>
      </c>
      <c r="H39" s="9" t="str">
        <f>'B.kriteria &amp; R.kecocokan'!$B$43</f>
        <v>Tinggi</v>
      </c>
      <c r="I39" s="8">
        <f>_xlfn.IFS(H39="Rendah",'B.kriteria &amp; R.kecocokan'!$C$41,H39="Sedang",'B.kriteria &amp; R.kecocokan'!$C$42,H39="Tinggi",'B.kriteria &amp; R.kecocokan'!$C$43)</f>
        <v>7.5</v>
      </c>
      <c r="J39" s="8" t="str">
        <f>'B.kriteria &amp; R.kecocokan'!$B$72</f>
        <v>Rendah</v>
      </c>
      <c r="K39" s="8">
        <f>_xlfn.IFS(J39="Rendah",'B.kriteria &amp; R.kecocokan'!$C$72,J39="Sedang",'B.kriteria &amp; R.kecocokan'!$C$73,J39="Tinggi",'B.kriteria &amp; R.kecocokan'!$C$74)</f>
        <v>2.5</v>
      </c>
      <c r="L39" s="8" t="str">
        <f>'B.kriteria &amp; R.kecocokan'!$B$95</f>
        <v>Rendah</v>
      </c>
      <c r="M39" s="8">
        <f>_xlfn.IFS(L39="Rendah",'B.kriteria &amp; R.kecocokan'!$C$95,L39="Tinggi",'B.kriteria &amp; R.kecocokan'!$C$96)</f>
        <v>2.5</v>
      </c>
      <c r="N39" s="9" t="str">
        <f>'B.kriteria &amp; R.kecocokan'!$B$81</f>
        <v>Tinggi</v>
      </c>
      <c r="O39" s="8">
        <f>_xlfn.IFS(N39="Rendah",'B.kriteria &amp; R.kecocokan'!$C$80,N39="Tinggi",'B.kriteria &amp; R.kecocokan'!$C$81)</f>
        <v>7.5</v>
      </c>
      <c r="P39" s="9" t="str">
        <f>'B.kriteria &amp; R.kecocokan'!$B$90</f>
        <v>Sangat Sedikit</v>
      </c>
      <c r="Q39" s="8">
        <f>_xlfn.IFS(P39="Sedikit",'B.kriteria &amp; R.kecocokan'!$C$89,P39="Sedang",'B.kriteria &amp; R.kecocokan'!$C$88,P39="Sangat Sedikit",'B.kriteria &amp; R.kecocokan'!$C$90)</f>
        <v>1</v>
      </c>
      <c r="R39" s="8" t="str">
        <f>'B.kriteria &amp; R.kecocokan'!$B$49</f>
        <v>Rendah</v>
      </c>
      <c r="S39" s="8">
        <f>_xlfn.IFS(R39="Rendah",'B.kriteria &amp; R.kecocokan'!$C$49,R39="Sedang",'B.kriteria &amp; R.kecocokan'!$C$50,R39="Tinggi",'B.kriteria &amp; R.kecocokan'!$C$51)</f>
        <v>2.5</v>
      </c>
      <c r="T39" s="8" t="str">
        <f>'B.kriteria &amp; R.kecocokan'!$B$57</f>
        <v>Rendah</v>
      </c>
      <c r="U39" s="51">
        <f>_xlfn.IFS(T39="Rendah",'B.kriteria &amp; R.kecocokan'!$C$57,T39="Sedang",'B.kriteria &amp; R.kecocokan'!$C$58,T39="Tinggi",'B.kriteria &amp; R.kecocokan'!$C$59)</f>
        <v>2.5</v>
      </c>
      <c r="V39" s="51" t="str">
        <f>'B.kriteria &amp; R.kecocokan'!$B$65</f>
        <v>Rendah</v>
      </c>
      <c r="W39" s="9">
        <f>_xlfn.IFS(V39="Rendah",'B.kriteria &amp; R.kecocokan'!$C$65,V39="Sedang",'B.kriteria &amp; R.kecocokan'!$C$66,V39="Tinggi",'B.kriteria &amp; R.kecocokan'!$C$67)</f>
        <v>1</v>
      </c>
      <c r="X39" s="117">
        <f t="shared" si="3"/>
        <v>7.6485292703891776</v>
      </c>
      <c r="Y39" s="117">
        <f t="shared" si="4"/>
        <v>8.8600225733346747</v>
      </c>
      <c r="Z39" s="119">
        <f t="shared" si="5"/>
        <v>7.6485292703891776</v>
      </c>
      <c r="AA39" s="55" t="str">
        <f t="shared" si="6"/>
        <v>Layak</v>
      </c>
    </row>
    <row r="40" spans="1:27" x14ac:dyDescent="0.35">
      <c r="A40" s="5">
        <v>34</v>
      </c>
      <c r="B40" s="2" t="s">
        <v>81</v>
      </c>
      <c r="C40" s="11" t="s">
        <v>13</v>
      </c>
      <c r="D40" s="9" t="str">
        <f>'B.kriteria &amp; R.kecocokan'!$B$23</f>
        <v>Banyak</v>
      </c>
      <c r="E40" s="111">
        <f>_xlfn.IFS(D40="Banyak",'B.kriteria &amp; R.kecocokan'!$C$23,D40="Cukup",'B.kriteria &amp; R.kecocokan'!$C$24,D40="Sedikit",'B.kriteria &amp; R.kecocokan'!$C$25)</f>
        <v>2.5</v>
      </c>
      <c r="F40" s="9" t="str">
        <f>'B.kriteria &amp; R.kecocokan'!$B$34</f>
        <v>Tinggi</v>
      </c>
      <c r="G40" s="8">
        <f>_xlfn.IFS(F40="Tinggi",'B.kriteria &amp; R.kecocokan'!$C$34,F40="Sangat Tinggi",'B.kriteria &amp; R.kecocokan'!$C$35)</f>
        <v>7.5</v>
      </c>
      <c r="H40" s="8" t="str">
        <f>'B.kriteria &amp; R.kecocokan'!$B$41</f>
        <v>Rendah</v>
      </c>
      <c r="I40" s="8">
        <f>_xlfn.IFS(H40="Rendah",'B.kriteria &amp; R.kecocokan'!$C$41,H40="Sedang",'B.kriteria &amp; R.kecocokan'!$C$42,H40="Tinggi",'B.kriteria &amp; R.kecocokan'!$C$43)</f>
        <v>2.5</v>
      </c>
      <c r="J40" s="8" t="str">
        <f>'B.kriteria &amp; R.kecocokan'!$B$72</f>
        <v>Rendah</v>
      </c>
      <c r="K40" s="8">
        <f>_xlfn.IFS(J40="Rendah",'B.kriteria &amp; R.kecocokan'!$C$72,J40="Sedang",'B.kriteria &amp; R.kecocokan'!$C$73,J40="Tinggi",'B.kriteria &amp; R.kecocokan'!$C$74)</f>
        <v>2.5</v>
      </c>
      <c r="L40" s="8" t="str">
        <f>'B.kriteria &amp; R.kecocokan'!$B$95</f>
        <v>Rendah</v>
      </c>
      <c r="M40" s="8">
        <f>_xlfn.IFS(L40="Rendah",'B.kriteria &amp; R.kecocokan'!$C$95,L40="Tinggi",'B.kriteria &amp; R.kecocokan'!$C$96)</f>
        <v>2.5</v>
      </c>
      <c r="N40" s="9" t="str">
        <f>'B.kriteria &amp; R.kecocokan'!$B$81</f>
        <v>Tinggi</v>
      </c>
      <c r="O40" s="8">
        <f>_xlfn.IFS(N40="Rendah",'B.kriteria &amp; R.kecocokan'!$C$80,N40="Tinggi",'B.kriteria &amp; R.kecocokan'!$C$81)</f>
        <v>7.5</v>
      </c>
      <c r="P40" s="9" t="str">
        <f>'B.kriteria &amp; R.kecocokan'!$B$90</f>
        <v>Sangat Sedikit</v>
      </c>
      <c r="Q40" s="8">
        <f>_xlfn.IFS(P40="Sedikit",'B.kriteria &amp; R.kecocokan'!$C$89,P40="Sedang",'B.kriteria &amp; R.kecocokan'!$C$88,P40="Sangat Sedikit",'B.kriteria &amp; R.kecocokan'!$C$90)</f>
        <v>1</v>
      </c>
      <c r="R40" s="8" t="str">
        <f>'B.kriteria &amp; R.kecocokan'!$B$49</f>
        <v>Rendah</v>
      </c>
      <c r="S40" s="8">
        <f>_xlfn.IFS(R40="Rendah",'B.kriteria &amp; R.kecocokan'!$C$49,R40="Sedang",'B.kriteria &amp; R.kecocokan'!$C$50,R40="Tinggi",'B.kriteria &amp; R.kecocokan'!$C$51)</f>
        <v>2.5</v>
      </c>
      <c r="T40" s="8" t="str">
        <f>'B.kriteria &amp; R.kecocokan'!$B$57</f>
        <v>Rendah</v>
      </c>
      <c r="U40" s="51">
        <f>_xlfn.IFS(T40="Rendah",'B.kriteria &amp; R.kecocokan'!$C$57,T40="Sedang",'B.kriteria &amp; R.kecocokan'!$C$58,T40="Tinggi",'B.kriteria &amp; R.kecocokan'!$C$59)</f>
        <v>2.5</v>
      </c>
      <c r="V40" s="51" t="str">
        <f>'B.kriteria &amp; R.kecocokan'!$B$65</f>
        <v>Rendah</v>
      </c>
      <c r="W40" s="9">
        <f>_xlfn.IFS(V40="Rendah",'B.kriteria &amp; R.kecocokan'!$C$65,V40="Sedang",'B.kriteria &amp; R.kecocokan'!$C$66,V40="Tinggi",'B.kriteria &amp; R.kecocokan'!$C$67)</f>
        <v>1</v>
      </c>
      <c r="X40" s="117">
        <f t="shared" si="3"/>
        <v>5.7879184513951127</v>
      </c>
      <c r="Y40" s="117">
        <f t="shared" si="4"/>
        <v>7.3143694191638966</v>
      </c>
      <c r="Z40" s="119">
        <f t="shared" si="5"/>
        <v>5.7879184513951127</v>
      </c>
      <c r="AA40" s="55" t="str">
        <f t="shared" si="6"/>
        <v>Layak</v>
      </c>
    </row>
    <row r="41" spans="1:27" x14ac:dyDescent="0.35">
      <c r="A41" s="1">
        <v>35</v>
      </c>
      <c r="B41" s="2" t="s">
        <v>83</v>
      </c>
      <c r="C41" s="11" t="s">
        <v>13</v>
      </c>
      <c r="D41" s="9" t="str">
        <f>'B.kriteria &amp; R.kecocokan'!$B$25</f>
        <v>Sedikit</v>
      </c>
      <c r="E41" s="111">
        <f>_xlfn.IFS(D41="Banyak",'B.kriteria &amp; R.kecocokan'!$C$23,D41="Cukup",'B.kriteria &amp; R.kecocokan'!$C$24,D41="Sedikit",'B.kriteria &amp; R.kecocokan'!$C$25)</f>
        <v>7.5</v>
      </c>
      <c r="F41" s="9" t="str">
        <f>'B.kriteria &amp; R.kecocokan'!$B$34</f>
        <v>Tinggi</v>
      </c>
      <c r="G41" s="8">
        <f>_xlfn.IFS(F41="Tinggi",'B.kriteria &amp; R.kecocokan'!$C$34,F41="Sangat Tinggi",'B.kriteria &amp; R.kecocokan'!$C$35)</f>
        <v>7.5</v>
      </c>
      <c r="H41" s="8" t="str">
        <f>'B.kriteria &amp; R.kecocokan'!$B$41</f>
        <v>Rendah</v>
      </c>
      <c r="I41" s="8">
        <f>_xlfn.IFS(H41="Rendah",'B.kriteria &amp; R.kecocokan'!$C$41,H41="Sedang",'B.kriteria &amp; R.kecocokan'!$C$42,H41="Tinggi",'B.kriteria &amp; R.kecocokan'!$C$43)</f>
        <v>2.5</v>
      </c>
      <c r="J41" s="9" t="str">
        <f>'B.kriteria &amp; R.kecocokan'!$B$74</f>
        <v>Tinggi</v>
      </c>
      <c r="K41" s="8">
        <f>_xlfn.IFS(J41="Rendah",'B.kriteria &amp; R.kecocokan'!$C$72,J41="Sedang",'B.kriteria &amp; R.kecocokan'!$C$73,J41="Tinggi",'B.kriteria &amp; R.kecocokan'!$C$74)</f>
        <v>7.5</v>
      </c>
      <c r="L41" s="8" t="str">
        <f>'B.kriteria &amp; R.kecocokan'!$B$95</f>
        <v>Rendah</v>
      </c>
      <c r="M41" s="8">
        <f>_xlfn.IFS(L41="Rendah",'B.kriteria &amp; R.kecocokan'!$C$95,L41="Tinggi",'B.kriteria &amp; R.kecocokan'!$C$96)</f>
        <v>2.5</v>
      </c>
      <c r="N41" s="9" t="str">
        <f>'B.kriteria &amp; R.kecocokan'!$B$81</f>
        <v>Tinggi</v>
      </c>
      <c r="O41" s="8">
        <f>_xlfn.IFS(N41="Rendah",'B.kriteria &amp; R.kecocokan'!$C$80,N41="Tinggi",'B.kriteria &amp; R.kecocokan'!$C$81)</f>
        <v>7.5</v>
      </c>
      <c r="P41" s="9" t="str">
        <f>'B.kriteria &amp; R.kecocokan'!$B$90</f>
        <v>Sangat Sedikit</v>
      </c>
      <c r="Q41" s="8">
        <f>_xlfn.IFS(P41="Sedikit",'B.kriteria &amp; R.kecocokan'!$C$89,P41="Sedang",'B.kriteria &amp; R.kecocokan'!$C$88,P41="Sangat Sedikit",'B.kriteria &amp; R.kecocokan'!$C$90)</f>
        <v>1</v>
      </c>
      <c r="R41" s="9" t="str">
        <f>'B.kriteria &amp; R.kecocokan'!$B$50</f>
        <v>Sedang</v>
      </c>
      <c r="S41" s="8">
        <f>_xlfn.IFS(R41="Rendah",'B.kriteria &amp; R.kecocokan'!$C$49,R41="Sedang",'B.kriteria &amp; R.kecocokan'!$C$50,R41="Tinggi",'B.kriteria &amp; R.kecocokan'!$C$51)</f>
        <v>5</v>
      </c>
      <c r="T41" s="9" t="str">
        <f>'B.kriteria &amp; R.kecocokan'!$B$59</f>
        <v>Tinggi</v>
      </c>
      <c r="U41" s="51">
        <f>_xlfn.IFS(T41="Rendah",'B.kriteria &amp; R.kecocokan'!$C$57,T41="Sedang",'B.kriteria &amp; R.kecocokan'!$C$58,T41="Tinggi",'B.kriteria &amp; R.kecocokan'!$C$59)</f>
        <v>7.5</v>
      </c>
      <c r="V41" s="51" t="str">
        <f>'B.kriteria &amp; R.kecocokan'!$B$65</f>
        <v>Rendah</v>
      </c>
      <c r="W41" s="9">
        <f>_xlfn.IFS(V41="Rendah",'B.kriteria &amp; R.kecocokan'!$C$65,V41="Sedang",'B.kriteria &amp; R.kecocokan'!$C$66,V41="Tinggi",'B.kriteria &amp; R.kecocokan'!$C$67)</f>
        <v>1</v>
      </c>
      <c r="X41" s="117">
        <f t="shared" si="3"/>
        <v>9.4736476607482079</v>
      </c>
      <c r="Y41" s="117">
        <f t="shared" si="4"/>
        <v>10.476163419878482</v>
      </c>
      <c r="Z41" s="119">
        <f t="shared" si="5"/>
        <v>9.4736476607482079</v>
      </c>
      <c r="AA41" s="55" t="str">
        <f t="shared" si="6"/>
        <v>Layak</v>
      </c>
    </row>
    <row r="42" spans="1:27" x14ac:dyDescent="0.35">
      <c r="A42" s="5">
        <v>36</v>
      </c>
      <c r="B42" s="2" t="s">
        <v>84</v>
      </c>
      <c r="C42" s="11" t="s">
        <v>13</v>
      </c>
      <c r="D42" s="32" t="str">
        <f>'B.kriteria &amp; R.kecocokan'!$B$24</f>
        <v>Cukup</v>
      </c>
      <c r="E42" s="111">
        <f>_xlfn.IFS(D42="Banyak",'B.kriteria &amp; R.kecocokan'!$C$23,D42="Cukup",'B.kriteria &amp; R.kecocokan'!$C$24,D42="Sedikit",'B.kriteria &amp; R.kecocokan'!$C$25)</f>
        <v>5</v>
      </c>
      <c r="F42" s="9" t="str">
        <f>'B.kriteria &amp; R.kecocokan'!$B$34</f>
        <v>Tinggi</v>
      </c>
      <c r="G42" s="8">
        <f>_xlfn.IFS(F42="Tinggi",'B.kriteria &amp; R.kecocokan'!$C$34,F42="Sangat Tinggi",'B.kriteria &amp; R.kecocokan'!$C$35)</f>
        <v>7.5</v>
      </c>
      <c r="H42" s="8" t="str">
        <f>'B.kriteria &amp; R.kecocokan'!$B$41</f>
        <v>Rendah</v>
      </c>
      <c r="I42" s="8">
        <f>_xlfn.IFS(H42="Rendah",'B.kriteria &amp; R.kecocokan'!$C$41,H42="Sedang",'B.kriteria &amp; R.kecocokan'!$C$42,H42="Tinggi",'B.kriteria &amp; R.kecocokan'!$C$43)</f>
        <v>2.5</v>
      </c>
      <c r="J42" s="8" t="str">
        <f>'B.kriteria &amp; R.kecocokan'!$B$72</f>
        <v>Rendah</v>
      </c>
      <c r="K42" s="8">
        <f>_xlfn.IFS(J42="Rendah",'B.kriteria &amp; R.kecocokan'!$C$72,J42="Sedang",'B.kriteria &amp; R.kecocokan'!$C$73,J42="Tinggi",'B.kriteria &amp; R.kecocokan'!$C$74)</f>
        <v>2.5</v>
      </c>
      <c r="L42" s="8" t="str">
        <f>'B.kriteria &amp; R.kecocokan'!$B$95</f>
        <v>Rendah</v>
      </c>
      <c r="M42" s="8">
        <f>_xlfn.IFS(L42="Rendah",'B.kriteria &amp; R.kecocokan'!$C$95,L42="Tinggi",'B.kriteria &amp; R.kecocokan'!$C$96)</f>
        <v>2.5</v>
      </c>
      <c r="N42" s="8" t="str">
        <f>'B.kriteria &amp; R.kecocokan'!$B$80</f>
        <v>Rendah</v>
      </c>
      <c r="O42" s="8">
        <f>_xlfn.IFS(N42="Rendah",'B.kriteria &amp; R.kecocokan'!$C$80,N42="Tinggi",'B.kriteria &amp; R.kecocokan'!$C$81)</f>
        <v>2.5</v>
      </c>
      <c r="P42" s="9" t="str">
        <f>'B.kriteria &amp; R.kecocokan'!$B$90</f>
        <v>Sangat Sedikit</v>
      </c>
      <c r="Q42" s="8">
        <f>_xlfn.IFS(P42="Sedikit",'B.kriteria &amp; R.kecocokan'!$C$89,P42="Sedang",'B.kriteria &amp; R.kecocokan'!$C$88,P42="Sangat Sedikit",'B.kriteria &amp; R.kecocokan'!$C$90)</f>
        <v>1</v>
      </c>
      <c r="R42" s="8" t="str">
        <f>'B.kriteria &amp; R.kecocokan'!$B$49</f>
        <v>Rendah</v>
      </c>
      <c r="S42" s="8">
        <f>_xlfn.IFS(R42="Rendah",'B.kriteria &amp; R.kecocokan'!$C$49,R42="Sedang",'B.kriteria &amp; R.kecocokan'!$C$50,R42="Tinggi",'B.kriteria &amp; R.kecocokan'!$C$51)</f>
        <v>2.5</v>
      </c>
      <c r="T42" s="8" t="str">
        <f>'B.kriteria &amp; R.kecocokan'!$B$57</f>
        <v>Rendah</v>
      </c>
      <c r="U42" s="51">
        <f>_xlfn.IFS(T42="Rendah",'B.kriteria &amp; R.kecocokan'!$C$57,T42="Sedang",'B.kriteria &amp; R.kecocokan'!$C$58,T42="Tinggi",'B.kriteria &amp; R.kecocokan'!$C$59)</f>
        <v>2.5</v>
      </c>
      <c r="V42" s="51" t="str">
        <f>'B.kriteria &amp; R.kecocokan'!$B$65</f>
        <v>Rendah</v>
      </c>
      <c r="W42" s="9">
        <f>_xlfn.IFS(V42="Rendah",'B.kriteria &amp; R.kecocokan'!$C$65,V42="Sedang",'B.kriteria &amp; R.kecocokan'!$C$66,V42="Tinggi",'B.kriteria &amp; R.kecocokan'!$C$67)</f>
        <v>1</v>
      </c>
      <c r="X42" s="117">
        <f t="shared" si="3"/>
        <v>1.5</v>
      </c>
      <c r="Y42" s="117">
        <f t="shared" si="4"/>
        <v>4.7169905660283016</v>
      </c>
      <c r="Z42" s="119">
        <f t="shared" si="5"/>
        <v>1.5</v>
      </c>
      <c r="AA42" s="55" t="str">
        <f t="shared" si="6"/>
        <v>Layak</v>
      </c>
    </row>
    <row r="43" spans="1:27" x14ac:dyDescent="0.35">
      <c r="A43" s="5">
        <v>37</v>
      </c>
      <c r="B43" s="2" t="s">
        <v>85</v>
      </c>
      <c r="C43" s="11" t="s">
        <v>13</v>
      </c>
      <c r="D43" s="32" t="str">
        <f>'B.kriteria &amp; R.kecocokan'!$B$24</f>
        <v>Cukup</v>
      </c>
      <c r="E43" s="111">
        <f>_xlfn.IFS(D43="Banyak",'B.kriteria &amp; R.kecocokan'!$C$23,D43="Cukup",'B.kriteria &amp; R.kecocokan'!$C$24,D43="Sedikit",'B.kriteria &amp; R.kecocokan'!$C$25)</f>
        <v>5</v>
      </c>
      <c r="F43" s="9" t="str">
        <f>'B.kriteria &amp; R.kecocokan'!$B$34</f>
        <v>Tinggi</v>
      </c>
      <c r="G43" s="8">
        <f>_xlfn.IFS(F43="Tinggi",'B.kriteria &amp; R.kecocokan'!$C$34,F43="Sangat Tinggi",'B.kriteria &amp; R.kecocokan'!$C$35)</f>
        <v>7.5</v>
      </c>
      <c r="H43" s="8" t="str">
        <f>'B.kriteria &amp; R.kecocokan'!$B$41</f>
        <v>Rendah</v>
      </c>
      <c r="I43" s="8">
        <f>_xlfn.IFS(H43="Rendah",'B.kriteria &amp; R.kecocokan'!$C$41,H43="Sedang",'B.kriteria &amp; R.kecocokan'!$C$42,H43="Tinggi",'B.kriteria &amp; R.kecocokan'!$C$43)</f>
        <v>2.5</v>
      </c>
      <c r="J43" s="8" t="str">
        <f>'B.kriteria &amp; R.kecocokan'!$B$72</f>
        <v>Rendah</v>
      </c>
      <c r="K43" s="8">
        <f>_xlfn.IFS(J43="Rendah",'B.kriteria &amp; R.kecocokan'!$C$72,J43="Sedang",'B.kriteria &amp; R.kecocokan'!$C$73,J43="Tinggi",'B.kriteria &amp; R.kecocokan'!$C$74)</f>
        <v>2.5</v>
      </c>
      <c r="L43" s="8" t="str">
        <f>'B.kriteria &amp; R.kecocokan'!$B$95</f>
        <v>Rendah</v>
      </c>
      <c r="M43" s="8">
        <f>_xlfn.IFS(L43="Rendah",'B.kriteria &amp; R.kecocokan'!$C$95,L43="Tinggi",'B.kriteria &amp; R.kecocokan'!$C$96)</f>
        <v>2.5</v>
      </c>
      <c r="N43" s="8" t="str">
        <f>'B.kriteria &amp; R.kecocokan'!$B$80</f>
        <v>Rendah</v>
      </c>
      <c r="O43" s="8">
        <f>_xlfn.IFS(N43="Rendah",'B.kriteria &amp; R.kecocokan'!$C$80,N43="Tinggi",'B.kriteria &amp; R.kecocokan'!$C$81)</f>
        <v>2.5</v>
      </c>
      <c r="P43" s="9" t="str">
        <f>'B.kriteria &amp; R.kecocokan'!$B$88</f>
        <v>Sedang</v>
      </c>
      <c r="Q43" s="8">
        <f>_xlfn.IFS(P43="Sedikit",'B.kriteria &amp; R.kecocokan'!$C$89,P43="Sedang",'B.kriteria &amp; R.kecocokan'!$C$88,P43="Sangat Sedikit",'B.kriteria &amp; R.kecocokan'!$C$90)</f>
        <v>5</v>
      </c>
      <c r="R43" s="8" t="str">
        <f>'B.kriteria &amp; R.kecocokan'!$B$49</f>
        <v>Rendah</v>
      </c>
      <c r="S43" s="8">
        <f>_xlfn.IFS(R43="Rendah",'B.kriteria &amp; R.kecocokan'!$C$49,R43="Sedang",'B.kriteria &amp; R.kecocokan'!$C$50,R43="Tinggi",'B.kriteria &amp; R.kecocokan'!$C$51)</f>
        <v>2.5</v>
      </c>
      <c r="T43" s="8" t="str">
        <f>'B.kriteria &amp; R.kecocokan'!$B$57</f>
        <v>Rendah</v>
      </c>
      <c r="U43" s="51">
        <f>_xlfn.IFS(T43="Rendah",'B.kriteria &amp; R.kecocokan'!$C$57,T43="Sedang",'B.kriteria &amp; R.kecocokan'!$C$58,T43="Tinggi",'B.kriteria &amp; R.kecocokan'!$C$59)</f>
        <v>2.5</v>
      </c>
      <c r="V43" s="51" t="str">
        <f>'B.kriteria &amp; R.kecocokan'!$B$65</f>
        <v>Rendah</v>
      </c>
      <c r="W43" s="9">
        <f>_xlfn.IFS(V43="Rendah",'B.kriteria &amp; R.kecocokan'!$C$65,V43="Sedang",'B.kriteria &amp; R.kecocokan'!$C$66,V43="Tinggi",'B.kriteria &amp; R.kecocokan'!$C$67)</f>
        <v>1</v>
      </c>
      <c r="X43" s="117">
        <f t="shared" si="3"/>
        <v>2.5</v>
      </c>
      <c r="Y43" s="117">
        <f t="shared" si="4"/>
        <v>2.5</v>
      </c>
      <c r="Z43" s="119">
        <f t="shared" si="5"/>
        <v>2.5</v>
      </c>
      <c r="AA43" s="55" t="str">
        <f t="shared" si="6"/>
        <v>Tidak Layak</v>
      </c>
    </row>
    <row r="44" spans="1:27" x14ac:dyDescent="0.35">
      <c r="A44" s="1">
        <v>38</v>
      </c>
      <c r="B44" s="2" t="s">
        <v>86</v>
      </c>
      <c r="C44" s="11" t="s">
        <v>13</v>
      </c>
      <c r="D44" s="9" t="str">
        <f>'B.kriteria &amp; R.kecocokan'!$B$25</f>
        <v>Sedikit</v>
      </c>
      <c r="E44" s="111">
        <f>_xlfn.IFS(D44="Banyak",'B.kriteria &amp; R.kecocokan'!$C$23,D44="Cukup",'B.kriteria &amp; R.kecocokan'!$C$24,D44="Sedikit",'B.kriteria &amp; R.kecocokan'!$C$25)</f>
        <v>7.5</v>
      </c>
      <c r="F44" s="9" t="str">
        <f>'B.kriteria &amp; R.kecocokan'!$B$34</f>
        <v>Tinggi</v>
      </c>
      <c r="G44" s="8">
        <f>_xlfn.IFS(F44="Tinggi",'B.kriteria &amp; R.kecocokan'!$C$34,F44="Sangat Tinggi",'B.kriteria &amp; R.kecocokan'!$C$35)</f>
        <v>7.5</v>
      </c>
      <c r="H44" s="9" t="str">
        <f>'B.kriteria &amp; R.kecocokan'!$B$43</f>
        <v>Tinggi</v>
      </c>
      <c r="I44" s="8">
        <f>_xlfn.IFS(H44="Rendah",'B.kriteria &amp; R.kecocokan'!$C$41,H44="Sedang",'B.kriteria &amp; R.kecocokan'!$C$42,H44="Tinggi",'B.kriteria &amp; R.kecocokan'!$C$43)</f>
        <v>7.5</v>
      </c>
      <c r="J44" s="8" t="str">
        <f>'B.kriteria &amp; R.kecocokan'!$B$72</f>
        <v>Rendah</v>
      </c>
      <c r="K44" s="8">
        <f>_xlfn.IFS(J44="Rendah",'B.kriteria &amp; R.kecocokan'!$C$72,J44="Sedang",'B.kriteria &amp; R.kecocokan'!$C$73,J44="Tinggi",'B.kriteria &amp; R.kecocokan'!$C$74)</f>
        <v>2.5</v>
      </c>
      <c r="L44" s="8" t="str">
        <f>'B.kriteria &amp; R.kecocokan'!$B$95</f>
        <v>Rendah</v>
      </c>
      <c r="M44" s="8">
        <f>_xlfn.IFS(L44="Rendah",'B.kriteria &amp; R.kecocokan'!$C$95,L44="Tinggi",'B.kriteria &amp; R.kecocokan'!$C$96)</f>
        <v>2.5</v>
      </c>
      <c r="N44" s="9" t="str">
        <f>'B.kriteria &amp; R.kecocokan'!$B$81</f>
        <v>Tinggi</v>
      </c>
      <c r="O44" s="8">
        <f>_xlfn.IFS(N44="Rendah",'B.kriteria &amp; R.kecocokan'!$C$80,N44="Tinggi",'B.kriteria &amp; R.kecocokan'!$C$81)</f>
        <v>7.5</v>
      </c>
      <c r="P44" s="9" t="str">
        <f>'B.kriteria &amp; R.kecocokan'!$B$90</f>
        <v>Sangat Sedikit</v>
      </c>
      <c r="Q44" s="8">
        <f>_xlfn.IFS(P44="Sedikit",'B.kriteria &amp; R.kecocokan'!$C$89,P44="Sedang",'B.kriteria &amp; R.kecocokan'!$C$88,P44="Sangat Sedikit",'B.kriteria &amp; R.kecocokan'!$C$90)</f>
        <v>1</v>
      </c>
      <c r="R44" s="8" t="str">
        <f>'B.kriteria &amp; R.kecocokan'!$B$49</f>
        <v>Rendah</v>
      </c>
      <c r="S44" s="8">
        <f>_xlfn.IFS(R44="Rendah",'B.kriteria &amp; R.kecocokan'!$C$49,R44="Sedang",'B.kriteria &amp; R.kecocokan'!$C$50,R44="Tinggi",'B.kriteria &amp; R.kecocokan'!$C$51)</f>
        <v>2.5</v>
      </c>
      <c r="T44" s="8" t="str">
        <f>'B.kriteria &amp; R.kecocokan'!$B$57</f>
        <v>Rendah</v>
      </c>
      <c r="U44" s="51">
        <f>_xlfn.IFS(T44="Rendah",'B.kriteria &amp; R.kecocokan'!$C$57,T44="Sedang",'B.kriteria &amp; R.kecocokan'!$C$58,T44="Tinggi",'B.kriteria &amp; R.kecocokan'!$C$59)</f>
        <v>2.5</v>
      </c>
      <c r="V44" s="51" t="str">
        <f>'B.kriteria &amp; R.kecocokan'!$B$65</f>
        <v>Rendah</v>
      </c>
      <c r="W44" s="9">
        <f>_xlfn.IFS(V44="Rendah",'B.kriteria &amp; R.kecocokan'!$C$65,V44="Sedang",'B.kriteria &amp; R.kecocokan'!$C$66,V44="Tinggi",'B.kriteria &amp; R.kecocokan'!$C$67)</f>
        <v>1</v>
      </c>
      <c r="X44" s="117">
        <f t="shared" si="3"/>
        <v>7.6485292703891776</v>
      </c>
      <c r="Y44" s="117">
        <f t="shared" si="4"/>
        <v>8.8600225733346747</v>
      </c>
      <c r="Z44" s="119">
        <f t="shared" si="5"/>
        <v>7.6485292703891776</v>
      </c>
      <c r="AA44" s="55" t="str">
        <f t="shared" si="6"/>
        <v>Layak</v>
      </c>
    </row>
    <row r="45" spans="1:27" x14ac:dyDescent="0.35">
      <c r="A45" s="5">
        <v>39</v>
      </c>
      <c r="B45" s="2" t="s">
        <v>87</v>
      </c>
      <c r="C45" s="11" t="s">
        <v>13</v>
      </c>
      <c r="D45" s="9" t="str">
        <f>'B.kriteria &amp; R.kecocokan'!$B$25</f>
        <v>Sedikit</v>
      </c>
      <c r="E45" s="111">
        <f>_xlfn.IFS(D45="Banyak",'B.kriteria &amp; R.kecocokan'!$C$23,D45="Cukup",'B.kriteria &amp; R.kecocokan'!$C$24,D45="Sedikit",'B.kriteria &amp; R.kecocokan'!$C$25)</f>
        <v>7.5</v>
      </c>
      <c r="F45" s="9" t="str">
        <f>'B.kriteria &amp; R.kecocokan'!$B$34</f>
        <v>Tinggi</v>
      </c>
      <c r="G45" s="8">
        <f>_xlfn.IFS(F45="Tinggi",'B.kriteria &amp; R.kecocokan'!$C$34,F45="Sangat Tinggi",'B.kriteria &amp; R.kecocokan'!$C$35)</f>
        <v>7.5</v>
      </c>
      <c r="H45" s="8" t="str">
        <f>'B.kriteria &amp; R.kecocokan'!$B$41</f>
        <v>Rendah</v>
      </c>
      <c r="I45" s="8">
        <f>_xlfn.IFS(H45="Rendah",'B.kriteria &amp; R.kecocokan'!$C$41,H45="Sedang",'B.kriteria &amp; R.kecocokan'!$C$42,H45="Tinggi",'B.kriteria &amp; R.kecocokan'!$C$43)</f>
        <v>2.5</v>
      </c>
      <c r="J45" s="8" t="str">
        <f>'B.kriteria &amp; R.kecocokan'!$B$72</f>
        <v>Rendah</v>
      </c>
      <c r="K45" s="8">
        <f>_xlfn.IFS(J45="Rendah",'B.kriteria &amp; R.kecocokan'!$C$72,J45="Sedang",'B.kriteria &amp; R.kecocokan'!$C$73,J45="Tinggi",'B.kriteria &amp; R.kecocokan'!$C$74)</f>
        <v>2.5</v>
      </c>
      <c r="L45" s="8" t="str">
        <f>'B.kriteria &amp; R.kecocokan'!$B$95</f>
        <v>Rendah</v>
      </c>
      <c r="M45" s="8">
        <f>_xlfn.IFS(L45="Rendah",'B.kriteria &amp; R.kecocokan'!$C$95,L45="Tinggi",'B.kriteria &amp; R.kecocokan'!$C$96)</f>
        <v>2.5</v>
      </c>
      <c r="N45" s="9" t="str">
        <f>'B.kriteria &amp; R.kecocokan'!$B$81</f>
        <v>Tinggi</v>
      </c>
      <c r="O45" s="8">
        <f>_xlfn.IFS(N45="Rendah",'B.kriteria &amp; R.kecocokan'!$C$80,N45="Tinggi",'B.kriteria &amp; R.kecocokan'!$C$81)</f>
        <v>7.5</v>
      </c>
      <c r="P45" s="9" t="str">
        <f>'B.kriteria &amp; R.kecocokan'!$B$90</f>
        <v>Sangat Sedikit</v>
      </c>
      <c r="Q45" s="8">
        <f>_xlfn.IFS(P45="Sedikit",'B.kriteria &amp; R.kecocokan'!$C$89,P45="Sedang",'B.kriteria &amp; R.kecocokan'!$C$88,P45="Sangat Sedikit",'B.kriteria &amp; R.kecocokan'!$C$90)</f>
        <v>1</v>
      </c>
      <c r="R45" s="8" t="str">
        <f>'B.kriteria &amp; R.kecocokan'!$B$49</f>
        <v>Rendah</v>
      </c>
      <c r="S45" s="8">
        <f>_xlfn.IFS(R45="Rendah",'B.kriteria &amp; R.kecocokan'!$C$49,R45="Sedang",'B.kriteria &amp; R.kecocokan'!$C$50,R45="Tinggi",'B.kriteria &amp; R.kecocokan'!$C$51)</f>
        <v>2.5</v>
      </c>
      <c r="T45" s="8" t="str">
        <f>'B.kriteria &amp; R.kecocokan'!$B$57</f>
        <v>Rendah</v>
      </c>
      <c r="U45" s="51">
        <f>_xlfn.IFS(T45="Rendah",'B.kriteria &amp; R.kecocokan'!$C$57,T45="Sedang",'B.kriteria &amp; R.kecocokan'!$C$58,T45="Tinggi",'B.kriteria &amp; R.kecocokan'!$C$59)</f>
        <v>2.5</v>
      </c>
      <c r="V45" s="51" t="str">
        <f>'B.kriteria &amp; R.kecocokan'!$B$65</f>
        <v>Rendah</v>
      </c>
      <c r="W45" s="9">
        <f>_xlfn.IFS(V45="Rendah",'B.kriteria &amp; R.kecocokan'!$C$65,V45="Sedang",'B.kriteria &amp; R.kecocokan'!$C$66,V45="Tinggi",'B.kriteria &amp; R.kecocokan'!$C$67)</f>
        <v>1</v>
      </c>
      <c r="X45" s="117">
        <f t="shared" si="3"/>
        <v>5.7879184513951127</v>
      </c>
      <c r="Y45" s="117">
        <f t="shared" si="4"/>
        <v>7.3143694191638966</v>
      </c>
      <c r="Z45" s="119">
        <f t="shared" si="5"/>
        <v>5.7879184513951127</v>
      </c>
      <c r="AA45" s="55" t="str">
        <f t="shared" si="6"/>
        <v>Layak</v>
      </c>
    </row>
    <row r="46" spans="1:27" x14ac:dyDescent="0.35">
      <c r="A46" s="5">
        <v>40</v>
      </c>
      <c r="B46" s="2" t="s">
        <v>88</v>
      </c>
      <c r="C46" s="11" t="s">
        <v>13</v>
      </c>
      <c r="D46" s="32" t="str">
        <f>'B.kriteria &amp; R.kecocokan'!$B$24</f>
        <v>Cukup</v>
      </c>
      <c r="E46" s="111">
        <f>_xlfn.IFS(D46="Banyak",'B.kriteria &amp; R.kecocokan'!$C$23,D46="Cukup",'B.kriteria &amp; R.kecocokan'!$C$24,D46="Sedikit",'B.kriteria &amp; R.kecocokan'!$C$25)</f>
        <v>5</v>
      </c>
      <c r="F46" s="9" t="str">
        <f>'B.kriteria &amp; R.kecocokan'!$B$34</f>
        <v>Tinggi</v>
      </c>
      <c r="G46" s="8">
        <f>_xlfn.IFS(F46="Tinggi",'B.kriteria &amp; R.kecocokan'!$C$34,F46="Sangat Tinggi",'B.kriteria &amp; R.kecocokan'!$C$35)</f>
        <v>7.5</v>
      </c>
      <c r="H46" s="9" t="str">
        <f>'B.kriteria &amp; R.kecocokan'!$B$43</f>
        <v>Tinggi</v>
      </c>
      <c r="I46" s="8">
        <f>_xlfn.IFS(H46="Rendah",'B.kriteria &amp; R.kecocokan'!$C$41,H46="Sedang",'B.kriteria &amp; R.kecocokan'!$C$42,H46="Tinggi",'B.kriteria &amp; R.kecocokan'!$C$43)</f>
        <v>7.5</v>
      </c>
      <c r="J46" s="8" t="str">
        <f>'B.kriteria &amp; R.kecocokan'!$B$72</f>
        <v>Rendah</v>
      </c>
      <c r="K46" s="8">
        <f>_xlfn.IFS(J46="Rendah",'B.kriteria &amp; R.kecocokan'!$C$72,J46="Sedang",'B.kriteria &amp; R.kecocokan'!$C$73,J46="Tinggi",'B.kriteria &amp; R.kecocokan'!$C$74)</f>
        <v>2.5</v>
      </c>
      <c r="L46" s="8" t="str">
        <f>'B.kriteria &amp; R.kecocokan'!$B$95</f>
        <v>Rendah</v>
      </c>
      <c r="M46" s="8">
        <f>_xlfn.IFS(L46="Rendah",'B.kriteria &amp; R.kecocokan'!$C$95,L46="Tinggi",'B.kriteria &amp; R.kecocokan'!$C$96)</f>
        <v>2.5</v>
      </c>
      <c r="N46" s="8" t="str">
        <f>'B.kriteria &amp; R.kecocokan'!$B$80</f>
        <v>Rendah</v>
      </c>
      <c r="O46" s="8">
        <f>_xlfn.IFS(N46="Rendah",'B.kriteria &amp; R.kecocokan'!$C$80,N46="Tinggi",'B.kriteria &amp; R.kecocokan'!$C$81)</f>
        <v>2.5</v>
      </c>
      <c r="P46" s="9" t="str">
        <f>'B.kriteria &amp; R.kecocokan'!$B$88</f>
        <v>Sedang</v>
      </c>
      <c r="Q46" s="8">
        <f>_xlfn.IFS(P46="Sedikit",'B.kriteria &amp; R.kecocokan'!$C$89,P46="Sedang",'B.kriteria &amp; R.kecocokan'!$C$88,P46="Sangat Sedikit",'B.kriteria &amp; R.kecocokan'!$C$90)</f>
        <v>5</v>
      </c>
      <c r="R46" s="8" t="str">
        <f>'B.kriteria &amp; R.kecocokan'!$B$49</f>
        <v>Rendah</v>
      </c>
      <c r="S46" s="8">
        <f>_xlfn.IFS(R46="Rendah",'B.kriteria &amp; R.kecocokan'!$C$49,R46="Sedang",'B.kriteria &amp; R.kecocokan'!$C$50,R46="Tinggi",'B.kriteria &amp; R.kecocokan'!$C$51)</f>
        <v>2.5</v>
      </c>
      <c r="T46" s="8" t="str">
        <f>'B.kriteria &amp; R.kecocokan'!$B$57</f>
        <v>Rendah</v>
      </c>
      <c r="U46" s="51">
        <f>_xlfn.IFS(T46="Rendah",'B.kriteria &amp; R.kecocokan'!$C$57,T46="Sedang",'B.kriteria &amp; R.kecocokan'!$C$58,T46="Tinggi",'B.kriteria &amp; R.kecocokan'!$C$59)</f>
        <v>2.5</v>
      </c>
      <c r="V46" s="51" t="str">
        <f>'B.kriteria &amp; R.kecocokan'!$B$65</f>
        <v>Rendah</v>
      </c>
      <c r="W46" s="9">
        <f>_xlfn.IFS(V46="Rendah",'B.kriteria &amp; R.kecocokan'!$C$65,V46="Sedang",'B.kriteria &amp; R.kecocokan'!$C$66,V46="Tinggi",'B.kriteria &amp; R.kecocokan'!$C$67)</f>
        <v>1</v>
      </c>
      <c r="X46" s="117">
        <f t="shared" si="3"/>
        <v>5.5901699437494745</v>
      </c>
      <c r="Y46" s="117">
        <f t="shared" si="4"/>
        <v>5.5901699437494745</v>
      </c>
      <c r="Z46" s="119">
        <f t="shared" si="5"/>
        <v>5.5901699437494745</v>
      </c>
      <c r="AA46" s="55" t="str">
        <f t="shared" si="6"/>
        <v>Tidak Layak</v>
      </c>
    </row>
    <row r="47" spans="1:27" x14ac:dyDescent="0.35">
      <c r="A47" s="1">
        <v>41</v>
      </c>
      <c r="B47" s="2" t="s">
        <v>89</v>
      </c>
      <c r="C47" s="11" t="s">
        <v>13</v>
      </c>
      <c r="D47" s="9" t="str">
        <f>'B.kriteria &amp; R.kecocokan'!$B$23</f>
        <v>Banyak</v>
      </c>
      <c r="E47" s="111">
        <f>_xlfn.IFS(D47="Banyak",'B.kriteria &amp; R.kecocokan'!$C$23,D47="Cukup",'B.kriteria &amp; R.kecocokan'!$C$24,D47="Sedikit",'B.kriteria &amp; R.kecocokan'!$C$25)</f>
        <v>2.5</v>
      </c>
      <c r="F47" s="9" t="str">
        <f>'B.kriteria &amp; R.kecocokan'!$B$34</f>
        <v>Tinggi</v>
      </c>
      <c r="G47" s="8">
        <f>_xlfn.IFS(F47="Tinggi",'B.kriteria &amp; R.kecocokan'!$C$34,F47="Sangat Tinggi",'B.kriteria &amp; R.kecocokan'!$C$35)</f>
        <v>7.5</v>
      </c>
      <c r="H47" s="8" t="str">
        <f>'B.kriteria &amp; R.kecocokan'!$B$41</f>
        <v>Rendah</v>
      </c>
      <c r="I47" s="8">
        <f>_xlfn.IFS(H47="Rendah",'B.kriteria &amp; R.kecocokan'!$C$41,H47="Sedang",'B.kriteria &amp; R.kecocokan'!$C$42,H47="Tinggi",'B.kriteria &amp; R.kecocokan'!$C$43)</f>
        <v>2.5</v>
      </c>
      <c r="J47" s="8" t="str">
        <f>'B.kriteria &amp; R.kecocokan'!$B$72</f>
        <v>Rendah</v>
      </c>
      <c r="K47" s="8">
        <f>_xlfn.IFS(J47="Rendah",'B.kriteria &amp; R.kecocokan'!$C$72,J47="Sedang",'B.kriteria &amp; R.kecocokan'!$C$73,J47="Tinggi",'B.kriteria &amp; R.kecocokan'!$C$74)</f>
        <v>2.5</v>
      </c>
      <c r="L47" s="8" t="str">
        <f>'B.kriteria &amp; R.kecocokan'!$B$95</f>
        <v>Rendah</v>
      </c>
      <c r="M47" s="8">
        <f>_xlfn.IFS(L47="Rendah",'B.kriteria &amp; R.kecocokan'!$C$95,L47="Tinggi",'B.kriteria &amp; R.kecocokan'!$C$96)</f>
        <v>2.5</v>
      </c>
      <c r="N47" s="9" t="str">
        <f>'B.kriteria &amp; R.kecocokan'!$B$81</f>
        <v>Tinggi</v>
      </c>
      <c r="O47" s="8">
        <f>_xlfn.IFS(N47="Rendah",'B.kriteria &amp; R.kecocokan'!$C$80,N47="Tinggi",'B.kriteria &amp; R.kecocokan'!$C$81)</f>
        <v>7.5</v>
      </c>
      <c r="P47" s="9" t="str">
        <f>'B.kriteria &amp; R.kecocokan'!$B$90</f>
        <v>Sangat Sedikit</v>
      </c>
      <c r="Q47" s="8">
        <f>_xlfn.IFS(P47="Sedikit",'B.kriteria &amp; R.kecocokan'!$C$89,P47="Sedang",'B.kriteria &amp; R.kecocokan'!$C$88,P47="Sangat Sedikit",'B.kriteria &amp; R.kecocokan'!$C$90)</f>
        <v>1</v>
      </c>
      <c r="R47" s="8" t="str">
        <f>'B.kriteria &amp; R.kecocokan'!$B$49</f>
        <v>Rendah</v>
      </c>
      <c r="S47" s="8">
        <f>_xlfn.IFS(R47="Rendah",'B.kriteria &amp; R.kecocokan'!$C$49,R47="Sedang",'B.kriteria &amp; R.kecocokan'!$C$50,R47="Tinggi",'B.kriteria &amp; R.kecocokan'!$C$51)</f>
        <v>2.5</v>
      </c>
      <c r="T47" s="8" t="str">
        <f>'B.kriteria &amp; R.kecocokan'!$B$57</f>
        <v>Rendah</v>
      </c>
      <c r="U47" s="51">
        <f>_xlfn.IFS(T47="Rendah",'B.kriteria &amp; R.kecocokan'!$C$57,T47="Sedang",'B.kriteria &amp; R.kecocokan'!$C$58,T47="Tinggi",'B.kriteria &amp; R.kecocokan'!$C$59)</f>
        <v>2.5</v>
      </c>
      <c r="V47" s="51" t="str">
        <f>'B.kriteria &amp; R.kecocokan'!$B$65</f>
        <v>Rendah</v>
      </c>
      <c r="W47" s="9">
        <f>_xlfn.IFS(V47="Rendah",'B.kriteria &amp; R.kecocokan'!$C$65,V47="Sedang",'B.kriteria &amp; R.kecocokan'!$C$66,V47="Tinggi",'B.kriteria &amp; R.kecocokan'!$C$67)</f>
        <v>1</v>
      </c>
      <c r="X47" s="117">
        <f t="shared" si="3"/>
        <v>5.7879184513951127</v>
      </c>
      <c r="Y47" s="117">
        <f t="shared" si="4"/>
        <v>7.3143694191638966</v>
      </c>
      <c r="Z47" s="119">
        <f t="shared" si="5"/>
        <v>5.7879184513951127</v>
      </c>
      <c r="AA47" s="55" t="str">
        <f t="shared" si="6"/>
        <v>Layak</v>
      </c>
    </row>
    <row r="48" spans="1:27" x14ac:dyDescent="0.35">
      <c r="A48" s="5">
        <v>42</v>
      </c>
      <c r="B48" s="2" t="s">
        <v>91</v>
      </c>
      <c r="C48" s="11" t="s">
        <v>92</v>
      </c>
      <c r="D48" s="28" t="str">
        <f>'B.kriteria &amp; R.kecocokan'!$B$25</f>
        <v>Sedikit</v>
      </c>
      <c r="E48" s="111">
        <f>_xlfn.IFS(D48="Banyak",'B.kriteria &amp; R.kecocokan'!$C$23,D48="Cukup",'B.kriteria &amp; R.kecocokan'!$C$24,D48="Sedikit",'B.kriteria &amp; R.kecocokan'!$C$25)</f>
        <v>7.5</v>
      </c>
      <c r="F48" s="9" t="str">
        <f>'B.kriteria &amp; R.kecocokan'!$B$34</f>
        <v>Tinggi</v>
      </c>
      <c r="G48" s="8">
        <f>_xlfn.IFS(F48="Tinggi",'B.kriteria &amp; R.kecocokan'!$C$34,F48="Sangat Tinggi",'B.kriteria &amp; R.kecocokan'!$C$35)</f>
        <v>7.5</v>
      </c>
      <c r="H48" s="8" t="str">
        <f>'B.kriteria &amp; R.kecocokan'!$B$41</f>
        <v>Rendah</v>
      </c>
      <c r="I48" s="8">
        <f>_xlfn.IFS(H48="Rendah",'B.kriteria &amp; R.kecocokan'!$C$41,H48="Sedang",'B.kriteria &amp; R.kecocokan'!$C$42,H48="Tinggi",'B.kriteria &amp; R.kecocokan'!$C$43)</f>
        <v>2.5</v>
      </c>
      <c r="J48" s="8" t="str">
        <f>'B.kriteria &amp; R.kecocokan'!$B$72</f>
        <v>Rendah</v>
      </c>
      <c r="K48" s="8">
        <f>_xlfn.IFS(J48="Rendah",'B.kriteria &amp; R.kecocokan'!$C$72,J48="Sedang",'B.kriteria &amp; R.kecocokan'!$C$73,J48="Tinggi",'B.kriteria &amp; R.kecocokan'!$C$74)</f>
        <v>2.5</v>
      </c>
      <c r="L48" s="8" t="str">
        <f>'B.kriteria &amp; R.kecocokan'!$B$95</f>
        <v>Rendah</v>
      </c>
      <c r="M48" s="8">
        <f>_xlfn.IFS(L48="Rendah",'B.kriteria &amp; R.kecocokan'!$C$95,L48="Tinggi",'B.kriteria &amp; R.kecocokan'!$C$96)</f>
        <v>2.5</v>
      </c>
      <c r="N48" s="9" t="str">
        <f>'B.kriteria &amp; R.kecocokan'!$B$81</f>
        <v>Tinggi</v>
      </c>
      <c r="O48" s="8">
        <f>_xlfn.IFS(N48="Rendah",'B.kriteria &amp; R.kecocokan'!$C$80,N48="Tinggi",'B.kriteria &amp; R.kecocokan'!$C$81)</f>
        <v>7.5</v>
      </c>
      <c r="P48" s="9" t="str">
        <f>'B.kriteria &amp; R.kecocokan'!$B$88</f>
        <v>Sedang</v>
      </c>
      <c r="Q48" s="8">
        <f>_xlfn.IFS(P48="Sedikit",'B.kriteria &amp; R.kecocokan'!$C$89,P48="Sedang",'B.kriteria &amp; R.kecocokan'!$C$88,P48="Sangat Sedikit",'B.kriteria &amp; R.kecocokan'!$C$90)</f>
        <v>5</v>
      </c>
      <c r="R48" s="9" t="str">
        <f>'B.kriteria &amp; R.kecocokan'!$B$50</f>
        <v>Sedang</v>
      </c>
      <c r="S48" s="8">
        <f>_xlfn.IFS(R48="Rendah",'B.kriteria &amp; R.kecocokan'!$C$49,R48="Sedang",'B.kriteria &amp; R.kecocokan'!$C$50,R48="Tinggi",'B.kriteria &amp; R.kecocokan'!$C$51)</f>
        <v>5</v>
      </c>
      <c r="T48" s="8" t="str">
        <f>'B.kriteria &amp; R.kecocokan'!$B$57</f>
        <v>Rendah</v>
      </c>
      <c r="U48" s="51">
        <f>_xlfn.IFS(T48="Rendah",'B.kriteria &amp; R.kecocokan'!$C$57,T48="Sedang",'B.kriteria &amp; R.kecocokan'!$C$58,T48="Tinggi",'B.kriteria &amp; R.kecocokan'!$C$59)</f>
        <v>2.5</v>
      </c>
      <c r="V48" s="51" t="str">
        <f>'B.kriteria &amp; R.kecocokan'!$B$65</f>
        <v>Rendah</v>
      </c>
      <c r="W48" s="9">
        <f>_xlfn.IFS(V48="Rendah",'B.kriteria &amp; R.kecocokan'!$C$65,V48="Sedang",'B.kriteria &amp; R.kecocokan'!$C$66,V48="Tinggi",'B.kriteria &amp; R.kecocokan'!$C$67)</f>
        <v>1</v>
      </c>
      <c r="X48" s="117">
        <f t="shared" si="3"/>
        <v>6.6143782776614763</v>
      </c>
      <c r="Y48" s="117">
        <f t="shared" si="4"/>
        <v>6.6143782776614763</v>
      </c>
      <c r="Z48" s="119">
        <f t="shared" si="5"/>
        <v>6.6143782776614763</v>
      </c>
      <c r="AA48" s="55" t="str">
        <f t="shared" si="6"/>
        <v>Tidak Layak</v>
      </c>
    </row>
    <row r="49" spans="1:27" x14ac:dyDescent="0.35">
      <c r="A49" s="5">
        <v>43</v>
      </c>
      <c r="B49" s="2" t="s">
        <v>94</v>
      </c>
      <c r="C49" s="11" t="s">
        <v>95</v>
      </c>
      <c r="D49" s="28" t="str">
        <f>'B.kriteria &amp; R.kecocokan'!$B$25</f>
        <v>Sedikit</v>
      </c>
      <c r="E49" s="111">
        <f>_xlfn.IFS(D49="Banyak",'B.kriteria &amp; R.kecocokan'!$C$23,D49="Cukup",'B.kriteria &amp; R.kecocokan'!$C$24,D49="Sedikit",'B.kriteria &amp; R.kecocokan'!$C$25)</f>
        <v>7.5</v>
      </c>
      <c r="F49" s="9" t="str">
        <f>'B.kriteria &amp; R.kecocokan'!$B$34</f>
        <v>Tinggi</v>
      </c>
      <c r="G49" s="8">
        <f>_xlfn.IFS(F49="Tinggi",'B.kriteria &amp; R.kecocokan'!$C$34,F49="Sangat Tinggi",'B.kriteria &amp; R.kecocokan'!$C$35)</f>
        <v>7.5</v>
      </c>
      <c r="H49" s="8" t="str">
        <f>'B.kriteria &amp; R.kecocokan'!$B$41</f>
        <v>Rendah</v>
      </c>
      <c r="I49" s="8">
        <f>_xlfn.IFS(H49="Rendah",'B.kriteria &amp; R.kecocokan'!$C$41,H49="Sedang",'B.kriteria &amp; R.kecocokan'!$C$42,H49="Tinggi",'B.kriteria &amp; R.kecocokan'!$C$43)</f>
        <v>2.5</v>
      </c>
      <c r="J49" s="8" t="str">
        <f>'B.kriteria &amp; R.kecocokan'!$B$72</f>
        <v>Rendah</v>
      </c>
      <c r="K49" s="8">
        <f>_xlfn.IFS(J49="Rendah",'B.kriteria &amp; R.kecocokan'!$C$72,J49="Sedang",'B.kriteria &amp; R.kecocokan'!$C$73,J49="Tinggi",'B.kriteria &amp; R.kecocokan'!$C$74)</f>
        <v>2.5</v>
      </c>
      <c r="L49" s="8" t="str">
        <f>'B.kriteria &amp; R.kecocokan'!$B$95</f>
        <v>Rendah</v>
      </c>
      <c r="M49" s="8">
        <f>_xlfn.IFS(L49="Rendah",'B.kriteria &amp; R.kecocokan'!$C$95,L49="Tinggi",'B.kriteria &amp; R.kecocokan'!$C$96)</f>
        <v>2.5</v>
      </c>
      <c r="N49" s="8" t="str">
        <f>'B.kriteria &amp; R.kecocokan'!$B$80</f>
        <v>Rendah</v>
      </c>
      <c r="O49" s="8">
        <f>_xlfn.IFS(N49="Rendah",'B.kriteria &amp; R.kecocokan'!$C$80,N49="Tinggi",'B.kriteria &amp; R.kecocokan'!$C$81)</f>
        <v>2.5</v>
      </c>
      <c r="P49" s="9" t="str">
        <f>'B.kriteria &amp; R.kecocokan'!$B$90</f>
        <v>Sangat Sedikit</v>
      </c>
      <c r="Q49" s="8">
        <f>_xlfn.IFS(P49="Sedikit",'B.kriteria &amp; R.kecocokan'!$C$89,P49="Sedang",'B.kriteria &amp; R.kecocokan'!$C$88,P49="Sangat Sedikit",'B.kriteria &amp; R.kecocokan'!$C$90)</f>
        <v>1</v>
      </c>
      <c r="R49" s="8" t="str">
        <f>'B.kriteria &amp; R.kecocokan'!$B$49</f>
        <v>Rendah</v>
      </c>
      <c r="S49" s="8">
        <f>_xlfn.IFS(R49="Rendah",'B.kriteria &amp; R.kecocokan'!$C$49,R49="Sedang",'B.kriteria &amp; R.kecocokan'!$C$50,R49="Tinggi",'B.kriteria &amp; R.kecocokan'!$C$51)</f>
        <v>2.5</v>
      </c>
      <c r="T49" s="8" t="str">
        <f>'B.kriteria &amp; R.kecocokan'!$B$57</f>
        <v>Rendah</v>
      </c>
      <c r="U49" s="51">
        <f>_xlfn.IFS(T49="Rendah",'B.kriteria &amp; R.kecocokan'!$C$57,T49="Sedang",'B.kriteria &amp; R.kecocokan'!$C$58,T49="Tinggi",'B.kriteria &amp; R.kecocokan'!$C$59)</f>
        <v>2.5</v>
      </c>
      <c r="V49" s="51" t="str">
        <f>'B.kriteria &amp; R.kecocokan'!$B$65</f>
        <v>Rendah</v>
      </c>
      <c r="W49" s="9">
        <f>_xlfn.IFS(V49="Rendah",'B.kriteria &amp; R.kecocokan'!$C$65,V49="Sedang",'B.kriteria &amp; R.kecocokan'!$C$66,V49="Tinggi",'B.kriteria &amp; R.kecocokan'!$C$67)</f>
        <v>1</v>
      </c>
      <c r="X49" s="117">
        <f t="shared" si="3"/>
        <v>2.9154759474226504</v>
      </c>
      <c r="Y49" s="117">
        <f t="shared" si="4"/>
        <v>5.3385391260156556</v>
      </c>
      <c r="Z49" s="119">
        <f t="shared" si="5"/>
        <v>2.9154759474226504</v>
      </c>
      <c r="AA49" s="55" t="str">
        <f t="shared" si="6"/>
        <v>Layak</v>
      </c>
    </row>
    <row r="50" spans="1:27" x14ac:dyDescent="0.35">
      <c r="A50" s="1">
        <v>44</v>
      </c>
      <c r="B50" s="2" t="s">
        <v>96</v>
      </c>
      <c r="C50" s="11" t="s">
        <v>95</v>
      </c>
      <c r="D50" s="28" t="str">
        <f>'B.kriteria &amp; R.kecocokan'!$B$25</f>
        <v>Sedikit</v>
      </c>
      <c r="E50" s="111">
        <f>_xlfn.IFS(D50="Banyak",'B.kriteria &amp; R.kecocokan'!$C$23,D50="Cukup",'B.kriteria &amp; R.kecocokan'!$C$24,D50="Sedikit",'B.kriteria &amp; R.kecocokan'!$C$25)</f>
        <v>7.5</v>
      </c>
      <c r="F50" s="9" t="str">
        <f>'B.kriteria &amp; R.kecocokan'!$B$35</f>
        <v>Sangat Tinggi</v>
      </c>
      <c r="G50" s="8">
        <f>_xlfn.IFS(F50="Tinggi",'B.kriteria &amp; R.kecocokan'!$C$34,F50="Sangat Tinggi",'B.kriteria &amp; R.kecocokan'!$C$35)</f>
        <v>10</v>
      </c>
      <c r="H50" s="8" t="str">
        <f>'B.kriteria &amp; R.kecocokan'!$B$41</f>
        <v>Rendah</v>
      </c>
      <c r="I50" s="8">
        <f>_xlfn.IFS(H50="Rendah",'B.kriteria &amp; R.kecocokan'!$C$41,H50="Sedang",'B.kriteria &amp; R.kecocokan'!$C$42,H50="Tinggi",'B.kriteria &amp; R.kecocokan'!$C$43)</f>
        <v>2.5</v>
      </c>
      <c r="J50" s="8" t="str">
        <f>'B.kriteria &amp; R.kecocokan'!$B$72</f>
        <v>Rendah</v>
      </c>
      <c r="K50" s="8">
        <f>_xlfn.IFS(J50="Rendah",'B.kriteria &amp; R.kecocokan'!$C$72,J50="Sedang",'B.kriteria &amp; R.kecocokan'!$C$73,J50="Tinggi",'B.kriteria &amp; R.kecocokan'!$C$74)</f>
        <v>2.5</v>
      </c>
      <c r="L50" s="8" t="str">
        <f>'B.kriteria &amp; R.kecocokan'!$B$95</f>
        <v>Rendah</v>
      </c>
      <c r="M50" s="8">
        <f>_xlfn.IFS(L50="Rendah",'B.kriteria &amp; R.kecocokan'!$C$95,L50="Tinggi",'B.kriteria &amp; R.kecocokan'!$C$96)</f>
        <v>2.5</v>
      </c>
      <c r="N50" s="9" t="str">
        <f>'B.kriteria &amp; R.kecocokan'!$B$81</f>
        <v>Tinggi</v>
      </c>
      <c r="O50" s="8">
        <f>_xlfn.IFS(N50="Rendah",'B.kriteria &amp; R.kecocokan'!$C$80,N50="Tinggi",'B.kriteria &amp; R.kecocokan'!$C$81)</f>
        <v>7.5</v>
      </c>
      <c r="P50" s="9" t="str">
        <f>'B.kriteria &amp; R.kecocokan'!$B$90</f>
        <v>Sangat Sedikit</v>
      </c>
      <c r="Q50" s="8">
        <f>_xlfn.IFS(P50="Sedikit",'B.kriteria &amp; R.kecocokan'!$C$89,P50="Sedang",'B.kriteria &amp; R.kecocokan'!$C$88,P50="Sangat Sedikit",'B.kriteria &amp; R.kecocokan'!$C$90)</f>
        <v>1</v>
      </c>
      <c r="R50" s="9" t="str">
        <f>'B.kriteria &amp; R.kecocokan'!$B$50</f>
        <v>Sedang</v>
      </c>
      <c r="S50" s="8">
        <f>_xlfn.IFS(R50="Rendah",'B.kriteria &amp; R.kecocokan'!$C$49,R50="Sedang",'B.kriteria &amp; R.kecocokan'!$C$50,R50="Tinggi",'B.kriteria &amp; R.kecocokan'!$C$51)</f>
        <v>5</v>
      </c>
      <c r="T50" s="9" t="str">
        <f>'B.kriteria &amp; R.kecocokan'!$B$59</f>
        <v>Tinggi</v>
      </c>
      <c r="U50" s="51">
        <f>_xlfn.IFS(T50="Rendah",'B.kriteria &amp; R.kecocokan'!$C$57,T50="Sedang",'B.kriteria &amp; R.kecocokan'!$C$58,T50="Tinggi",'B.kriteria &amp; R.kecocokan'!$C$59)</f>
        <v>7.5</v>
      </c>
      <c r="V50" s="51" t="str">
        <f>'B.kriteria &amp; R.kecocokan'!$B$65</f>
        <v>Rendah</v>
      </c>
      <c r="W50" s="9">
        <f>_xlfn.IFS(V50="Rendah",'B.kriteria &amp; R.kecocokan'!$C$65,V50="Sedang",'B.kriteria &amp; R.kecocokan'!$C$66,V50="Tinggi",'B.kriteria &amp; R.kecocokan'!$C$67)</f>
        <v>1</v>
      </c>
      <c r="X50" s="117">
        <f t="shared" si="3"/>
        <v>8.426149773176359</v>
      </c>
      <c r="Y50" s="117">
        <f t="shared" si="4"/>
        <v>8.8600225733346747</v>
      </c>
      <c r="Z50" s="119">
        <f t="shared" si="5"/>
        <v>8.426149773176359</v>
      </c>
      <c r="AA50" s="55" t="str">
        <f t="shared" si="6"/>
        <v>Layak</v>
      </c>
    </row>
    <row r="51" spans="1:27" x14ac:dyDescent="0.35">
      <c r="A51" s="5">
        <v>45</v>
      </c>
      <c r="B51" s="2" t="s">
        <v>98</v>
      </c>
      <c r="C51" s="11" t="s">
        <v>95</v>
      </c>
      <c r="D51" s="32" t="str">
        <f>'B.kriteria &amp; R.kecocokan'!$B$24</f>
        <v>Cukup</v>
      </c>
      <c r="E51" s="111">
        <f>_xlfn.IFS(D51="Banyak",'B.kriteria &amp; R.kecocokan'!$C$23,D51="Cukup",'B.kriteria &amp; R.kecocokan'!$C$24,D51="Sedikit",'B.kriteria &amp; R.kecocokan'!$C$25)</f>
        <v>5</v>
      </c>
      <c r="F51" s="9" t="str">
        <f>'B.kriteria &amp; R.kecocokan'!$B$34</f>
        <v>Tinggi</v>
      </c>
      <c r="G51" s="8">
        <f>_xlfn.IFS(F51="Tinggi",'B.kriteria &amp; R.kecocokan'!$C$34,F51="Sangat Tinggi",'B.kriteria &amp; R.kecocokan'!$C$35)</f>
        <v>7.5</v>
      </c>
      <c r="H51" s="8" t="str">
        <f>'B.kriteria &amp; R.kecocokan'!$B$41</f>
        <v>Rendah</v>
      </c>
      <c r="I51" s="8">
        <f>_xlfn.IFS(H51="Rendah",'B.kriteria &amp; R.kecocokan'!$C$41,H51="Sedang",'B.kriteria &amp; R.kecocokan'!$C$42,H51="Tinggi",'B.kriteria &amp; R.kecocokan'!$C$43)</f>
        <v>2.5</v>
      </c>
      <c r="J51" s="8" t="str">
        <f>'B.kriteria &amp; R.kecocokan'!$B$72</f>
        <v>Rendah</v>
      </c>
      <c r="K51" s="8">
        <f>_xlfn.IFS(J51="Rendah",'B.kriteria &amp; R.kecocokan'!$C$72,J51="Sedang",'B.kriteria &amp; R.kecocokan'!$C$73,J51="Tinggi",'B.kriteria &amp; R.kecocokan'!$C$74)</f>
        <v>2.5</v>
      </c>
      <c r="L51" s="8" t="str">
        <f>'B.kriteria &amp; R.kecocokan'!$B$95</f>
        <v>Rendah</v>
      </c>
      <c r="M51" s="8">
        <f>_xlfn.IFS(L51="Rendah",'B.kriteria &amp; R.kecocokan'!$C$95,L51="Tinggi",'B.kriteria &amp; R.kecocokan'!$C$96)</f>
        <v>2.5</v>
      </c>
      <c r="N51" s="9" t="str">
        <f>'B.kriteria &amp; R.kecocokan'!$B$81</f>
        <v>Tinggi</v>
      </c>
      <c r="O51" s="8">
        <f>_xlfn.IFS(N51="Rendah",'B.kriteria &amp; R.kecocokan'!$C$80,N51="Tinggi",'B.kriteria &amp; R.kecocokan'!$C$81)</f>
        <v>7.5</v>
      </c>
      <c r="P51" s="9" t="str">
        <f>'B.kriteria &amp; R.kecocokan'!$B$90</f>
        <v>Sangat Sedikit</v>
      </c>
      <c r="Q51" s="8">
        <f>_xlfn.IFS(P51="Sedikit",'B.kriteria &amp; R.kecocokan'!$C$89,P51="Sedang",'B.kriteria &amp; R.kecocokan'!$C$88,P51="Sangat Sedikit",'B.kriteria &amp; R.kecocokan'!$C$90)</f>
        <v>1</v>
      </c>
      <c r="R51" s="8" t="str">
        <f>'B.kriteria &amp; R.kecocokan'!$B$49</f>
        <v>Rendah</v>
      </c>
      <c r="S51" s="8">
        <f>_xlfn.IFS(R51="Rendah",'B.kriteria &amp; R.kecocokan'!$C$49,R51="Sedang",'B.kriteria &amp; R.kecocokan'!$C$50,R51="Tinggi",'B.kriteria &amp; R.kecocokan'!$C$51)</f>
        <v>2.5</v>
      </c>
      <c r="T51" s="8" t="str">
        <f>'B.kriteria &amp; R.kecocokan'!$B$57</f>
        <v>Rendah</v>
      </c>
      <c r="U51" s="51">
        <f>_xlfn.IFS(T51="Rendah",'B.kriteria &amp; R.kecocokan'!$C$57,T51="Sedang",'B.kriteria &amp; R.kecocokan'!$C$58,T51="Tinggi",'B.kriteria &amp; R.kecocokan'!$C$59)</f>
        <v>2.5</v>
      </c>
      <c r="V51" s="51" t="str">
        <f>'B.kriteria &amp; R.kecocokan'!$B$65</f>
        <v>Rendah</v>
      </c>
      <c r="W51" s="9">
        <f>_xlfn.IFS(V51="Rendah",'B.kriteria &amp; R.kecocokan'!$C$65,V51="Sedang",'B.kriteria &amp; R.kecocokan'!$C$66,V51="Tinggi",'B.kriteria &amp; R.kecocokan'!$C$67)</f>
        <v>1</v>
      </c>
      <c r="X51" s="117">
        <f t="shared" si="3"/>
        <v>5.2201532544552753</v>
      </c>
      <c r="Y51" s="117">
        <f t="shared" si="4"/>
        <v>6.8738635424337602</v>
      </c>
      <c r="Z51" s="119">
        <f t="shared" si="5"/>
        <v>5.2201532544552753</v>
      </c>
      <c r="AA51" s="55" t="str">
        <f t="shared" si="6"/>
        <v>Layak</v>
      </c>
    </row>
    <row r="52" spans="1:27" x14ac:dyDescent="0.35">
      <c r="A52" s="5">
        <v>46</v>
      </c>
      <c r="B52" s="2" t="s">
        <v>100</v>
      </c>
      <c r="C52" s="11" t="s">
        <v>92</v>
      </c>
      <c r="D52" s="32" t="str">
        <f>'B.kriteria &amp; R.kecocokan'!$B$24</f>
        <v>Cukup</v>
      </c>
      <c r="E52" s="111">
        <f>_xlfn.IFS(D52="Banyak",'B.kriteria &amp; R.kecocokan'!$C$23,D52="Cukup",'B.kriteria &amp; R.kecocokan'!$C$24,D52="Sedikit",'B.kriteria &amp; R.kecocokan'!$C$25)</f>
        <v>5</v>
      </c>
      <c r="F52" s="9" t="str">
        <f>'B.kriteria &amp; R.kecocokan'!$B$34</f>
        <v>Tinggi</v>
      </c>
      <c r="G52" s="8">
        <f>_xlfn.IFS(F52="Tinggi",'B.kriteria &amp; R.kecocokan'!$C$34,F52="Sangat Tinggi",'B.kriteria &amp; R.kecocokan'!$C$35)</f>
        <v>7.5</v>
      </c>
      <c r="H52" s="8" t="str">
        <f>'B.kriteria &amp; R.kecocokan'!$B$41</f>
        <v>Rendah</v>
      </c>
      <c r="I52" s="8">
        <f>_xlfn.IFS(H52="Rendah",'B.kriteria &amp; R.kecocokan'!$C$41,H52="Sedang",'B.kriteria &amp; R.kecocokan'!$C$42,H52="Tinggi",'B.kriteria &amp; R.kecocokan'!$C$43)</f>
        <v>2.5</v>
      </c>
      <c r="J52" s="8" t="str">
        <f>'B.kriteria &amp; R.kecocokan'!$B$72</f>
        <v>Rendah</v>
      </c>
      <c r="K52" s="8">
        <f>_xlfn.IFS(J52="Rendah",'B.kriteria &amp; R.kecocokan'!$C$72,J52="Sedang",'B.kriteria &amp; R.kecocokan'!$C$73,J52="Tinggi",'B.kriteria &amp; R.kecocokan'!$C$74)</f>
        <v>2.5</v>
      </c>
      <c r="L52" s="8" t="str">
        <f>'B.kriteria &amp; R.kecocokan'!$B$95</f>
        <v>Rendah</v>
      </c>
      <c r="M52" s="8">
        <f>_xlfn.IFS(L52="Rendah",'B.kriteria &amp; R.kecocokan'!$C$95,L52="Tinggi",'B.kriteria &amp; R.kecocokan'!$C$96)</f>
        <v>2.5</v>
      </c>
      <c r="N52" s="8" t="str">
        <f>'B.kriteria &amp; R.kecocokan'!$B$80</f>
        <v>Rendah</v>
      </c>
      <c r="O52" s="8">
        <f>_xlfn.IFS(N52="Rendah",'B.kriteria &amp; R.kecocokan'!$C$80,N52="Tinggi",'B.kriteria &amp; R.kecocokan'!$C$81)</f>
        <v>2.5</v>
      </c>
      <c r="P52" s="9" t="str">
        <f>'B.kriteria &amp; R.kecocokan'!$B$88</f>
        <v>Sedang</v>
      </c>
      <c r="Q52" s="8">
        <f>_xlfn.IFS(P52="Sedikit",'B.kriteria &amp; R.kecocokan'!$C$89,P52="Sedang",'B.kriteria &amp; R.kecocokan'!$C$88,P52="Sangat Sedikit",'B.kriteria &amp; R.kecocokan'!$C$90)</f>
        <v>5</v>
      </c>
      <c r="R52" s="8" t="str">
        <f>'B.kriteria &amp; R.kecocokan'!$B$49</f>
        <v>Rendah</v>
      </c>
      <c r="S52" s="8">
        <f>_xlfn.IFS(R52="Rendah",'B.kriteria &amp; R.kecocokan'!$C$49,R52="Sedang",'B.kriteria &amp; R.kecocokan'!$C$50,R52="Tinggi",'B.kriteria &amp; R.kecocokan'!$C$51)</f>
        <v>2.5</v>
      </c>
      <c r="T52" s="8" t="str">
        <f>'B.kriteria &amp; R.kecocokan'!$B$57</f>
        <v>Rendah</v>
      </c>
      <c r="U52" s="51">
        <f>_xlfn.IFS(T52="Rendah",'B.kriteria &amp; R.kecocokan'!$C$57,T52="Sedang",'B.kriteria &amp; R.kecocokan'!$C$58,T52="Tinggi",'B.kriteria &amp; R.kecocokan'!$C$59)</f>
        <v>2.5</v>
      </c>
      <c r="V52" s="51" t="str">
        <f>'B.kriteria &amp; R.kecocokan'!$B$65</f>
        <v>Rendah</v>
      </c>
      <c r="W52" s="9">
        <f>_xlfn.IFS(V52="Rendah",'B.kriteria &amp; R.kecocokan'!$C$65,V52="Sedang",'B.kriteria &amp; R.kecocokan'!$C$66,V52="Tinggi",'B.kriteria &amp; R.kecocokan'!$C$67)</f>
        <v>1</v>
      </c>
      <c r="X52" s="117">
        <f t="shared" si="3"/>
        <v>2.5</v>
      </c>
      <c r="Y52" s="117">
        <f t="shared" si="4"/>
        <v>2.5</v>
      </c>
      <c r="Z52" s="119">
        <f t="shared" si="5"/>
        <v>2.5</v>
      </c>
      <c r="AA52" s="55" t="str">
        <f t="shared" si="6"/>
        <v>Tidak Layak</v>
      </c>
    </row>
    <row r="53" spans="1:27" x14ac:dyDescent="0.35">
      <c r="A53" s="1">
        <v>47</v>
      </c>
      <c r="B53" s="2" t="s">
        <v>101</v>
      </c>
      <c r="C53" s="11" t="s">
        <v>92</v>
      </c>
      <c r="D53" s="28" t="str">
        <f>'B.kriteria &amp; R.kecocokan'!$B$25</f>
        <v>Sedikit</v>
      </c>
      <c r="E53" s="111">
        <f>_xlfn.IFS(D53="Banyak",'B.kriteria &amp; R.kecocokan'!$C$23,D53="Cukup",'B.kriteria &amp; R.kecocokan'!$C$24,D53="Sedikit",'B.kriteria &amp; R.kecocokan'!$C$25)</f>
        <v>7.5</v>
      </c>
      <c r="F53" s="9" t="str">
        <f>'B.kriteria &amp; R.kecocokan'!$B$34</f>
        <v>Tinggi</v>
      </c>
      <c r="G53" s="8">
        <f>_xlfn.IFS(F53="Tinggi",'B.kriteria &amp; R.kecocokan'!$C$34,F53="Sangat Tinggi",'B.kriteria &amp; R.kecocokan'!$C$35)</f>
        <v>7.5</v>
      </c>
      <c r="H53" s="8" t="str">
        <f>'B.kriteria &amp; R.kecocokan'!$B$41</f>
        <v>Rendah</v>
      </c>
      <c r="I53" s="8">
        <f>_xlfn.IFS(H53="Rendah",'B.kriteria &amp; R.kecocokan'!$C$41,H53="Sedang",'B.kriteria &amp; R.kecocokan'!$C$42,H53="Tinggi",'B.kriteria &amp; R.kecocokan'!$C$43)</f>
        <v>2.5</v>
      </c>
      <c r="J53" s="8" t="str">
        <f>'B.kriteria &amp; R.kecocokan'!$B$72</f>
        <v>Rendah</v>
      </c>
      <c r="K53" s="8">
        <f>_xlfn.IFS(J53="Rendah",'B.kriteria &amp; R.kecocokan'!$C$72,J53="Sedang",'B.kriteria &amp; R.kecocokan'!$C$73,J53="Tinggi",'B.kriteria &amp; R.kecocokan'!$C$74)</f>
        <v>2.5</v>
      </c>
      <c r="L53" s="8" t="str">
        <f>'B.kriteria &amp; R.kecocokan'!$B$95</f>
        <v>Rendah</v>
      </c>
      <c r="M53" s="8">
        <f>_xlfn.IFS(L53="Rendah",'B.kriteria &amp; R.kecocokan'!$C$95,L53="Tinggi",'B.kriteria &amp; R.kecocokan'!$C$96)</f>
        <v>2.5</v>
      </c>
      <c r="N53" s="9" t="str">
        <f>'B.kriteria &amp; R.kecocokan'!$B$81</f>
        <v>Tinggi</v>
      </c>
      <c r="O53" s="8">
        <f>_xlfn.IFS(N53="Rendah",'B.kriteria &amp; R.kecocokan'!$C$80,N53="Tinggi",'B.kriteria &amp; R.kecocokan'!$C$81)</f>
        <v>7.5</v>
      </c>
      <c r="P53" s="9" t="str">
        <f>'B.kriteria &amp; R.kecocokan'!$B$90</f>
        <v>Sangat Sedikit</v>
      </c>
      <c r="Q53" s="8">
        <f>_xlfn.IFS(P53="Sedikit",'B.kriteria &amp; R.kecocokan'!$C$89,P53="Sedang",'B.kriteria &amp; R.kecocokan'!$C$88,P53="Sangat Sedikit",'B.kriteria &amp; R.kecocokan'!$C$90)</f>
        <v>1</v>
      </c>
      <c r="R53" s="8" t="str">
        <f>'B.kriteria &amp; R.kecocokan'!$B$49</f>
        <v>Rendah</v>
      </c>
      <c r="S53" s="8">
        <f>_xlfn.IFS(R53="Rendah",'B.kriteria &amp; R.kecocokan'!$C$49,R53="Sedang",'B.kriteria &amp; R.kecocokan'!$C$50,R53="Tinggi",'B.kriteria &amp; R.kecocokan'!$C$51)</f>
        <v>2.5</v>
      </c>
      <c r="T53" s="8" t="str">
        <f>'B.kriteria &amp; R.kecocokan'!$B$57</f>
        <v>Rendah</v>
      </c>
      <c r="U53" s="51">
        <f>_xlfn.IFS(T53="Rendah",'B.kriteria &amp; R.kecocokan'!$C$57,T53="Sedang",'B.kriteria &amp; R.kecocokan'!$C$58,T53="Tinggi",'B.kriteria &amp; R.kecocokan'!$C$59)</f>
        <v>2.5</v>
      </c>
      <c r="V53" s="51" t="str">
        <f>'B.kriteria &amp; R.kecocokan'!$B$65</f>
        <v>Rendah</v>
      </c>
      <c r="W53" s="9">
        <f>_xlfn.IFS(V53="Rendah",'B.kriteria &amp; R.kecocokan'!$C$65,V53="Sedang",'B.kriteria &amp; R.kecocokan'!$C$66,V53="Tinggi",'B.kriteria &amp; R.kecocokan'!$C$67)</f>
        <v>1</v>
      </c>
      <c r="X53" s="117">
        <f t="shared" si="3"/>
        <v>5.7879184513951127</v>
      </c>
      <c r="Y53" s="117">
        <f t="shared" si="4"/>
        <v>7.3143694191638966</v>
      </c>
      <c r="Z53" s="119">
        <f t="shared" si="5"/>
        <v>5.7879184513951127</v>
      </c>
      <c r="AA53" s="55" t="str">
        <f t="shared" si="6"/>
        <v>Layak</v>
      </c>
    </row>
    <row r="54" spans="1:27" x14ac:dyDescent="0.35">
      <c r="A54" s="5">
        <v>48</v>
      </c>
      <c r="B54" s="2" t="s">
        <v>102</v>
      </c>
      <c r="C54" s="11" t="s">
        <v>95</v>
      </c>
      <c r="D54" s="32" t="str">
        <f>'B.kriteria &amp; R.kecocokan'!$B$24</f>
        <v>Cukup</v>
      </c>
      <c r="E54" s="111">
        <f>_xlfn.IFS(D54="Banyak",'B.kriteria &amp; R.kecocokan'!$C$23,D54="Cukup",'B.kriteria &amp; R.kecocokan'!$C$24,D54="Sedikit",'B.kriteria &amp; R.kecocokan'!$C$25)</f>
        <v>5</v>
      </c>
      <c r="F54" s="9" t="str">
        <f>'B.kriteria &amp; R.kecocokan'!$B$34</f>
        <v>Tinggi</v>
      </c>
      <c r="G54" s="8">
        <f>_xlfn.IFS(F54="Tinggi",'B.kriteria &amp; R.kecocokan'!$C$34,F54="Sangat Tinggi",'B.kriteria &amp; R.kecocokan'!$C$35)</f>
        <v>7.5</v>
      </c>
      <c r="H54" s="8" t="str">
        <f>'B.kriteria &amp; R.kecocokan'!$B$41</f>
        <v>Rendah</v>
      </c>
      <c r="I54" s="8">
        <f>_xlfn.IFS(H54="Rendah",'B.kriteria &amp; R.kecocokan'!$C$41,H54="Sedang",'B.kriteria &amp; R.kecocokan'!$C$42,H54="Tinggi",'B.kriteria &amp; R.kecocokan'!$C$43)</f>
        <v>2.5</v>
      </c>
      <c r="J54" s="8" t="str">
        <f>'B.kriteria &amp; R.kecocokan'!$B$72</f>
        <v>Rendah</v>
      </c>
      <c r="K54" s="8">
        <f>_xlfn.IFS(J54="Rendah",'B.kriteria &amp; R.kecocokan'!$C$72,J54="Sedang",'B.kriteria &amp; R.kecocokan'!$C$73,J54="Tinggi",'B.kriteria &amp; R.kecocokan'!$C$74)</f>
        <v>2.5</v>
      </c>
      <c r="L54" s="8" t="str">
        <f>'B.kriteria &amp; R.kecocokan'!$B$95</f>
        <v>Rendah</v>
      </c>
      <c r="M54" s="8">
        <f>_xlfn.IFS(L54="Rendah",'B.kriteria &amp; R.kecocokan'!$C$95,L54="Tinggi",'B.kriteria &amp; R.kecocokan'!$C$96)</f>
        <v>2.5</v>
      </c>
      <c r="N54" s="8" t="str">
        <f>'B.kriteria &amp; R.kecocokan'!$B$80</f>
        <v>Rendah</v>
      </c>
      <c r="O54" s="8">
        <f>_xlfn.IFS(N54="Rendah",'B.kriteria &amp; R.kecocokan'!$C$80,N54="Tinggi",'B.kriteria &amp; R.kecocokan'!$C$81)</f>
        <v>2.5</v>
      </c>
      <c r="P54" s="8" t="str">
        <f>'B.kriteria &amp; R.kecocokan'!$B$89</f>
        <v>Sedikit</v>
      </c>
      <c r="Q54" s="8">
        <f>_xlfn.IFS(P54="Sedikit",'B.kriteria &amp; R.kecocokan'!$C$89,P54="Sedang",'B.kriteria &amp; R.kecocokan'!$C$88,P54="Sangat Sedikit",'B.kriteria &amp; R.kecocokan'!$C$90)</f>
        <v>2.5</v>
      </c>
      <c r="R54" s="8" t="str">
        <f>'B.kriteria &amp; R.kecocokan'!$B$49</f>
        <v>Rendah</v>
      </c>
      <c r="S54" s="8">
        <f>_xlfn.IFS(R54="Rendah",'B.kriteria &amp; R.kecocokan'!$C$49,R54="Sedang",'B.kriteria &amp; R.kecocokan'!$C$50,R54="Tinggi",'B.kriteria &amp; R.kecocokan'!$C$51)</f>
        <v>2.5</v>
      </c>
      <c r="T54" s="8" t="str">
        <f>'B.kriteria &amp; R.kecocokan'!$B$57</f>
        <v>Rendah</v>
      </c>
      <c r="U54" s="51">
        <f>_xlfn.IFS(T54="Rendah",'B.kriteria &amp; R.kecocokan'!$C$57,T54="Sedang",'B.kriteria &amp; R.kecocokan'!$C$58,T54="Tinggi",'B.kriteria &amp; R.kecocokan'!$C$59)</f>
        <v>2.5</v>
      </c>
      <c r="V54" s="51" t="str">
        <f>'B.kriteria &amp; R.kecocokan'!$B$65</f>
        <v>Rendah</v>
      </c>
      <c r="W54" s="9">
        <f>_xlfn.IFS(V54="Rendah",'B.kriteria &amp; R.kecocokan'!$C$65,V54="Sedang",'B.kriteria &amp; R.kecocokan'!$C$66,V54="Tinggi",'B.kriteria &amp; R.kecocokan'!$C$67)</f>
        <v>1</v>
      </c>
      <c r="X54" s="117">
        <f t="shared" si="3"/>
        <v>0</v>
      </c>
      <c r="Y54" s="117">
        <f t="shared" si="4"/>
        <v>3.5355339059327378</v>
      </c>
      <c r="Z54" s="119">
        <f t="shared" si="5"/>
        <v>0</v>
      </c>
      <c r="AA54" s="55" t="str">
        <f t="shared" si="6"/>
        <v>Layak</v>
      </c>
    </row>
    <row r="55" spans="1:27" x14ac:dyDescent="0.35">
      <c r="A55" s="5">
        <v>49</v>
      </c>
      <c r="B55" s="2" t="s">
        <v>104</v>
      </c>
      <c r="C55" s="11" t="s">
        <v>92</v>
      </c>
      <c r="D55" s="28" t="str">
        <f>'B.kriteria &amp; R.kecocokan'!$B$25</f>
        <v>Sedikit</v>
      </c>
      <c r="E55" s="111">
        <f>_xlfn.IFS(D55="Banyak",'B.kriteria &amp; R.kecocokan'!$C$23,D55="Cukup",'B.kriteria &amp; R.kecocokan'!$C$24,D55="Sedikit",'B.kriteria &amp; R.kecocokan'!$C$25)</f>
        <v>7.5</v>
      </c>
      <c r="F55" s="9" t="str">
        <f>'B.kriteria &amp; R.kecocokan'!$B$35</f>
        <v>Sangat Tinggi</v>
      </c>
      <c r="G55" s="8">
        <f>_xlfn.IFS(F55="Tinggi",'B.kriteria &amp; R.kecocokan'!$C$34,F55="Sangat Tinggi",'B.kriteria &amp; R.kecocokan'!$C$35)</f>
        <v>10</v>
      </c>
      <c r="H55" s="8" t="str">
        <f>'B.kriteria &amp; R.kecocokan'!$B$41</f>
        <v>Rendah</v>
      </c>
      <c r="I55" s="8">
        <f>_xlfn.IFS(H55="Rendah",'B.kriteria &amp; R.kecocokan'!$C$41,H55="Sedang",'B.kriteria &amp; R.kecocokan'!$C$42,H55="Tinggi",'B.kriteria &amp; R.kecocokan'!$C$43)</f>
        <v>2.5</v>
      </c>
      <c r="J55" s="8" t="str">
        <f>'B.kriteria &amp; R.kecocokan'!$B$72</f>
        <v>Rendah</v>
      </c>
      <c r="K55" s="8">
        <f>_xlfn.IFS(J55="Rendah",'B.kriteria &amp; R.kecocokan'!$C$72,J55="Sedang",'B.kriteria &amp; R.kecocokan'!$C$73,J55="Tinggi",'B.kriteria &amp; R.kecocokan'!$C$74)</f>
        <v>2.5</v>
      </c>
      <c r="L55" s="8" t="str">
        <f>'B.kriteria &amp; R.kecocokan'!$B$95</f>
        <v>Rendah</v>
      </c>
      <c r="M55" s="8">
        <f>_xlfn.IFS(L55="Rendah",'B.kriteria &amp; R.kecocokan'!$C$95,L55="Tinggi",'B.kriteria &amp; R.kecocokan'!$C$96)</f>
        <v>2.5</v>
      </c>
      <c r="N55" s="9" t="str">
        <f>'B.kriteria &amp; R.kecocokan'!$B$81</f>
        <v>Tinggi</v>
      </c>
      <c r="O55" s="8">
        <f>_xlfn.IFS(N55="Rendah",'B.kriteria &amp; R.kecocokan'!$C$80,N55="Tinggi",'B.kriteria &amp; R.kecocokan'!$C$81)</f>
        <v>7.5</v>
      </c>
      <c r="P55" s="9" t="str">
        <f>'B.kriteria &amp; R.kecocokan'!$B$90</f>
        <v>Sangat Sedikit</v>
      </c>
      <c r="Q55" s="8">
        <f>_xlfn.IFS(P55="Sedikit",'B.kriteria &amp; R.kecocokan'!$C$89,P55="Sedang",'B.kriteria &amp; R.kecocokan'!$C$88,P55="Sangat Sedikit",'B.kriteria &amp; R.kecocokan'!$C$90)</f>
        <v>1</v>
      </c>
      <c r="R55" s="8" t="str">
        <f>'B.kriteria &amp; R.kecocokan'!$B$49</f>
        <v>Rendah</v>
      </c>
      <c r="S55" s="8">
        <f>_xlfn.IFS(R55="Rendah",'B.kriteria &amp; R.kecocokan'!$C$49,R55="Sedang",'B.kriteria &amp; R.kecocokan'!$C$50,R55="Tinggi",'B.kriteria &amp; R.kecocokan'!$C$51)</f>
        <v>2.5</v>
      </c>
      <c r="T55" s="8" t="str">
        <f>'B.kriteria &amp; R.kecocokan'!$B$57</f>
        <v>Rendah</v>
      </c>
      <c r="U55" s="51">
        <f>_xlfn.IFS(T55="Rendah",'B.kriteria &amp; R.kecocokan'!$C$57,T55="Sedang",'B.kriteria &amp; R.kecocokan'!$C$58,T55="Tinggi",'B.kriteria &amp; R.kecocokan'!$C$59)</f>
        <v>2.5</v>
      </c>
      <c r="V55" s="51" t="str">
        <f>'B.kriteria &amp; R.kecocokan'!$B$65</f>
        <v>Rendah</v>
      </c>
      <c r="W55" s="9">
        <f>_xlfn.IFS(V55="Rendah",'B.kriteria &amp; R.kecocokan'!$C$65,V55="Sedang",'B.kriteria &amp; R.kecocokan'!$C$66,V55="Tinggi",'B.kriteria &amp; R.kecocokan'!$C$67)</f>
        <v>1</v>
      </c>
      <c r="X55" s="117">
        <f t="shared" si="3"/>
        <v>6.3047601064592458</v>
      </c>
      <c r="Y55" s="117">
        <f t="shared" si="4"/>
        <v>6.8738635424337602</v>
      </c>
      <c r="Z55" s="119">
        <f t="shared" si="5"/>
        <v>6.3047601064592458</v>
      </c>
      <c r="AA55" s="55" t="str">
        <f t="shared" si="6"/>
        <v>Layak</v>
      </c>
    </row>
    <row r="56" spans="1:27" x14ac:dyDescent="0.35">
      <c r="A56" s="1">
        <v>50</v>
      </c>
      <c r="B56" s="2" t="s">
        <v>105</v>
      </c>
      <c r="C56" s="11" t="s">
        <v>92</v>
      </c>
      <c r="D56" s="28" t="str">
        <f>'B.kriteria &amp; R.kecocokan'!$B$25</f>
        <v>Sedikit</v>
      </c>
      <c r="E56" s="111">
        <f>_xlfn.IFS(D56="Banyak",'B.kriteria &amp; R.kecocokan'!$C$23,D56="Cukup",'B.kriteria &amp; R.kecocokan'!$C$24,D56="Sedikit",'B.kriteria &amp; R.kecocokan'!$C$25)</f>
        <v>7.5</v>
      </c>
      <c r="F56" s="9" t="str">
        <f>'B.kriteria &amp; R.kecocokan'!$B$34</f>
        <v>Tinggi</v>
      </c>
      <c r="G56" s="8">
        <f>_xlfn.IFS(F56="Tinggi",'B.kriteria &amp; R.kecocokan'!$C$34,F56="Sangat Tinggi",'B.kriteria &amp; R.kecocokan'!$C$35)</f>
        <v>7.5</v>
      </c>
      <c r="H56" s="8" t="str">
        <f>'B.kriteria &amp; R.kecocokan'!$B$41</f>
        <v>Rendah</v>
      </c>
      <c r="I56" s="8">
        <f>_xlfn.IFS(H56="Rendah",'B.kriteria &amp; R.kecocokan'!$C$41,H56="Sedang",'B.kriteria &amp; R.kecocokan'!$C$42,H56="Tinggi",'B.kriteria &amp; R.kecocokan'!$C$43)</f>
        <v>2.5</v>
      </c>
      <c r="J56" s="8" t="str">
        <f>'B.kriteria &amp; R.kecocokan'!$B$72</f>
        <v>Rendah</v>
      </c>
      <c r="K56" s="8">
        <f>_xlfn.IFS(J56="Rendah",'B.kriteria &amp; R.kecocokan'!$C$72,J56="Sedang",'B.kriteria &amp; R.kecocokan'!$C$73,J56="Tinggi",'B.kriteria &amp; R.kecocokan'!$C$74)</f>
        <v>2.5</v>
      </c>
      <c r="L56" s="8" t="str">
        <f>'B.kriteria &amp; R.kecocokan'!$B$95</f>
        <v>Rendah</v>
      </c>
      <c r="M56" s="8">
        <f>_xlfn.IFS(L56="Rendah",'B.kriteria &amp; R.kecocokan'!$C$95,L56="Tinggi",'B.kriteria &amp; R.kecocokan'!$C$96)</f>
        <v>2.5</v>
      </c>
      <c r="N56" s="8" t="str">
        <f>'B.kriteria &amp; R.kecocokan'!$B$80</f>
        <v>Rendah</v>
      </c>
      <c r="O56" s="8">
        <f>_xlfn.IFS(N56="Rendah",'B.kriteria &amp; R.kecocokan'!$C$80,N56="Tinggi",'B.kriteria &amp; R.kecocokan'!$C$81)</f>
        <v>2.5</v>
      </c>
      <c r="P56" s="9" t="str">
        <f>'B.kriteria &amp; R.kecocokan'!$B$88</f>
        <v>Sedang</v>
      </c>
      <c r="Q56" s="8">
        <f>_xlfn.IFS(P56="Sedikit",'B.kriteria &amp; R.kecocokan'!$C$89,P56="Sedang",'B.kriteria &amp; R.kecocokan'!$C$88,P56="Sangat Sedikit",'B.kriteria &amp; R.kecocokan'!$C$90)</f>
        <v>5</v>
      </c>
      <c r="R56" s="9" t="str">
        <f>'B.kriteria &amp; R.kecocokan'!$B$50</f>
        <v>Sedang</v>
      </c>
      <c r="S56" s="8">
        <f>_xlfn.IFS(R56="Rendah",'B.kriteria &amp; R.kecocokan'!$C$49,R56="Sedang",'B.kriteria &amp; R.kecocokan'!$C$50,R56="Tinggi",'B.kriteria &amp; R.kecocokan'!$C$51)</f>
        <v>5</v>
      </c>
      <c r="T56" s="9" t="str">
        <f>'B.kriteria &amp; R.kecocokan'!$B$59</f>
        <v>Tinggi</v>
      </c>
      <c r="U56" s="51">
        <f>_xlfn.IFS(T56="Rendah",'B.kriteria &amp; R.kecocokan'!$C$57,T56="Sedang",'B.kriteria &amp; R.kecocokan'!$C$58,T56="Tinggi",'B.kriteria &amp; R.kecocokan'!$C$59)</f>
        <v>7.5</v>
      </c>
      <c r="V56" s="51" t="str">
        <f>'B.kriteria &amp; R.kecocokan'!$B$65</f>
        <v>Rendah</v>
      </c>
      <c r="W56" s="9">
        <f>_xlfn.IFS(V56="Rendah",'B.kriteria &amp; R.kecocokan'!$C$65,V56="Sedang",'B.kriteria &amp; R.kecocokan'!$C$66,V56="Tinggi",'B.kriteria &amp; R.kecocokan'!$C$67)</f>
        <v>1</v>
      </c>
      <c r="X56" s="117">
        <f t="shared" si="3"/>
        <v>6.6143782776614763</v>
      </c>
      <c r="Y56" s="117">
        <f t="shared" si="4"/>
        <v>6.6143782776614763</v>
      </c>
      <c r="Z56" s="119">
        <f t="shared" si="5"/>
        <v>6.6143782776614763</v>
      </c>
      <c r="AA56" s="55" t="str">
        <f t="shared" si="6"/>
        <v>Tidak Layak</v>
      </c>
    </row>
    <row r="57" spans="1:27" x14ac:dyDescent="0.35">
      <c r="A57" s="5">
        <v>51</v>
      </c>
      <c r="B57" s="2" t="s">
        <v>106</v>
      </c>
      <c r="C57" s="11" t="s">
        <v>92</v>
      </c>
      <c r="D57" s="28" t="str">
        <f>'B.kriteria &amp; R.kecocokan'!$B$25</f>
        <v>Sedikit</v>
      </c>
      <c r="E57" s="111">
        <f>_xlfn.IFS(D57="Banyak",'B.kriteria &amp; R.kecocokan'!$C$23,D57="Cukup",'B.kriteria &amp; R.kecocokan'!$C$24,D57="Sedikit",'B.kriteria &amp; R.kecocokan'!$C$25)</f>
        <v>7.5</v>
      </c>
      <c r="F57" s="9" t="str">
        <f>'B.kriteria &amp; R.kecocokan'!$B$34</f>
        <v>Tinggi</v>
      </c>
      <c r="G57" s="8">
        <f>_xlfn.IFS(F57="Tinggi",'B.kriteria &amp; R.kecocokan'!$C$34,F57="Sangat Tinggi",'B.kriteria &amp; R.kecocokan'!$C$35)</f>
        <v>7.5</v>
      </c>
      <c r="H57" s="8" t="str">
        <f>'B.kriteria &amp; R.kecocokan'!$B$41</f>
        <v>Rendah</v>
      </c>
      <c r="I57" s="8">
        <f>_xlfn.IFS(H57="Rendah",'B.kriteria &amp; R.kecocokan'!$C$41,H57="Sedang",'B.kriteria &amp; R.kecocokan'!$C$42,H57="Tinggi",'B.kriteria &amp; R.kecocokan'!$C$43)</f>
        <v>2.5</v>
      </c>
      <c r="J57" s="8" t="str">
        <f>'B.kriteria &amp; R.kecocokan'!$B$72</f>
        <v>Rendah</v>
      </c>
      <c r="K57" s="8">
        <f>_xlfn.IFS(J57="Rendah",'B.kriteria &amp; R.kecocokan'!$C$72,J57="Sedang",'B.kriteria &amp; R.kecocokan'!$C$73,J57="Tinggi",'B.kriteria &amp; R.kecocokan'!$C$74)</f>
        <v>2.5</v>
      </c>
      <c r="L57" s="8" t="str">
        <f>'B.kriteria &amp; R.kecocokan'!$B$95</f>
        <v>Rendah</v>
      </c>
      <c r="M57" s="8">
        <f>_xlfn.IFS(L57="Rendah",'B.kriteria &amp; R.kecocokan'!$C$95,L57="Tinggi",'B.kriteria &amp; R.kecocokan'!$C$96)</f>
        <v>2.5</v>
      </c>
      <c r="N57" s="8" t="str">
        <f>'B.kriteria &amp; R.kecocokan'!$B$80</f>
        <v>Rendah</v>
      </c>
      <c r="O57" s="8">
        <f>_xlfn.IFS(N57="Rendah",'B.kriteria &amp; R.kecocokan'!$C$80,N57="Tinggi",'B.kriteria &amp; R.kecocokan'!$C$81)</f>
        <v>2.5</v>
      </c>
      <c r="P57" s="9" t="str">
        <f>'B.kriteria &amp; R.kecocokan'!$B$88</f>
        <v>Sedang</v>
      </c>
      <c r="Q57" s="8">
        <f>_xlfn.IFS(P57="Sedikit",'B.kriteria &amp; R.kecocokan'!$C$89,P57="Sedang",'B.kriteria &amp; R.kecocokan'!$C$88,P57="Sangat Sedikit",'B.kriteria &amp; R.kecocokan'!$C$90)</f>
        <v>5</v>
      </c>
      <c r="R57" s="8" t="str">
        <f>'B.kriteria &amp; R.kecocokan'!$B$49</f>
        <v>Rendah</v>
      </c>
      <c r="S57" s="8">
        <f>_xlfn.IFS(R57="Rendah",'B.kriteria &amp; R.kecocokan'!$C$49,R57="Sedang",'B.kriteria &amp; R.kecocokan'!$C$50,R57="Tinggi",'B.kriteria &amp; R.kecocokan'!$C$51)</f>
        <v>2.5</v>
      </c>
      <c r="T57" s="9" t="str">
        <f>'B.kriteria &amp; R.kecocokan'!$B$58</f>
        <v>Sedang</v>
      </c>
      <c r="U57" s="51">
        <f>_xlfn.IFS(T57="Rendah",'B.kriteria &amp; R.kecocokan'!$C$57,T57="Sedang",'B.kriteria &amp; R.kecocokan'!$C$58,T57="Tinggi",'B.kriteria &amp; R.kecocokan'!$C$59)</f>
        <v>5</v>
      </c>
      <c r="V57" s="51" t="str">
        <f>'B.kriteria &amp; R.kecocokan'!$B$65</f>
        <v>Rendah</v>
      </c>
      <c r="W57" s="9">
        <f>_xlfn.IFS(V57="Rendah",'B.kriteria &amp; R.kecocokan'!$C$65,V57="Sedang",'B.kriteria &amp; R.kecocokan'!$C$66,V57="Tinggi",'B.kriteria &amp; R.kecocokan'!$C$67)</f>
        <v>1</v>
      </c>
      <c r="X57" s="117">
        <f t="shared" si="3"/>
        <v>4.3301270189221936</v>
      </c>
      <c r="Y57" s="117">
        <f t="shared" si="4"/>
        <v>4.3301270189221936</v>
      </c>
      <c r="Z57" s="119">
        <f t="shared" si="5"/>
        <v>4.3301270189221936</v>
      </c>
      <c r="AA57" s="55" t="str">
        <f t="shared" si="6"/>
        <v>Tidak Layak</v>
      </c>
    </row>
    <row r="58" spans="1:27" x14ac:dyDescent="0.35">
      <c r="A58" s="5">
        <v>52</v>
      </c>
      <c r="B58" s="2" t="s">
        <v>107</v>
      </c>
      <c r="C58" s="11" t="s">
        <v>92</v>
      </c>
      <c r="D58" s="28" t="str">
        <f>'B.kriteria &amp; R.kecocokan'!$B$25</f>
        <v>Sedikit</v>
      </c>
      <c r="E58" s="111">
        <f>_xlfn.IFS(D58="Banyak",'B.kriteria &amp; R.kecocokan'!$C$23,D58="Cukup",'B.kriteria &amp; R.kecocokan'!$C$24,D58="Sedikit",'B.kriteria &amp; R.kecocokan'!$C$25)</f>
        <v>7.5</v>
      </c>
      <c r="F58" s="9" t="str">
        <f>'B.kriteria &amp; R.kecocokan'!$B$34</f>
        <v>Tinggi</v>
      </c>
      <c r="G58" s="8">
        <f>_xlfn.IFS(F58="Tinggi",'B.kriteria &amp; R.kecocokan'!$C$34,F58="Sangat Tinggi",'B.kriteria &amp; R.kecocokan'!$C$35)</f>
        <v>7.5</v>
      </c>
      <c r="H58" s="8" t="str">
        <f>'B.kriteria &amp; R.kecocokan'!$B$41</f>
        <v>Rendah</v>
      </c>
      <c r="I58" s="8">
        <f>_xlfn.IFS(H58="Rendah",'B.kriteria &amp; R.kecocokan'!$C$41,H58="Sedang",'B.kriteria &amp; R.kecocokan'!$C$42,H58="Tinggi",'B.kriteria &amp; R.kecocokan'!$C$43)</f>
        <v>2.5</v>
      </c>
      <c r="J58" s="8" t="str">
        <f>'B.kriteria &amp; R.kecocokan'!$B$72</f>
        <v>Rendah</v>
      </c>
      <c r="K58" s="8">
        <f>_xlfn.IFS(J58="Rendah",'B.kriteria &amp; R.kecocokan'!$C$72,J58="Sedang",'B.kriteria &amp; R.kecocokan'!$C$73,J58="Tinggi",'B.kriteria &amp; R.kecocokan'!$C$74)</f>
        <v>2.5</v>
      </c>
      <c r="L58" s="8" t="str">
        <f>'B.kriteria &amp; R.kecocokan'!$B$95</f>
        <v>Rendah</v>
      </c>
      <c r="M58" s="8">
        <f>_xlfn.IFS(L58="Rendah",'B.kriteria &amp; R.kecocokan'!$C$95,L58="Tinggi",'B.kriteria &amp; R.kecocokan'!$C$96)</f>
        <v>2.5</v>
      </c>
      <c r="N58" s="8" t="str">
        <f>'B.kriteria &amp; R.kecocokan'!$B$80</f>
        <v>Rendah</v>
      </c>
      <c r="O58" s="8">
        <f>_xlfn.IFS(N58="Rendah",'B.kriteria &amp; R.kecocokan'!$C$80,N58="Tinggi",'B.kriteria &amp; R.kecocokan'!$C$81)</f>
        <v>2.5</v>
      </c>
      <c r="P58" s="8" t="str">
        <f>'B.kriteria &amp; R.kecocokan'!$B$89</f>
        <v>Sedikit</v>
      </c>
      <c r="Q58" s="8">
        <f>_xlfn.IFS(P58="Sedikit",'B.kriteria &amp; R.kecocokan'!$C$89,P58="Sedang",'B.kriteria &amp; R.kecocokan'!$C$88,P58="Sangat Sedikit",'B.kriteria &amp; R.kecocokan'!$C$90)</f>
        <v>2.5</v>
      </c>
      <c r="R58" s="8" t="str">
        <f>'B.kriteria &amp; R.kecocokan'!$B$49</f>
        <v>Rendah</v>
      </c>
      <c r="S58" s="8">
        <f>_xlfn.IFS(R58="Rendah",'B.kriteria &amp; R.kecocokan'!$C$49,R58="Sedang",'B.kriteria &amp; R.kecocokan'!$C$50,R58="Tinggi",'B.kriteria &amp; R.kecocokan'!$C$51)</f>
        <v>2.5</v>
      </c>
      <c r="T58" s="8" t="str">
        <f>'B.kriteria &amp; R.kecocokan'!$B$57</f>
        <v>Rendah</v>
      </c>
      <c r="U58" s="51">
        <f>_xlfn.IFS(T58="Rendah",'B.kriteria &amp; R.kecocokan'!$C$57,T58="Sedang",'B.kriteria &amp; R.kecocokan'!$C$58,T58="Tinggi",'B.kriteria &amp; R.kecocokan'!$C$59)</f>
        <v>2.5</v>
      </c>
      <c r="V58" s="51" t="str">
        <f>'B.kriteria &amp; R.kecocokan'!$B$65</f>
        <v>Rendah</v>
      </c>
      <c r="W58" s="9">
        <f>_xlfn.IFS(V58="Rendah",'B.kriteria &amp; R.kecocokan'!$C$65,V58="Sedang",'B.kriteria &amp; R.kecocokan'!$C$66,V58="Tinggi",'B.kriteria &amp; R.kecocokan'!$C$67)</f>
        <v>1</v>
      </c>
      <c r="X58" s="117">
        <f t="shared" si="3"/>
        <v>2.5</v>
      </c>
      <c r="Y58" s="117">
        <f t="shared" si="4"/>
        <v>4.3301270189221936</v>
      </c>
      <c r="Z58" s="119">
        <f t="shared" si="5"/>
        <v>2.5</v>
      </c>
      <c r="AA58" s="55" t="str">
        <f t="shared" si="6"/>
        <v>Layak</v>
      </c>
    </row>
    <row r="59" spans="1:27" x14ac:dyDescent="0.35">
      <c r="A59" s="1">
        <v>53</v>
      </c>
      <c r="B59" s="2" t="s">
        <v>109</v>
      </c>
      <c r="C59" s="11" t="s">
        <v>95</v>
      </c>
      <c r="D59" s="9" t="str">
        <f>'B.kriteria &amp; R.kecocokan'!$B$23</f>
        <v>Banyak</v>
      </c>
      <c r="E59" s="111">
        <f>_xlfn.IFS(D59="Banyak",'B.kriteria &amp; R.kecocokan'!$C$23,D59="Cukup",'B.kriteria &amp; R.kecocokan'!$C$24,D59="Sedikit",'B.kriteria &amp; R.kecocokan'!$C$25)</f>
        <v>2.5</v>
      </c>
      <c r="F59" s="9" t="str">
        <f>'B.kriteria &amp; R.kecocokan'!$B$34</f>
        <v>Tinggi</v>
      </c>
      <c r="G59" s="8">
        <f>_xlfn.IFS(F59="Tinggi",'B.kriteria &amp; R.kecocokan'!$C$34,F59="Sangat Tinggi",'B.kriteria &amp; R.kecocokan'!$C$35)</f>
        <v>7.5</v>
      </c>
      <c r="H59" s="8" t="str">
        <f>'B.kriteria &amp; R.kecocokan'!$B$41</f>
        <v>Rendah</v>
      </c>
      <c r="I59" s="8">
        <f>_xlfn.IFS(H59="Rendah",'B.kriteria &amp; R.kecocokan'!$C$41,H59="Sedang",'B.kriteria &amp; R.kecocokan'!$C$42,H59="Tinggi",'B.kriteria &amp; R.kecocokan'!$C$43)</f>
        <v>2.5</v>
      </c>
      <c r="J59" s="8" t="str">
        <f>'B.kriteria &amp; R.kecocokan'!$B$72</f>
        <v>Rendah</v>
      </c>
      <c r="K59" s="8">
        <f>_xlfn.IFS(J59="Rendah",'B.kriteria &amp; R.kecocokan'!$C$72,J59="Sedang",'B.kriteria &amp; R.kecocokan'!$C$73,J59="Tinggi",'B.kriteria &amp; R.kecocokan'!$C$74)</f>
        <v>2.5</v>
      </c>
      <c r="L59" s="8" t="str">
        <f>'B.kriteria &amp; R.kecocokan'!$B$95</f>
        <v>Rendah</v>
      </c>
      <c r="M59" s="8">
        <f>_xlfn.IFS(L59="Rendah",'B.kriteria &amp; R.kecocokan'!$C$95,L59="Tinggi",'B.kriteria &amp; R.kecocokan'!$C$96)</f>
        <v>2.5</v>
      </c>
      <c r="N59" s="8" t="str">
        <f>'B.kriteria &amp; R.kecocokan'!$B$80</f>
        <v>Rendah</v>
      </c>
      <c r="O59" s="8">
        <f>_xlfn.IFS(N59="Rendah",'B.kriteria &amp; R.kecocokan'!$C$80,N59="Tinggi",'B.kriteria &amp; R.kecocokan'!$C$81)</f>
        <v>2.5</v>
      </c>
      <c r="P59" s="9" t="str">
        <f>'B.kriteria &amp; R.kecocokan'!$B$88</f>
        <v>Sedang</v>
      </c>
      <c r="Q59" s="8">
        <f>_xlfn.IFS(P59="Sedikit",'B.kriteria &amp; R.kecocokan'!$C$89,P59="Sedang",'B.kriteria &amp; R.kecocokan'!$C$88,P59="Sangat Sedikit",'B.kriteria &amp; R.kecocokan'!$C$90)</f>
        <v>5</v>
      </c>
      <c r="R59" s="8" t="str">
        <f>'B.kriteria &amp; R.kecocokan'!$B$49</f>
        <v>Rendah</v>
      </c>
      <c r="S59" s="8">
        <f>_xlfn.IFS(R59="Rendah",'B.kriteria &amp; R.kecocokan'!$C$49,R59="Sedang",'B.kriteria &amp; R.kecocokan'!$C$50,R59="Tinggi",'B.kriteria &amp; R.kecocokan'!$C$51)</f>
        <v>2.5</v>
      </c>
      <c r="T59" s="8" t="str">
        <f>'B.kriteria &amp; R.kecocokan'!$B$57</f>
        <v>Rendah</v>
      </c>
      <c r="U59" s="51">
        <f>_xlfn.IFS(T59="Rendah",'B.kriteria &amp; R.kecocokan'!$C$57,T59="Sedang",'B.kriteria &amp; R.kecocokan'!$C$58,T59="Tinggi",'B.kriteria &amp; R.kecocokan'!$C$59)</f>
        <v>2.5</v>
      </c>
      <c r="V59" s="51" t="str">
        <f>'B.kriteria &amp; R.kecocokan'!$B$65</f>
        <v>Rendah</v>
      </c>
      <c r="W59" s="9">
        <f>_xlfn.IFS(V59="Rendah",'B.kriteria &amp; R.kecocokan'!$C$65,V59="Sedang",'B.kriteria &amp; R.kecocokan'!$C$66,V59="Tinggi",'B.kriteria &amp; R.kecocokan'!$C$67)</f>
        <v>1</v>
      </c>
      <c r="X59" s="117">
        <f t="shared" si="3"/>
        <v>3.5355339059327378</v>
      </c>
      <c r="Y59" s="117">
        <f t="shared" si="4"/>
        <v>3.5355339059327378</v>
      </c>
      <c r="Z59" s="119">
        <f t="shared" si="5"/>
        <v>3.5355339059327378</v>
      </c>
      <c r="AA59" s="55" t="str">
        <f t="shared" si="6"/>
        <v>Tidak Layak</v>
      </c>
    </row>
    <row r="60" spans="1:27" x14ac:dyDescent="0.35">
      <c r="A60" s="5">
        <v>54</v>
      </c>
      <c r="B60" s="2" t="s">
        <v>111</v>
      </c>
      <c r="C60" s="11" t="s">
        <v>92</v>
      </c>
      <c r="D60" s="9" t="str">
        <f>'B.kriteria &amp; R.kecocokan'!$B$23</f>
        <v>Banyak</v>
      </c>
      <c r="E60" s="111">
        <f>_xlfn.IFS(D60="Banyak",'B.kriteria &amp; R.kecocokan'!$C$23,D60="Cukup",'B.kriteria &amp; R.kecocokan'!$C$24,D60="Sedikit",'B.kriteria &amp; R.kecocokan'!$C$25)</f>
        <v>2.5</v>
      </c>
      <c r="F60" s="9" t="str">
        <f>'B.kriteria &amp; R.kecocokan'!$B$34</f>
        <v>Tinggi</v>
      </c>
      <c r="G60" s="8">
        <f>_xlfn.IFS(F60="Tinggi",'B.kriteria &amp; R.kecocokan'!$C$34,F60="Sangat Tinggi",'B.kriteria &amp; R.kecocokan'!$C$35)</f>
        <v>7.5</v>
      </c>
      <c r="H60" s="8" t="str">
        <f>'B.kriteria &amp; R.kecocokan'!$B$41</f>
        <v>Rendah</v>
      </c>
      <c r="I60" s="8">
        <f>_xlfn.IFS(H60="Rendah",'B.kriteria &amp; R.kecocokan'!$C$41,H60="Sedang",'B.kriteria &amp; R.kecocokan'!$C$42,H60="Tinggi",'B.kriteria &amp; R.kecocokan'!$C$43)</f>
        <v>2.5</v>
      </c>
      <c r="J60" s="8" t="str">
        <f>'B.kriteria &amp; R.kecocokan'!$B$72</f>
        <v>Rendah</v>
      </c>
      <c r="K60" s="8">
        <f>_xlfn.IFS(J60="Rendah",'B.kriteria &amp; R.kecocokan'!$C$72,J60="Sedang",'B.kriteria &amp; R.kecocokan'!$C$73,J60="Tinggi",'B.kriteria &amp; R.kecocokan'!$C$74)</f>
        <v>2.5</v>
      </c>
      <c r="L60" s="8" t="str">
        <f>'B.kriteria &amp; R.kecocokan'!$B$95</f>
        <v>Rendah</v>
      </c>
      <c r="M60" s="8">
        <f>_xlfn.IFS(L60="Rendah",'B.kriteria &amp; R.kecocokan'!$C$95,L60="Tinggi",'B.kriteria &amp; R.kecocokan'!$C$96)</f>
        <v>2.5</v>
      </c>
      <c r="N60" s="8" t="str">
        <f>'B.kriteria &amp; R.kecocokan'!$B$80</f>
        <v>Rendah</v>
      </c>
      <c r="O60" s="8">
        <f>_xlfn.IFS(N60="Rendah",'B.kriteria &amp; R.kecocokan'!$C$80,N60="Tinggi",'B.kriteria &amp; R.kecocokan'!$C$81)</f>
        <v>2.5</v>
      </c>
      <c r="P60" s="8" t="str">
        <f>'B.kriteria &amp; R.kecocokan'!$B$89</f>
        <v>Sedikit</v>
      </c>
      <c r="Q60" s="8">
        <f>_xlfn.IFS(P60="Sedikit",'B.kriteria &amp; R.kecocokan'!$C$89,P60="Sedang",'B.kriteria &amp; R.kecocokan'!$C$88,P60="Sangat Sedikit",'B.kriteria &amp; R.kecocokan'!$C$90)</f>
        <v>2.5</v>
      </c>
      <c r="R60" s="8" t="str">
        <f>'B.kriteria &amp; R.kecocokan'!$B$49</f>
        <v>Rendah</v>
      </c>
      <c r="S60" s="8">
        <f>_xlfn.IFS(R60="Rendah",'B.kriteria &amp; R.kecocokan'!$C$49,R60="Sedang",'B.kriteria &amp; R.kecocokan'!$C$50,R60="Tinggi",'B.kriteria &amp; R.kecocokan'!$C$51)</f>
        <v>2.5</v>
      </c>
      <c r="T60" s="8" t="str">
        <f>'B.kriteria &amp; R.kecocokan'!$B$57</f>
        <v>Rendah</v>
      </c>
      <c r="U60" s="51">
        <f>_xlfn.IFS(T60="Rendah",'B.kriteria &amp; R.kecocokan'!$C$57,T60="Sedang",'B.kriteria &amp; R.kecocokan'!$C$58,T60="Tinggi",'B.kriteria &amp; R.kecocokan'!$C$59)</f>
        <v>2.5</v>
      </c>
      <c r="V60" s="51" t="str">
        <f>'B.kriteria &amp; R.kecocokan'!$B$65</f>
        <v>Rendah</v>
      </c>
      <c r="W60" s="9">
        <f>_xlfn.IFS(V60="Rendah",'B.kriteria &amp; R.kecocokan'!$C$65,V60="Sedang",'B.kriteria &amp; R.kecocokan'!$C$66,V60="Tinggi",'B.kriteria &amp; R.kecocokan'!$C$67)</f>
        <v>1</v>
      </c>
      <c r="X60" s="117">
        <f t="shared" si="3"/>
        <v>2.5</v>
      </c>
      <c r="Y60" s="117">
        <f t="shared" si="4"/>
        <v>4.3301270189221936</v>
      </c>
      <c r="Z60" s="119">
        <f t="shared" si="5"/>
        <v>2.5</v>
      </c>
      <c r="AA60" s="55" t="str">
        <f t="shared" si="6"/>
        <v>Layak</v>
      </c>
    </row>
    <row r="61" spans="1:27" x14ac:dyDescent="0.35">
      <c r="A61" s="5">
        <v>55</v>
      </c>
      <c r="B61" s="2" t="s">
        <v>113</v>
      </c>
      <c r="C61" s="11" t="s">
        <v>92</v>
      </c>
      <c r="D61" s="28" t="str">
        <f>'B.kriteria &amp; R.kecocokan'!$B$25</f>
        <v>Sedikit</v>
      </c>
      <c r="E61" s="111">
        <f>_xlfn.IFS(D61="Banyak",'B.kriteria &amp; R.kecocokan'!$C$23,D61="Cukup",'B.kriteria &amp; R.kecocokan'!$C$24,D61="Sedikit",'B.kriteria &amp; R.kecocokan'!$C$25)</f>
        <v>7.5</v>
      </c>
      <c r="F61" s="9" t="str">
        <f>'B.kriteria &amp; R.kecocokan'!$B$34</f>
        <v>Tinggi</v>
      </c>
      <c r="G61" s="8">
        <f>_xlfn.IFS(F61="Tinggi",'B.kriteria &amp; R.kecocokan'!$C$34,F61="Sangat Tinggi",'B.kriteria &amp; R.kecocokan'!$C$35)</f>
        <v>7.5</v>
      </c>
      <c r="H61" s="9" t="str">
        <f>'B.kriteria &amp; R.kecocokan'!$B$43</f>
        <v>Tinggi</v>
      </c>
      <c r="I61" s="8">
        <f>_xlfn.IFS(H61="Rendah",'B.kriteria &amp; R.kecocokan'!$C$41,H61="Sedang",'B.kriteria &amp; R.kecocokan'!$C$42,H61="Tinggi",'B.kriteria &amp; R.kecocokan'!$C$43)</f>
        <v>7.5</v>
      </c>
      <c r="J61" s="8" t="str">
        <f>'B.kriteria &amp; R.kecocokan'!$B$72</f>
        <v>Rendah</v>
      </c>
      <c r="K61" s="8">
        <f>_xlfn.IFS(J61="Rendah",'B.kriteria &amp; R.kecocokan'!$C$72,J61="Sedang",'B.kriteria &amp; R.kecocokan'!$C$73,J61="Tinggi",'B.kriteria &amp; R.kecocokan'!$C$74)</f>
        <v>2.5</v>
      </c>
      <c r="L61" s="8" t="str">
        <f>'B.kriteria &amp; R.kecocokan'!$B$95</f>
        <v>Rendah</v>
      </c>
      <c r="M61" s="8">
        <f>_xlfn.IFS(L61="Rendah",'B.kriteria &amp; R.kecocokan'!$C$95,L61="Tinggi",'B.kriteria &amp; R.kecocokan'!$C$96)</f>
        <v>2.5</v>
      </c>
      <c r="N61" s="8" t="str">
        <f>'B.kriteria &amp; R.kecocokan'!$B$80</f>
        <v>Rendah</v>
      </c>
      <c r="O61" s="8">
        <f>_xlfn.IFS(N61="Rendah",'B.kriteria &amp; R.kecocokan'!$C$80,N61="Tinggi",'B.kriteria &amp; R.kecocokan'!$C$81)</f>
        <v>2.5</v>
      </c>
      <c r="P61" s="8" t="str">
        <f>'B.kriteria &amp; R.kecocokan'!$B$89</f>
        <v>Sedikit</v>
      </c>
      <c r="Q61" s="8">
        <f>_xlfn.IFS(P61="Sedikit",'B.kriteria &amp; R.kecocokan'!$C$89,P61="Sedang",'B.kriteria &amp; R.kecocokan'!$C$88,P61="Sangat Sedikit",'B.kriteria &amp; R.kecocokan'!$C$90)</f>
        <v>2.5</v>
      </c>
      <c r="R61" s="8" t="str">
        <f>'B.kriteria &amp; R.kecocokan'!$B$49</f>
        <v>Rendah</v>
      </c>
      <c r="S61" s="8">
        <f>_xlfn.IFS(R61="Rendah",'B.kriteria &amp; R.kecocokan'!$C$49,R61="Sedang",'B.kriteria &amp; R.kecocokan'!$C$50,R61="Tinggi",'B.kriteria &amp; R.kecocokan'!$C$51)</f>
        <v>2.5</v>
      </c>
      <c r="T61" s="8" t="str">
        <f>'B.kriteria &amp; R.kecocokan'!$B$57</f>
        <v>Rendah</v>
      </c>
      <c r="U61" s="51">
        <f>_xlfn.IFS(T61="Rendah",'B.kriteria &amp; R.kecocokan'!$C$57,T61="Sedang",'B.kriteria &amp; R.kecocokan'!$C$58,T61="Tinggi",'B.kriteria &amp; R.kecocokan'!$C$59)</f>
        <v>2.5</v>
      </c>
      <c r="V61" s="51" t="str">
        <f>'B.kriteria &amp; R.kecocokan'!$B$65</f>
        <v>Rendah</v>
      </c>
      <c r="W61" s="9">
        <f>_xlfn.IFS(V61="Rendah",'B.kriteria &amp; R.kecocokan'!$C$65,V61="Sedang",'B.kriteria &amp; R.kecocokan'!$C$66,V61="Tinggi",'B.kriteria &amp; R.kecocokan'!$C$67)</f>
        <v>1</v>
      </c>
      <c r="X61" s="117">
        <f t="shared" si="3"/>
        <v>5.5901699437494745</v>
      </c>
      <c r="Y61" s="117">
        <f t="shared" si="4"/>
        <v>6.6143782776614763</v>
      </c>
      <c r="Z61" s="119">
        <f t="shared" si="5"/>
        <v>5.5901699437494745</v>
      </c>
      <c r="AA61" s="55" t="str">
        <f t="shared" si="6"/>
        <v>Layak</v>
      </c>
    </row>
    <row r="62" spans="1:27" x14ac:dyDescent="0.35">
      <c r="A62" s="1">
        <v>56</v>
      </c>
      <c r="B62" s="2" t="s">
        <v>114</v>
      </c>
      <c r="C62" s="11" t="s">
        <v>95</v>
      </c>
      <c r="D62" s="9" t="str">
        <f>'B.kriteria &amp; R.kecocokan'!$B$23</f>
        <v>Banyak</v>
      </c>
      <c r="E62" s="111">
        <f>_xlfn.IFS(D62="Banyak",'B.kriteria &amp; R.kecocokan'!$C$23,D62="Cukup",'B.kriteria &amp; R.kecocokan'!$C$24,D62="Sedikit",'B.kriteria &amp; R.kecocokan'!$C$25)</f>
        <v>2.5</v>
      </c>
      <c r="F62" s="9" t="str">
        <f>'B.kriteria &amp; R.kecocokan'!$B$34</f>
        <v>Tinggi</v>
      </c>
      <c r="G62" s="8">
        <f>_xlfn.IFS(F62="Tinggi",'B.kriteria &amp; R.kecocokan'!$C$34,F62="Sangat Tinggi",'B.kriteria &amp; R.kecocokan'!$C$35)</f>
        <v>7.5</v>
      </c>
      <c r="H62" s="8" t="str">
        <f>'B.kriteria &amp; R.kecocokan'!$B$41</f>
        <v>Rendah</v>
      </c>
      <c r="I62" s="8">
        <f>_xlfn.IFS(H62="Rendah",'B.kriteria &amp; R.kecocokan'!$C$41,H62="Sedang",'B.kriteria &amp; R.kecocokan'!$C$42,H62="Tinggi",'B.kriteria &amp; R.kecocokan'!$C$43)</f>
        <v>2.5</v>
      </c>
      <c r="J62" s="8" t="str">
        <f>'B.kriteria &amp; R.kecocokan'!$B$72</f>
        <v>Rendah</v>
      </c>
      <c r="K62" s="8">
        <f>_xlfn.IFS(J62="Rendah",'B.kriteria &amp; R.kecocokan'!$C$72,J62="Sedang",'B.kriteria &amp; R.kecocokan'!$C$73,J62="Tinggi",'B.kriteria &amp; R.kecocokan'!$C$74)</f>
        <v>2.5</v>
      </c>
      <c r="L62" s="8" t="str">
        <f>'B.kriteria &amp; R.kecocokan'!$B$95</f>
        <v>Rendah</v>
      </c>
      <c r="M62" s="8">
        <f>_xlfn.IFS(L62="Rendah",'B.kriteria &amp; R.kecocokan'!$C$95,L62="Tinggi",'B.kriteria &amp; R.kecocokan'!$C$96)</f>
        <v>2.5</v>
      </c>
      <c r="N62" s="9" t="str">
        <f>'B.kriteria &amp; R.kecocokan'!$B$81</f>
        <v>Tinggi</v>
      </c>
      <c r="O62" s="8">
        <f>_xlfn.IFS(N62="Rendah",'B.kriteria &amp; R.kecocokan'!$C$80,N62="Tinggi",'B.kriteria &amp; R.kecocokan'!$C$81)</f>
        <v>7.5</v>
      </c>
      <c r="P62" s="9" t="str">
        <f>'B.kriteria &amp; R.kecocokan'!$B$90</f>
        <v>Sangat Sedikit</v>
      </c>
      <c r="Q62" s="8">
        <f>_xlfn.IFS(P62="Sedikit",'B.kriteria &amp; R.kecocokan'!$C$89,P62="Sedang",'B.kriteria &amp; R.kecocokan'!$C$88,P62="Sangat Sedikit",'B.kriteria &amp; R.kecocokan'!$C$90)</f>
        <v>1</v>
      </c>
      <c r="R62" s="8" t="str">
        <f>'B.kriteria &amp; R.kecocokan'!$B$49</f>
        <v>Rendah</v>
      </c>
      <c r="S62" s="8">
        <f>_xlfn.IFS(R62="Rendah",'B.kriteria &amp; R.kecocokan'!$C$49,R62="Sedang",'B.kriteria &amp; R.kecocokan'!$C$50,R62="Tinggi",'B.kriteria &amp; R.kecocokan'!$C$51)</f>
        <v>2.5</v>
      </c>
      <c r="T62" s="8" t="str">
        <f>'B.kriteria &amp; R.kecocokan'!$B$57</f>
        <v>Rendah</v>
      </c>
      <c r="U62" s="51">
        <f>_xlfn.IFS(T62="Rendah",'B.kriteria &amp; R.kecocokan'!$C$57,T62="Sedang",'B.kriteria &amp; R.kecocokan'!$C$58,T62="Tinggi",'B.kriteria &amp; R.kecocokan'!$C$59)</f>
        <v>2.5</v>
      </c>
      <c r="V62" s="51" t="str">
        <f>'B.kriteria &amp; R.kecocokan'!$B$65</f>
        <v>Rendah</v>
      </c>
      <c r="W62" s="9">
        <f>_xlfn.IFS(V62="Rendah",'B.kriteria &amp; R.kecocokan'!$C$65,V62="Sedang",'B.kriteria &amp; R.kecocokan'!$C$66,V62="Tinggi",'B.kriteria &amp; R.kecocokan'!$C$67)</f>
        <v>1</v>
      </c>
      <c r="X62" s="117">
        <f t="shared" si="3"/>
        <v>5.7879184513951127</v>
      </c>
      <c r="Y62" s="117">
        <f t="shared" si="4"/>
        <v>7.3143694191638966</v>
      </c>
      <c r="Z62" s="119">
        <f t="shared" si="5"/>
        <v>5.7879184513951127</v>
      </c>
      <c r="AA62" s="55" t="str">
        <f t="shared" si="6"/>
        <v>Layak</v>
      </c>
    </row>
    <row r="63" spans="1:27" x14ac:dyDescent="0.35">
      <c r="A63" s="5">
        <v>57</v>
      </c>
      <c r="B63" s="2" t="s">
        <v>116</v>
      </c>
      <c r="C63" s="11" t="s">
        <v>92</v>
      </c>
      <c r="D63" s="9" t="str">
        <f>'B.kriteria &amp; R.kecocokan'!$B$23</f>
        <v>Banyak</v>
      </c>
      <c r="E63" s="111">
        <f>_xlfn.IFS(D63="Banyak",'B.kriteria &amp; R.kecocokan'!$C$23,D63="Cukup",'B.kriteria &amp; R.kecocokan'!$C$24,D63="Sedikit",'B.kriteria &amp; R.kecocokan'!$C$25)</f>
        <v>2.5</v>
      </c>
      <c r="F63" s="9" t="str">
        <f>'B.kriteria &amp; R.kecocokan'!$B$34</f>
        <v>Tinggi</v>
      </c>
      <c r="G63" s="8">
        <f>_xlfn.IFS(F63="Tinggi",'B.kriteria &amp; R.kecocokan'!$C$34,F63="Sangat Tinggi",'B.kriteria &amp; R.kecocokan'!$C$35)</f>
        <v>7.5</v>
      </c>
      <c r="H63" s="8" t="str">
        <f>'B.kriteria &amp; R.kecocokan'!$B$41</f>
        <v>Rendah</v>
      </c>
      <c r="I63" s="8">
        <f>_xlfn.IFS(H63="Rendah",'B.kriteria &amp; R.kecocokan'!$C$41,H63="Sedang",'B.kriteria &amp; R.kecocokan'!$C$42,H63="Tinggi",'B.kriteria &amp; R.kecocokan'!$C$43)</f>
        <v>2.5</v>
      </c>
      <c r="J63" s="8" t="str">
        <f>'B.kriteria &amp; R.kecocokan'!$B$72</f>
        <v>Rendah</v>
      </c>
      <c r="K63" s="8">
        <f>_xlfn.IFS(J63="Rendah",'B.kriteria &amp; R.kecocokan'!$C$72,J63="Sedang",'B.kriteria &amp; R.kecocokan'!$C$73,J63="Tinggi",'B.kriteria &amp; R.kecocokan'!$C$74)</f>
        <v>2.5</v>
      </c>
      <c r="L63" s="8" t="str">
        <f>'B.kriteria &amp; R.kecocokan'!$B$95</f>
        <v>Rendah</v>
      </c>
      <c r="M63" s="8">
        <f>_xlfn.IFS(L63="Rendah",'B.kriteria &amp; R.kecocokan'!$C$95,L63="Tinggi",'B.kriteria &amp; R.kecocokan'!$C$96)</f>
        <v>2.5</v>
      </c>
      <c r="N63" s="8" t="str">
        <f>'B.kriteria &amp; R.kecocokan'!$B$80</f>
        <v>Rendah</v>
      </c>
      <c r="O63" s="8">
        <f>_xlfn.IFS(N63="Rendah",'B.kriteria &amp; R.kecocokan'!$C$80,N63="Tinggi",'B.kriteria &amp; R.kecocokan'!$C$81)</f>
        <v>2.5</v>
      </c>
      <c r="P63" s="9" t="str">
        <f>'B.kriteria &amp; R.kecocokan'!$B$88</f>
        <v>Sedang</v>
      </c>
      <c r="Q63" s="8">
        <f>_xlfn.IFS(P63="Sedikit",'B.kriteria &amp; R.kecocokan'!$C$89,P63="Sedang",'B.kriteria &amp; R.kecocokan'!$C$88,P63="Sangat Sedikit",'B.kriteria &amp; R.kecocokan'!$C$90)</f>
        <v>5</v>
      </c>
      <c r="R63" s="8" t="str">
        <f>'B.kriteria &amp; R.kecocokan'!$B$49</f>
        <v>Rendah</v>
      </c>
      <c r="S63" s="8">
        <f>_xlfn.IFS(R63="Rendah",'B.kriteria &amp; R.kecocokan'!$C$49,R63="Sedang",'B.kriteria &amp; R.kecocokan'!$C$50,R63="Tinggi",'B.kriteria &amp; R.kecocokan'!$C$51)</f>
        <v>2.5</v>
      </c>
      <c r="T63" s="8" t="str">
        <f>'B.kriteria &amp; R.kecocokan'!$B$57</f>
        <v>Rendah</v>
      </c>
      <c r="U63" s="51">
        <f>_xlfn.IFS(T63="Rendah",'B.kriteria &amp; R.kecocokan'!$C$57,T63="Sedang",'B.kriteria &amp; R.kecocokan'!$C$58,T63="Tinggi",'B.kriteria &amp; R.kecocokan'!$C$59)</f>
        <v>2.5</v>
      </c>
      <c r="V63" s="51" t="str">
        <f>'B.kriteria &amp; R.kecocokan'!$B$65</f>
        <v>Rendah</v>
      </c>
      <c r="W63" s="9">
        <f>_xlfn.IFS(V63="Rendah",'B.kriteria &amp; R.kecocokan'!$C$65,V63="Sedang",'B.kriteria &amp; R.kecocokan'!$C$66,V63="Tinggi",'B.kriteria &amp; R.kecocokan'!$C$67)</f>
        <v>1</v>
      </c>
      <c r="X63" s="117">
        <f t="shared" si="3"/>
        <v>3.5355339059327378</v>
      </c>
      <c r="Y63" s="117">
        <f t="shared" si="4"/>
        <v>3.5355339059327378</v>
      </c>
      <c r="Z63" s="119">
        <f t="shared" si="5"/>
        <v>3.5355339059327378</v>
      </c>
      <c r="AA63" s="55" t="str">
        <f t="shared" si="6"/>
        <v>Tidak Layak</v>
      </c>
    </row>
    <row r="64" spans="1:27" x14ac:dyDescent="0.35">
      <c r="A64" s="5">
        <v>58</v>
      </c>
      <c r="B64" s="2" t="s">
        <v>230</v>
      </c>
      <c r="C64" s="11" t="s">
        <v>92</v>
      </c>
      <c r="D64" s="28" t="str">
        <f>'B.kriteria &amp; R.kecocokan'!$B$25</f>
        <v>Sedikit</v>
      </c>
      <c r="E64" s="111">
        <f>_xlfn.IFS(D64="Banyak",'B.kriteria &amp; R.kecocokan'!$C$23,D64="Cukup",'B.kriteria &amp; R.kecocokan'!$C$24,D64="Sedikit",'B.kriteria &amp; R.kecocokan'!$C$25)</f>
        <v>7.5</v>
      </c>
      <c r="F64" s="9" t="str">
        <f>'B.kriteria &amp; R.kecocokan'!$B$34</f>
        <v>Tinggi</v>
      </c>
      <c r="G64" s="8">
        <f>_xlfn.IFS(F64="Tinggi",'B.kriteria &amp; R.kecocokan'!$C$34,F64="Sangat Tinggi",'B.kriteria &amp; R.kecocokan'!$C$35)</f>
        <v>7.5</v>
      </c>
      <c r="H64" s="8" t="str">
        <f>'B.kriteria &amp; R.kecocokan'!$B$41</f>
        <v>Rendah</v>
      </c>
      <c r="I64" s="8">
        <f>_xlfn.IFS(H64="Rendah",'B.kriteria &amp; R.kecocokan'!$C$41,H64="Sedang",'B.kriteria &amp; R.kecocokan'!$C$42,H64="Tinggi",'B.kriteria &amp; R.kecocokan'!$C$43)</f>
        <v>2.5</v>
      </c>
      <c r="J64" s="8" t="str">
        <f>'B.kriteria &amp; R.kecocokan'!$B$72</f>
        <v>Rendah</v>
      </c>
      <c r="K64" s="8">
        <f>_xlfn.IFS(J64="Rendah",'B.kriteria &amp; R.kecocokan'!$C$72,J64="Sedang",'B.kriteria &amp; R.kecocokan'!$C$73,J64="Tinggi",'B.kriteria &amp; R.kecocokan'!$C$74)</f>
        <v>2.5</v>
      </c>
      <c r="L64" s="8" t="str">
        <f>'B.kriteria &amp; R.kecocokan'!$B$95</f>
        <v>Rendah</v>
      </c>
      <c r="M64" s="8">
        <f>_xlfn.IFS(L64="Rendah",'B.kriteria &amp; R.kecocokan'!$C$95,L64="Tinggi",'B.kriteria &amp; R.kecocokan'!$C$96)</f>
        <v>2.5</v>
      </c>
      <c r="N64" s="8" t="str">
        <f>'B.kriteria &amp; R.kecocokan'!$B$80</f>
        <v>Rendah</v>
      </c>
      <c r="O64" s="8">
        <f>_xlfn.IFS(N64="Rendah",'B.kriteria &amp; R.kecocokan'!$C$80,N64="Tinggi",'B.kriteria &amp; R.kecocokan'!$C$81)</f>
        <v>2.5</v>
      </c>
      <c r="P64" s="9" t="str">
        <f>'B.kriteria &amp; R.kecocokan'!$B$88</f>
        <v>Sedang</v>
      </c>
      <c r="Q64" s="8">
        <f>_xlfn.IFS(P64="Sedikit",'B.kriteria &amp; R.kecocokan'!$C$89,P64="Sedang",'B.kriteria &amp; R.kecocokan'!$C$88,P64="Sangat Sedikit",'B.kriteria &amp; R.kecocokan'!$C$90)</f>
        <v>5</v>
      </c>
      <c r="R64" s="8" t="str">
        <f>'B.kriteria &amp; R.kecocokan'!$B$49</f>
        <v>Rendah</v>
      </c>
      <c r="S64" s="8">
        <f>_xlfn.IFS(R64="Rendah",'B.kriteria &amp; R.kecocokan'!$C$49,R64="Sedang",'B.kriteria &amp; R.kecocokan'!$C$50,R64="Tinggi",'B.kriteria &amp; R.kecocokan'!$C$51)</f>
        <v>2.5</v>
      </c>
      <c r="T64" s="8" t="str">
        <f>'B.kriteria &amp; R.kecocokan'!$B$57</f>
        <v>Rendah</v>
      </c>
      <c r="U64" s="51">
        <f>_xlfn.IFS(T64="Rendah",'B.kriteria &amp; R.kecocokan'!$C$57,T64="Sedang",'B.kriteria &amp; R.kecocokan'!$C$58,T64="Tinggi",'B.kriteria &amp; R.kecocokan'!$C$59)</f>
        <v>2.5</v>
      </c>
      <c r="V64" s="51" t="str">
        <f>'B.kriteria &amp; R.kecocokan'!$B$65</f>
        <v>Rendah</v>
      </c>
      <c r="W64" s="9">
        <f>_xlfn.IFS(V64="Rendah",'B.kriteria &amp; R.kecocokan'!$C$65,V64="Sedang",'B.kriteria &amp; R.kecocokan'!$C$66,V64="Tinggi",'B.kriteria &amp; R.kecocokan'!$C$67)</f>
        <v>1</v>
      </c>
      <c r="X64" s="117">
        <f t="shared" si="3"/>
        <v>3.5355339059327378</v>
      </c>
      <c r="Y64" s="117">
        <f t="shared" si="4"/>
        <v>3.5355339059327378</v>
      </c>
      <c r="Z64" s="119">
        <f t="shared" si="5"/>
        <v>3.5355339059327378</v>
      </c>
      <c r="AA64" s="55" t="str">
        <f t="shared" si="6"/>
        <v>Tidak Layak</v>
      </c>
    </row>
    <row r="65" spans="1:27" x14ac:dyDescent="0.35">
      <c r="A65" s="1">
        <v>59</v>
      </c>
      <c r="B65" s="2" t="s">
        <v>118</v>
      </c>
      <c r="C65" s="11" t="s">
        <v>92</v>
      </c>
      <c r="D65" s="9" t="str">
        <f>'B.kriteria &amp; R.kecocokan'!$B$23</f>
        <v>Banyak</v>
      </c>
      <c r="E65" s="111">
        <f>_xlfn.IFS(D65="Banyak",'B.kriteria &amp; R.kecocokan'!$C$23,D65="Cukup",'B.kriteria &amp; R.kecocokan'!$C$24,D65="Sedikit",'B.kriteria &amp; R.kecocokan'!$C$25)</f>
        <v>2.5</v>
      </c>
      <c r="F65" s="9" t="str">
        <f>'B.kriteria &amp; R.kecocokan'!$B$34</f>
        <v>Tinggi</v>
      </c>
      <c r="G65" s="8">
        <f>_xlfn.IFS(F65="Tinggi",'B.kriteria &amp; R.kecocokan'!$C$34,F65="Sangat Tinggi",'B.kriteria &amp; R.kecocokan'!$C$35)</f>
        <v>7.5</v>
      </c>
      <c r="H65" s="8" t="str">
        <f>'B.kriteria &amp; R.kecocokan'!$B$41</f>
        <v>Rendah</v>
      </c>
      <c r="I65" s="8">
        <f>_xlfn.IFS(H65="Rendah",'B.kriteria &amp; R.kecocokan'!$C$41,H65="Sedang",'B.kriteria &amp; R.kecocokan'!$C$42,H65="Tinggi",'B.kriteria &amp; R.kecocokan'!$C$43)</f>
        <v>2.5</v>
      </c>
      <c r="J65" s="8" t="str">
        <f>'B.kriteria &amp; R.kecocokan'!$B$72</f>
        <v>Rendah</v>
      </c>
      <c r="K65" s="8">
        <f>_xlfn.IFS(J65="Rendah",'B.kriteria &amp; R.kecocokan'!$C$72,J65="Sedang",'B.kriteria &amp; R.kecocokan'!$C$73,J65="Tinggi",'B.kriteria &amp; R.kecocokan'!$C$74)</f>
        <v>2.5</v>
      </c>
      <c r="L65" s="8" t="str">
        <f>'B.kriteria &amp; R.kecocokan'!$B$95</f>
        <v>Rendah</v>
      </c>
      <c r="M65" s="8">
        <f>_xlfn.IFS(L65="Rendah",'B.kriteria &amp; R.kecocokan'!$C$95,L65="Tinggi",'B.kriteria &amp; R.kecocokan'!$C$96)</f>
        <v>2.5</v>
      </c>
      <c r="N65" s="8" t="str">
        <f>'B.kriteria &amp; R.kecocokan'!$B$80</f>
        <v>Rendah</v>
      </c>
      <c r="O65" s="8">
        <f>_xlfn.IFS(N65="Rendah",'B.kriteria &amp; R.kecocokan'!$C$80,N65="Tinggi",'B.kriteria &amp; R.kecocokan'!$C$81)</f>
        <v>2.5</v>
      </c>
      <c r="P65" s="9" t="str">
        <f>'B.kriteria &amp; R.kecocokan'!$B$90</f>
        <v>Sangat Sedikit</v>
      </c>
      <c r="Q65" s="8">
        <f>_xlfn.IFS(P65="Sedikit",'B.kriteria &amp; R.kecocokan'!$C$89,P65="Sedang",'B.kriteria &amp; R.kecocokan'!$C$88,P65="Sangat Sedikit",'B.kriteria &amp; R.kecocokan'!$C$90)</f>
        <v>1</v>
      </c>
      <c r="R65" s="8" t="str">
        <f>'B.kriteria &amp; R.kecocokan'!$B$49</f>
        <v>Rendah</v>
      </c>
      <c r="S65" s="8">
        <f>_xlfn.IFS(R65="Rendah",'B.kriteria &amp; R.kecocokan'!$C$49,R65="Sedang",'B.kriteria &amp; R.kecocokan'!$C$50,R65="Tinggi",'B.kriteria &amp; R.kecocokan'!$C$51)</f>
        <v>2.5</v>
      </c>
      <c r="T65" s="8" t="str">
        <f>'B.kriteria &amp; R.kecocokan'!$B$57</f>
        <v>Rendah</v>
      </c>
      <c r="U65" s="51">
        <f>_xlfn.IFS(T65="Rendah",'B.kriteria &amp; R.kecocokan'!$C$57,T65="Sedang",'B.kriteria &amp; R.kecocokan'!$C$58,T65="Tinggi",'B.kriteria &amp; R.kecocokan'!$C$59)</f>
        <v>2.5</v>
      </c>
      <c r="V65" s="51" t="str">
        <f>'B.kriteria &amp; R.kecocokan'!$B$65</f>
        <v>Rendah</v>
      </c>
      <c r="W65" s="9">
        <f>_xlfn.IFS(V65="Rendah",'B.kriteria &amp; R.kecocokan'!$C$65,V65="Sedang",'B.kriteria &amp; R.kecocokan'!$C$66,V65="Tinggi",'B.kriteria &amp; R.kecocokan'!$C$67)</f>
        <v>1</v>
      </c>
      <c r="X65" s="117">
        <f t="shared" si="3"/>
        <v>2.9154759474226504</v>
      </c>
      <c r="Y65" s="117">
        <f t="shared" si="4"/>
        <v>5.3385391260156556</v>
      </c>
      <c r="Z65" s="119">
        <f t="shared" si="5"/>
        <v>2.9154759474226504</v>
      </c>
      <c r="AA65" s="55" t="str">
        <f t="shared" si="6"/>
        <v>Layak</v>
      </c>
    </row>
    <row r="66" spans="1:27" x14ac:dyDescent="0.35">
      <c r="A66" s="5">
        <v>60</v>
      </c>
      <c r="B66" s="2" t="s">
        <v>203</v>
      </c>
      <c r="C66" s="11" t="s">
        <v>95</v>
      </c>
      <c r="D66" s="28" t="str">
        <f>'B.kriteria &amp; R.kecocokan'!$B$25</f>
        <v>Sedikit</v>
      </c>
      <c r="E66" s="111">
        <f>_xlfn.IFS(D66="Banyak",'B.kriteria &amp; R.kecocokan'!$C$23,D66="Cukup",'B.kriteria &amp; R.kecocokan'!$C$24,D66="Sedikit",'B.kriteria &amp; R.kecocokan'!$C$25)</f>
        <v>7.5</v>
      </c>
      <c r="F66" s="9" t="str">
        <f>'B.kriteria &amp; R.kecocokan'!$B$34</f>
        <v>Tinggi</v>
      </c>
      <c r="G66" s="8">
        <f>_xlfn.IFS(F66="Tinggi",'B.kriteria &amp; R.kecocokan'!$C$34,F66="Sangat Tinggi",'B.kriteria &amp; R.kecocokan'!$C$35)</f>
        <v>7.5</v>
      </c>
      <c r="H66" s="8" t="str">
        <f>'B.kriteria &amp; R.kecocokan'!$B$41</f>
        <v>Rendah</v>
      </c>
      <c r="I66" s="8">
        <f>_xlfn.IFS(H66="Rendah",'B.kriteria &amp; R.kecocokan'!$C$41,H66="Sedang",'B.kriteria &amp; R.kecocokan'!$C$42,H66="Tinggi",'B.kriteria &amp; R.kecocokan'!$C$43)</f>
        <v>2.5</v>
      </c>
      <c r="J66" s="8" t="str">
        <f>'B.kriteria &amp; R.kecocokan'!$B$72</f>
        <v>Rendah</v>
      </c>
      <c r="K66" s="8">
        <f>_xlfn.IFS(J66="Rendah",'B.kriteria &amp; R.kecocokan'!$C$72,J66="Sedang",'B.kriteria &amp; R.kecocokan'!$C$73,J66="Tinggi",'B.kriteria &amp; R.kecocokan'!$C$74)</f>
        <v>2.5</v>
      </c>
      <c r="L66" s="8" t="str">
        <f>'B.kriteria &amp; R.kecocokan'!$B$95</f>
        <v>Rendah</v>
      </c>
      <c r="M66" s="8">
        <f>_xlfn.IFS(L66="Rendah",'B.kriteria &amp; R.kecocokan'!$C$95,L66="Tinggi",'B.kriteria &amp; R.kecocokan'!$C$96)</f>
        <v>2.5</v>
      </c>
      <c r="N66" s="9" t="str">
        <f>'B.kriteria &amp; R.kecocokan'!$B$81</f>
        <v>Tinggi</v>
      </c>
      <c r="O66" s="8">
        <f>_xlfn.IFS(N66="Rendah",'B.kriteria &amp; R.kecocokan'!$C$80,N66="Tinggi",'B.kriteria &amp; R.kecocokan'!$C$81)</f>
        <v>7.5</v>
      </c>
      <c r="P66" s="9" t="str">
        <f>'B.kriteria &amp; R.kecocokan'!$B$90</f>
        <v>Sangat Sedikit</v>
      </c>
      <c r="Q66" s="8">
        <f>_xlfn.IFS(P66="Sedikit",'B.kriteria &amp; R.kecocokan'!$C$89,P66="Sedang",'B.kriteria &amp; R.kecocokan'!$C$88,P66="Sangat Sedikit",'B.kriteria &amp; R.kecocokan'!$C$90)</f>
        <v>1</v>
      </c>
      <c r="R66" s="8" t="str">
        <f>'B.kriteria &amp; R.kecocokan'!$B$49</f>
        <v>Rendah</v>
      </c>
      <c r="S66" s="8">
        <f>_xlfn.IFS(R66="Rendah",'B.kriteria &amp; R.kecocokan'!$C$49,R66="Sedang",'B.kriteria &amp; R.kecocokan'!$C$50,R66="Tinggi",'B.kriteria &amp; R.kecocokan'!$C$51)</f>
        <v>2.5</v>
      </c>
      <c r="T66" s="8" t="str">
        <f>'B.kriteria &amp; R.kecocokan'!$B$57</f>
        <v>Rendah</v>
      </c>
      <c r="U66" s="51">
        <f>_xlfn.IFS(T66="Rendah",'B.kriteria &amp; R.kecocokan'!$C$57,T66="Sedang",'B.kriteria &amp; R.kecocokan'!$C$58,T66="Tinggi",'B.kriteria &amp; R.kecocokan'!$C$59)</f>
        <v>2.5</v>
      </c>
      <c r="V66" s="51" t="str">
        <f>'B.kriteria &amp; R.kecocokan'!$B$65</f>
        <v>Rendah</v>
      </c>
      <c r="W66" s="9">
        <f>_xlfn.IFS(V66="Rendah",'B.kriteria &amp; R.kecocokan'!$C$65,V66="Sedang",'B.kriteria &amp; R.kecocokan'!$C$66,V66="Tinggi",'B.kriteria &amp; R.kecocokan'!$C$67)</f>
        <v>1</v>
      </c>
      <c r="X66" s="117">
        <f t="shared" si="3"/>
        <v>5.7879184513951127</v>
      </c>
      <c r="Y66" s="117">
        <f t="shared" si="4"/>
        <v>7.3143694191638966</v>
      </c>
      <c r="Z66" s="119">
        <f t="shared" si="5"/>
        <v>5.7879184513951127</v>
      </c>
      <c r="AA66" s="55" t="str">
        <f t="shared" si="6"/>
        <v>Layak</v>
      </c>
    </row>
    <row r="67" spans="1:27" x14ac:dyDescent="0.35">
      <c r="A67" s="5">
        <v>61</v>
      </c>
      <c r="B67" s="2" t="s">
        <v>123</v>
      </c>
      <c r="C67" s="11" t="s">
        <v>95</v>
      </c>
      <c r="D67" s="28" t="str">
        <f>'B.kriteria &amp; R.kecocokan'!$B$25</f>
        <v>Sedikit</v>
      </c>
      <c r="E67" s="111">
        <f>_xlfn.IFS(D67="Banyak",'B.kriteria &amp; R.kecocokan'!$C$23,D67="Cukup",'B.kriteria &amp; R.kecocokan'!$C$24,D67="Sedikit",'B.kriteria &amp; R.kecocokan'!$C$25)</f>
        <v>7.5</v>
      </c>
      <c r="F67" s="9" t="str">
        <f>'B.kriteria &amp; R.kecocokan'!$B$34</f>
        <v>Tinggi</v>
      </c>
      <c r="G67" s="8">
        <f>_xlfn.IFS(F67="Tinggi",'B.kriteria &amp; R.kecocokan'!$C$34,F67="Sangat Tinggi",'B.kriteria &amp; R.kecocokan'!$C$35)</f>
        <v>7.5</v>
      </c>
      <c r="H67" s="8" t="str">
        <f>'B.kriteria &amp; R.kecocokan'!$B$41</f>
        <v>Rendah</v>
      </c>
      <c r="I67" s="8">
        <f>_xlfn.IFS(H67="Rendah",'B.kriteria &amp; R.kecocokan'!$C$41,H67="Sedang",'B.kriteria &amp; R.kecocokan'!$C$42,H67="Tinggi",'B.kriteria &amp; R.kecocokan'!$C$43)</f>
        <v>2.5</v>
      </c>
      <c r="J67" s="8" t="str">
        <f>'B.kriteria &amp; R.kecocokan'!$B$72</f>
        <v>Rendah</v>
      </c>
      <c r="K67" s="8">
        <f>_xlfn.IFS(J67="Rendah",'B.kriteria &amp; R.kecocokan'!$C$72,J67="Sedang",'B.kriteria &amp; R.kecocokan'!$C$73,J67="Tinggi",'B.kriteria &amp; R.kecocokan'!$C$74)</f>
        <v>2.5</v>
      </c>
      <c r="L67" s="8" t="str">
        <f>'B.kriteria &amp; R.kecocokan'!$B$95</f>
        <v>Rendah</v>
      </c>
      <c r="M67" s="8">
        <f>_xlfn.IFS(L67="Rendah",'B.kriteria &amp; R.kecocokan'!$C$95,L67="Tinggi",'B.kriteria &amp; R.kecocokan'!$C$96)</f>
        <v>2.5</v>
      </c>
      <c r="N67" s="8" t="str">
        <f>'B.kriteria &amp; R.kecocokan'!$B$80</f>
        <v>Rendah</v>
      </c>
      <c r="O67" s="8">
        <f>_xlfn.IFS(N67="Rendah",'B.kriteria &amp; R.kecocokan'!$C$80,N67="Tinggi",'B.kriteria &amp; R.kecocokan'!$C$81)</f>
        <v>2.5</v>
      </c>
      <c r="P67" s="8" t="str">
        <f>'B.kriteria &amp; R.kecocokan'!$B$89</f>
        <v>Sedikit</v>
      </c>
      <c r="Q67" s="8">
        <f>_xlfn.IFS(P67="Sedikit",'B.kriteria &amp; R.kecocokan'!$C$89,P67="Sedang",'B.kriteria &amp; R.kecocokan'!$C$88,P67="Sangat Sedikit",'B.kriteria &amp; R.kecocokan'!$C$90)</f>
        <v>2.5</v>
      </c>
      <c r="R67" s="8" t="str">
        <f>'B.kriteria &amp; R.kecocokan'!$B$49</f>
        <v>Rendah</v>
      </c>
      <c r="S67" s="8">
        <f>_xlfn.IFS(R67="Rendah",'B.kriteria &amp; R.kecocokan'!$C$49,R67="Sedang",'B.kriteria &amp; R.kecocokan'!$C$50,R67="Tinggi",'B.kriteria &amp; R.kecocokan'!$C$51)</f>
        <v>2.5</v>
      </c>
      <c r="T67" s="8" t="str">
        <f>'B.kriteria &amp; R.kecocokan'!$B$57</f>
        <v>Rendah</v>
      </c>
      <c r="U67" s="51">
        <f>_xlfn.IFS(T67="Rendah",'B.kriteria &amp; R.kecocokan'!$C$57,T67="Sedang",'B.kriteria &amp; R.kecocokan'!$C$58,T67="Tinggi",'B.kriteria &amp; R.kecocokan'!$C$59)</f>
        <v>2.5</v>
      </c>
      <c r="V67" s="51" t="str">
        <f>'B.kriteria &amp; R.kecocokan'!$B$65</f>
        <v>Rendah</v>
      </c>
      <c r="W67" s="9">
        <f>_xlfn.IFS(V67="Rendah",'B.kriteria &amp; R.kecocokan'!$C$65,V67="Sedang",'B.kriteria &amp; R.kecocokan'!$C$66,V67="Tinggi",'B.kriteria &amp; R.kecocokan'!$C$67)</f>
        <v>1</v>
      </c>
      <c r="X67" s="117">
        <f t="shared" si="3"/>
        <v>2.5</v>
      </c>
      <c r="Y67" s="117">
        <f t="shared" si="4"/>
        <v>4.3301270189221936</v>
      </c>
      <c r="Z67" s="119">
        <f t="shared" si="5"/>
        <v>2.5</v>
      </c>
      <c r="AA67" s="55" t="str">
        <f t="shared" si="6"/>
        <v>Layak</v>
      </c>
    </row>
    <row r="68" spans="1:27" x14ac:dyDescent="0.35">
      <c r="A68" s="1">
        <v>62</v>
      </c>
      <c r="B68" s="2" t="s">
        <v>233</v>
      </c>
      <c r="C68" s="11" t="s">
        <v>95</v>
      </c>
      <c r="D68" s="28" t="str">
        <f>'B.kriteria &amp; R.kecocokan'!$B$25</f>
        <v>Sedikit</v>
      </c>
      <c r="E68" s="111">
        <f>_xlfn.IFS(D68="Banyak",'B.kriteria &amp; R.kecocokan'!$C$23,D68="Cukup",'B.kriteria &amp; R.kecocokan'!$C$24,D68="Sedikit",'B.kriteria &amp; R.kecocokan'!$C$25)</f>
        <v>7.5</v>
      </c>
      <c r="F68" s="9" t="str">
        <f>'B.kriteria &amp; R.kecocokan'!$B$34</f>
        <v>Tinggi</v>
      </c>
      <c r="G68" s="8">
        <f>_xlfn.IFS(F68="Tinggi",'B.kriteria &amp; R.kecocokan'!$C$34,F68="Sangat Tinggi",'B.kriteria &amp; R.kecocokan'!$C$35)</f>
        <v>7.5</v>
      </c>
      <c r="H68" s="8" t="str">
        <f>'B.kriteria &amp; R.kecocokan'!$B$41</f>
        <v>Rendah</v>
      </c>
      <c r="I68" s="8">
        <f>_xlfn.IFS(H68="Rendah",'B.kriteria &amp; R.kecocokan'!$C$41,H68="Sedang",'B.kriteria &amp; R.kecocokan'!$C$42,H68="Tinggi",'B.kriteria &amp; R.kecocokan'!$C$43)</f>
        <v>2.5</v>
      </c>
      <c r="J68" s="8" t="str">
        <f>'B.kriteria &amp; R.kecocokan'!$B$72</f>
        <v>Rendah</v>
      </c>
      <c r="K68" s="8">
        <f>_xlfn.IFS(J68="Rendah",'B.kriteria &amp; R.kecocokan'!$C$72,J68="Sedang",'B.kriteria &amp; R.kecocokan'!$C$73,J68="Tinggi",'B.kriteria &amp; R.kecocokan'!$C$74)</f>
        <v>2.5</v>
      </c>
      <c r="L68" s="8" t="str">
        <f>'B.kriteria &amp; R.kecocokan'!$B$95</f>
        <v>Rendah</v>
      </c>
      <c r="M68" s="8">
        <f>_xlfn.IFS(L68="Rendah",'B.kriteria &amp; R.kecocokan'!$C$95,L68="Tinggi",'B.kriteria &amp; R.kecocokan'!$C$96)</f>
        <v>2.5</v>
      </c>
      <c r="N68" s="9" t="str">
        <f>'B.kriteria &amp; R.kecocokan'!$B$81</f>
        <v>Tinggi</v>
      </c>
      <c r="O68" s="8">
        <f>_xlfn.IFS(N68="Rendah",'B.kriteria &amp; R.kecocokan'!$C$80,N68="Tinggi",'B.kriteria &amp; R.kecocokan'!$C$81)</f>
        <v>7.5</v>
      </c>
      <c r="P68" s="9" t="str">
        <f>'B.kriteria &amp; R.kecocokan'!$B$90</f>
        <v>Sangat Sedikit</v>
      </c>
      <c r="Q68" s="8">
        <f>_xlfn.IFS(P68="Sedikit",'B.kriteria &amp; R.kecocokan'!$C$89,P68="Sedang",'B.kriteria &amp; R.kecocokan'!$C$88,P68="Sangat Sedikit",'B.kriteria &amp; R.kecocokan'!$C$90)</f>
        <v>1</v>
      </c>
      <c r="R68" s="8" t="str">
        <f>'B.kriteria &amp; R.kecocokan'!$B$49</f>
        <v>Rendah</v>
      </c>
      <c r="S68" s="8">
        <f>_xlfn.IFS(R68="Rendah",'B.kriteria &amp; R.kecocokan'!$C$49,R68="Sedang",'B.kriteria &amp; R.kecocokan'!$C$50,R68="Tinggi",'B.kriteria &amp; R.kecocokan'!$C$51)</f>
        <v>2.5</v>
      </c>
      <c r="T68" s="8" t="str">
        <f>'B.kriteria &amp; R.kecocokan'!$B$57</f>
        <v>Rendah</v>
      </c>
      <c r="U68" s="51">
        <f>_xlfn.IFS(T68="Rendah",'B.kriteria &amp; R.kecocokan'!$C$57,T68="Sedang",'B.kriteria &amp; R.kecocokan'!$C$58,T68="Tinggi",'B.kriteria &amp; R.kecocokan'!$C$59)</f>
        <v>2.5</v>
      </c>
      <c r="V68" s="51" t="str">
        <f>'B.kriteria &amp; R.kecocokan'!$B$65</f>
        <v>Rendah</v>
      </c>
      <c r="W68" s="9">
        <f>_xlfn.IFS(V68="Rendah",'B.kriteria &amp; R.kecocokan'!$C$65,V68="Sedang",'B.kriteria &amp; R.kecocokan'!$C$66,V68="Tinggi",'B.kriteria &amp; R.kecocokan'!$C$67)</f>
        <v>1</v>
      </c>
      <c r="X68" s="117">
        <f t="shared" si="3"/>
        <v>5.7879184513951127</v>
      </c>
      <c r="Y68" s="117">
        <f t="shared" si="4"/>
        <v>7.3143694191638966</v>
      </c>
      <c r="Z68" s="119">
        <f t="shared" si="5"/>
        <v>5.7879184513951127</v>
      </c>
      <c r="AA68" s="55" t="str">
        <f t="shared" si="6"/>
        <v>Layak</v>
      </c>
    </row>
    <row r="69" spans="1:27" x14ac:dyDescent="0.35">
      <c r="A69" s="5">
        <v>63</v>
      </c>
      <c r="B69" s="2" t="s">
        <v>211</v>
      </c>
      <c r="C69" s="11" t="s">
        <v>95</v>
      </c>
      <c r="D69" s="9" t="str">
        <f>'B.kriteria &amp; R.kecocokan'!$B$23</f>
        <v>Banyak</v>
      </c>
      <c r="E69" s="111">
        <f>_xlfn.IFS(D69="Banyak",'B.kriteria &amp; R.kecocokan'!$C$23,D69="Cukup",'B.kriteria &amp; R.kecocokan'!$C$24,D69="Sedikit",'B.kriteria &amp; R.kecocokan'!$C$25)</f>
        <v>2.5</v>
      </c>
      <c r="F69" s="9" t="str">
        <f>'B.kriteria &amp; R.kecocokan'!$B$34</f>
        <v>Tinggi</v>
      </c>
      <c r="G69" s="8">
        <f>_xlfn.IFS(F69="Tinggi",'B.kriteria &amp; R.kecocokan'!$C$34,F69="Sangat Tinggi",'B.kriteria &amp; R.kecocokan'!$C$35)</f>
        <v>7.5</v>
      </c>
      <c r="H69" s="8" t="str">
        <f>'B.kriteria &amp; R.kecocokan'!$B$41</f>
        <v>Rendah</v>
      </c>
      <c r="I69" s="8">
        <f>_xlfn.IFS(H69="Rendah",'B.kriteria &amp; R.kecocokan'!$C$41,H69="Sedang",'B.kriteria &amp; R.kecocokan'!$C$42,H69="Tinggi",'B.kriteria &amp; R.kecocokan'!$C$43)</f>
        <v>2.5</v>
      </c>
      <c r="J69" s="8" t="str">
        <f>'B.kriteria &amp; R.kecocokan'!$B$72</f>
        <v>Rendah</v>
      </c>
      <c r="K69" s="8">
        <f>_xlfn.IFS(J69="Rendah",'B.kriteria &amp; R.kecocokan'!$C$72,J69="Sedang",'B.kriteria &amp; R.kecocokan'!$C$73,J69="Tinggi",'B.kriteria &amp; R.kecocokan'!$C$74)</f>
        <v>2.5</v>
      </c>
      <c r="L69" s="8" t="str">
        <f>'B.kriteria &amp; R.kecocokan'!$B$95</f>
        <v>Rendah</v>
      </c>
      <c r="M69" s="8">
        <f>_xlfn.IFS(L69="Rendah",'B.kriteria &amp; R.kecocokan'!$C$95,L69="Tinggi",'B.kriteria &amp; R.kecocokan'!$C$96)</f>
        <v>2.5</v>
      </c>
      <c r="N69" s="9" t="str">
        <f>'B.kriteria &amp; R.kecocokan'!$B$81</f>
        <v>Tinggi</v>
      </c>
      <c r="O69" s="8">
        <f>_xlfn.IFS(N69="Rendah",'B.kriteria &amp; R.kecocokan'!$C$80,N69="Tinggi",'B.kriteria &amp; R.kecocokan'!$C$81)</f>
        <v>7.5</v>
      </c>
      <c r="P69" s="9" t="str">
        <f>'B.kriteria &amp; R.kecocokan'!$B$90</f>
        <v>Sangat Sedikit</v>
      </c>
      <c r="Q69" s="8">
        <f>_xlfn.IFS(P69="Sedikit",'B.kriteria &amp; R.kecocokan'!$C$89,P69="Sedang",'B.kriteria &amp; R.kecocokan'!$C$88,P69="Sangat Sedikit",'B.kriteria &amp; R.kecocokan'!$C$90)</f>
        <v>1</v>
      </c>
      <c r="R69" s="8" t="str">
        <f>'B.kriteria &amp; R.kecocokan'!$B$49</f>
        <v>Rendah</v>
      </c>
      <c r="S69" s="8">
        <f>_xlfn.IFS(R69="Rendah",'B.kriteria &amp; R.kecocokan'!$C$49,R69="Sedang",'B.kriteria &amp; R.kecocokan'!$C$50,R69="Tinggi",'B.kriteria &amp; R.kecocokan'!$C$51)</f>
        <v>2.5</v>
      </c>
      <c r="T69" s="8" t="str">
        <f>'B.kriteria &amp; R.kecocokan'!$B$57</f>
        <v>Rendah</v>
      </c>
      <c r="U69" s="51">
        <f>_xlfn.IFS(T69="Rendah",'B.kriteria &amp; R.kecocokan'!$C$57,T69="Sedang",'B.kriteria &amp; R.kecocokan'!$C$58,T69="Tinggi",'B.kriteria &amp; R.kecocokan'!$C$59)</f>
        <v>2.5</v>
      </c>
      <c r="V69" s="51" t="str">
        <f>'B.kriteria &amp; R.kecocokan'!$B$65</f>
        <v>Rendah</v>
      </c>
      <c r="W69" s="9">
        <f>_xlfn.IFS(V69="Rendah",'B.kriteria &amp; R.kecocokan'!$C$65,V69="Sedang",'B.kriteria &amp; R.kecocokan'!$C$66,V69="Tinggi",'B.kriteria &amp; R.kecocokan'!$C$67)</f>
        <v>1</v>
      </c>
      <c r="X69" s="117">
        <f t="shared" si="3"/>
        <v>5.7879184513951127</v>
      </c>
      <c r="Y69" s="117">
        <f t="shared" si="4"/>
        <v>7.3143694191638966</v>
      </c>
      <c r="Z69" s="119">
        <f t="shared" si="5"/>
        <v>5.7879184513951127</v>
      </c>
      <c r="AA69" s="55" t="str">
        <f t="shared" si="6"/>
        <v>Layak</v>
      </c>
    </row>
    <row r="70" spans="1:27" x14ac:dyDescent="0.35">
      <c r="A70" s="5">
        <v>64</v>
      </c>
      <c r="B70" s="2" t="s">
        <v>207</v>
      </c>
      <c r="C70" s="11" t="s">
        <v>235</v>
      </c>
      <c r="D70" s="28" t="str">
        <f>'B.kriteria &amp; R.kecocokan'!$B$25</f>
        <v>Sedikit</v>
      </c>
      <c r="E70" s="111">
        <f>_xlfn.IFS(D70="Banyak",'B.kriteria &amp; R.kecocokan'!$C$23,D70="Cukup",'B.kriteria &amp; R.kecocokan'!$C$24,D70="Sedikit",'B.kriteria &amp; R.kecocokan'!$C$25)</f>
        <v>7.5</v>
      </c>
      <c r="F70" s="9" t="str">
        <f>'B.kriteria &amp; R.kecocokan'!$B$34</f>
        <v>Tinggi</v>
      </c>
      <c r="G70" s="8">
        <f>_xlfn.IFS(F70="Tinggi",'B.kriteria &amp; R.kecocokan'!$C$34,F70="Sangat Tinggi",'B.kriteria &amp; R.kecocokan'!$C$35)</f>
        <v>7.5</v>
      </c>
      <c r="H70" s="8" t="str">
        <f>'B.kriteria &amp; R.kecocokan'!$B$41</f>
        <v>Rendah</v>
      </c>
      <c r="I70" s="8">
        <f>_xlfn.IFS(H70="Rendah",'B.kriteria &amp; R.kecocokan'!$C$41,H70="Sedang",'B.kriteria &amp; R.kecocokan'!$C$42,H70="Tinggi",'B.kriteria &amp; R.kecocokan'!$C$43)</f>
        <v>2.5</v>
      </c>
      <c r="J70" s="8" t="str">
        <f>'B.kriteria &amp; R.kecocokan'!$B$72</f>
        <v>Rendah</v>
      </c>
      <c r="K70" s="8">
        <f>_xlfn.IFS(J70="Rendah",'B.kriteria &amp; R.kecocokan'!$C$72,J70="Sedang",'B.kriteria &amp; R.kecocokan'!$C$73,J70="Tinggi",'B.kriteria &amp; R.kecocokan'!$C$74)</f>
        <v>2.5</v>
      </c>
      <c r="L70" s="8" t="str">
        <f>'B.kriteria &amp; R.kecocokan'!$B$95</f>
        <v>Rendah</v>
      </c>
      <c r="M70" s="8">
        <f>_xlfn.IFS(L70="Rendah",'B.kriteria &amp; R.kecocokan'!$C$95,L70="Tinggi",'B.kriteria &amp; R.kecocokan'!$C$96)</f>
        <v>2.5</v>
      </c>
      <c r="N70" s="9" t="str">
        <f>'B.kriteria &amp; R.kecocokan'!$B$81</f>
        <v>Tinggi</v>
      </c>
      <c r="O70" s="8">
        <f>_xlfn.IFS(N70="Rendah",'B.kriteria &amp; R.kecocokan'!$C$80,N70="Tinggi",'B.kriteria &amp; R.kecocokan'!$C$81)</f>
        <v>7.5</v>
      </c>
      <c r="P70" s="9" t="str">
        <f>'B.kriteria &amp; R.kecocokan'!$B$90</f>
        <v>Sangat Sedikit</v>
      </c>
      <c r="Q70" s="8">
        <f>_xlfn.IFS(P70="Sedikit",'B.kriteria &amp; R.kecocokan'!$C$89,P70="Sedang",'B.kriteria &amp; R.kecocokan'!$C$88,P70="Sangat Sedikit",'B.kriteria &amp; R.kecocokan'!$C$90)</f>
        <v>1</v>
      </c>
      <c r="R70" s="8" t="str">
        <f>'B.kriteria &amp; R.kecocokan'!$B$49</f>
        <v>Rendah</v>
      </c>
      <c r="S70" s="8">
        <f>_xlfn.IFS(R70="Rendah",'B.kriteria &amp; R.kecocokan'!$C$49,R70="Sedang",'B.kriteria &amp; R.kecocokan'!$C$50,R70="Tinggi",'B.kriteria &amp; R.kecocokan'!$C$51)</f>
        <v>2.5</v>
      </c>
      <c r="T70" s="8" t="str">
        <f>'B.kriteria &amp; R.kecocokan'!$B$57</f>
        <v>Rendah</v>
      </c>
      <c r="U70" s="51">
        <f>_xlfn.IFS(T70="Rendah",'B.kriteria &amp; R.kecocokan'!$C$57,T70="Sedang",'B.kriteria &amp; R.kecocokan'!$C$58,T70="Tinggi",'B.kriteria &amp; R.kecocokan'!$C$59)</f>
        <v>2.5</v>
      </c>
      <c r="V70" s="51" t="str">
        <f>'B.kriteria &amp; R.kecocokan'!$B$65</f>
        <v>Rendah</v>
      </c>
      <c r="W70" s="9">
        <f>_xlfn.IFS(V70="Rendah",'B.kriteria &amp; R.kecocokan'!$C$65,V70="Sedang",'B.kriteria &amp; R.kecocokan'!$C$66,V70="Tinggi",'B.kriteria &amp; R.kecocokan'!$C$67)</f>
        <v>1</v>
      </c>
      <c r="X70" s="117">
        <f t="shared" si="3"/>
        <v>5.7879184513951127</v>
      </c>
      <c r="Y70" s="117">
        <f t="shared" si="4"/>
        <v>7.3143694191638966</v>
      </c>
      <c r="Z70" s="119">
        <f t="shared" si="5"/>
        <v>5.7879184513951127</v>
      </c>
      <c r="AA70" s="55" t="str">
        <f t="shared" si="6"/>
        <v>Layak</v>
      </c>
    </row>
    <row r="71" spans="1:27" x14ac:dyDescent="0.35">
      <c r="A71" s="1">
        <v>65</v>
      </c>
      <c r="B71" s="2" t="s">
        <v>209</v>
      </c>
      <c r="C71" s="11" t="s">
        <v>95</v>
      </c>
      <c r="D71" s="9" t="str">
        <f>'B.kriteria &amp; R.kecocokan'!$B$23</f>
        <v>Banyak</v>
      </c>
      <c r="E71" s="111">
        <f>_xlfn.IFS(D71="Banyak",'B.kriteria &amp; R.kecocokan'!$C$23,D71="Cukup",'B.kriteria &amp; R.kecocokan'!$C$24,D71="Sedikit",'B.kriteria &amp; R.kecocokan'!$C$25)</f>
        <v>2.5</v>
      </c>
      <c r="F71" s="9" t="str">
        <f>'B.kriteria &amp; R.kecocokan'!$B$34</f>
        <v>Tinggi</v>
      </c>
      <c r="G71" s="8">
        <f>_xlfn.IFS(F71="Tinggi",'B.kriteria &amp; R.kecocokan'!$C$34,F71="Sangat Tinggi",'B.kriteria &amp; R.kecocokan'!$C$35)</f>
        <v>7.5</v>
      </c>
      <c r="H71" s="8" t="str">
        <f>'B.kriteria &amp; R.kecocokan'!$B$41</f>
        <v>Rendah</v>
      </c>
      <c r="I71" s="8">
        <f>_xlfn.IFS(H71="Rendah",'B.kriteria &amp; R.kecocokan'!$C$41,H71="Sedang",'B.kriteria &amp; R.kecocokan'!$C$42,H71="Tinggi",'B.kriteria &amp; R.kecocokan'!$C$43)</f>
        <v>2.5</v>
      </c>
      <c r="J71" s="8" t="str">
        <f>'B.kriteria &amp; R.kecocokan'!$B$72</f>
        <v>Rendah</v>
      </c>
      <c r="K71" s="8">
        <f>_xlfn.IFS(J71="Rendah",'B.kriteria &amp; R.kecocokan'!$C$72,J71="Sedang",'B.kriteria &amp; R.kecocokan'!$C$73,J71="Tinggi",'B.kriteria &amp; R.kecocokan'!$C$74)</f>
        <v>2.5</v>
      </c>
      <c r="L71" s="8" t="str">
        <f>'B.kriteria &amp; R.kecocokan'!$B$95</f>
        <v>Rendah</v>
      </c>
      <c r="M71" s="8">
        <f>_xlfn.IFS(L71="Rendah",'B.kriteria &amp; R.kecocokan'!$C$95,L71="Tinggi",'B.kriteria &amp; R.kecocokan'!$C$96)</f>
        <v>2.5</v>
      </c>
      <c r="N71" s="8" t="str">
        <f>'B.kriteria &amp; R.kecocokan'!$B$80</f>
        <v>Rendah</v>
      </c>
      <c r="O71" s="8">
        <f>_xlfn.IFS(N71="Rendah",'B.kriteria &amp; R.kecocokan'!$C$80,N71="Tinggi",'B.kriteria &amp; R.kecocokan'!$C$81)</f>
        <v>2.5</v>
      </c>
      <c r="P71" s="8" t="str">
        <f>'B.kriteria &amp; R.kecocokan'!$B$89</f>
        <v>Sedikit</v>
      </c>
      <c r="Q71" s="8">
        <f>_xlfn.IFS(P71="Sedikit",'B.kriteria &amp; R.kecocokan'!$C$89,P71="Sedang",'B.kriteria &amp; R.kecocokan'!$C$88,P71="Sangat Sedikit",'B.kriteria &amp; R.kecocokan'!$C$90)</f>
        <v>2.5</v>
      </c>
      <c r="R71" s="8" t="str">
        <f>'B.kriteria &amp; R.kecocokan'!$B$49</f>
        <v>Rendah</v>
      </c>
      <c r="S71" s="8">
        <f>_xlfn.IFS(R71="Rendah",'B.kriteria &amp; R.kecocokan'!$C$49,R71="Sedang",'B.kriteria &amp; R.kecocokan'!$C$50,R71="Tinggi",'B.kriteria &amp; R.kecocokan'!$C$51)</f>
        <v>2.5</v>
      </c>
      <c r="T71" s="8" t="str">
        <f>'B.kriteria &amp; R.kecocokan'!$B$57</f>
        <v>Rendah</v>
      </c>
      <c r="U71" s="51">
        <f>_xlfn.IFS(T71="Rendah",'B.kriteria &amp; R.kecocokan'!$C$57,T71="Sedang",'B.kriteria &amp; R.kecocokan'!$C$58,T71="Tinggi",'B.kriteria &amp; R.kecocokan'!$C$59)</f>
        <v>2.5</v>
      </c>
      <c r="V71" s="51" t="str">
        <f>'B.kriteria &amp; R.kecocokan'!$B$65</f>
        <v>Rendah</v>
      </c>
      <c r="W71" s="9">
        <f>_xlfn.IFS(V71="Rendah",'B.kriteria &amp; R.kecocokan'!$C$65,V71="Sedang",'B.kriteria &amp; R.kecocokan'!$C$66,V71="Tinggi",'B.kriteria &amp; R.kecocokan'!$C$67)</f>
        <v>1</v>
      </c>
      <c r="X71" s="117">
        <f t="shared" si="3"/>
        <v>2.5</v>
      </c>
      <c r="Y71" s="117">
        <f t="shared" si="4"/>
        <v>4.3301270189221936</v>
      </c>
      <c r="Z71" s="119">
        <f t="shared" si="5"/>
        <v>2.5</v>
      </c>
      <c r="AA71" s="55" t="str">
        <f t="shared" si="6"/>
        <v>Layak</v>
      </c>
    </row>
    <row r="72" spans="1:27" x14ac:dyDescent="0.35">
      <c r="A72" s="5">
        <v>66</v>
      </c>
      <c r="B72" s="2" t="s">
        <v>213</v>
      </c>
      <c r="C72" s="11" t="s">
        <v>95</v>
      </c>
      <c r="D72" s="9" t="str">
        <f>'B.kriteria &amp; R.kecocokan'!$B$23</f>
        <v>Banyak</v>
      </c>
      <c r="E72" s="111">
        <f>_xlfn.IFS(D72="Banyak",'B.kriteria &amp; R.kecocokan'!$C$23,D72="Cukup",'B.kriteria &amp; R.kecocokan'!$C$24,D72="Sedikit",'B.kriteria &amp; R.kecocokan'!$C$25)</f>
        <v>2.5</v>
      </c>
      <c r="F72" s="9" t="str">
        <f>'B.kriteria &amp; R.kecocokan'!$B$34</f>
        <v>Tinggi</v>
      </c>
      <c r="G72" s="8">
        <f>_xlfn.IFS(F72="Tinggi",'B.kriteria &amp; R.kecocokan'!$C$34,F72="Sangat Tinggi",'B.kriteria &amp; R.kecocokan'!$C$35)</f>
        <v>7.5</v>
      </c>
      <c r="H72" s="8" t="str">
        <f>'B.kriteria &amp; R.kecocokan'!$B$41</f>
        <v>Rendah</v>
      </c>
      <c r="I72" s="8">
        <f>_xlfn.IFS(H72="Rendah",'B.kriteria &amp; R.kecocokan'!$C$41,H72="Sedang",'B.kriteria &amp; R.kecocokan'!$C$42,H72="Tinggi",'B.kriteria &amp; R.kecocokan'!$C$43)</f>
        <v>2.5</v>
      </c>
      <c r="J72" s="8" t="str">
        <f>'B.kriteria &amp; R.kecocokan'!$B$72</f>
        <v>Rendah</v>
      </c>
      <c r="K72" s="8">
        <f>_xlfn.IFS(J72="Rendah",'B.kriteria &amp; R.kecocokan'!$C$72,J72="Sedang",'B.kriteria &amp; R.kecocokan'!$C$73,J72="Tinggi",'B.kriteria &amp; R.kecocokan'!$C$74)</f>
        <v>2.5</v>
      </c>
      <c r="L72" s="8" t="str">
        <f>'B.kriteria &amp; R.kecocokan'!$B$95</f>
        <v>Rendah</v>
      </c>
      <c r="M72" s="8">
        <f>_xlfn.IFS(L72="Rendah",'B.kriteria &amp; R.kecocokan'!$C$95,L72="Tinggi",'B.kriteria &amp; R.kecocokan'!$C$96)</f>
        <v>2.5</v>
      </c>
      <c r="N72" s="8" t="str">
        <f>'B.kriteria &amp; R.kecocokan'!$B$80</f>
        <v>Rendah</v>
      </c>
      <c r="O72" s="8">
        <f>_xlfn.IFS(N72="Rendah",'B.kriteria &amp; R.kecocokan'!$C$80,N72="Tinggi",'B.kriteria &amp; R.kecocokan'!$C$81)</f>
        <v>2.5</v>
      </c>
      <c r="P72" s="8" t="str">
        <f>'B.kriteria &amp; R.kecocokan'!$B$89</f>
        <v>Sedikit</v>
      </c>
      <c r="Q72" s="8">
        <f>_xlfn.IFS(P72="Sedikit",'B.kriteria &amp; R.kecocokan'!$C$89,P72="Sedang",'B.kriteria &amp; R.kecocokan'!$C$88,P72="Sangat Sedikit",'B.kriteria &amp; R.kecocokan'!$C$90)</f>
        <v>2.5</v>
      </c>
      <c r="R72" s="8" t="str">
        <f>'B.kriteria &amp; R.kecocokan'!$B$49</f>
        <v>Rendah</v>
      </c>
      <c r="S72" s="8">
        <f>_xlfn.IFS(R72="Rendah",'B.kriteria &amp; R.kecocokan'!$C$49,R72="Sedang",'B.kriteria &amp; R.kecocokan'!$C$50,R72="Tinggi",'B.kriteria &amp; R.kecocokan'!$C$51)</f>
        <v>2.5</v>
      </c>
      <c r="T72" s="8" t="str">
        <f>'B.kriteria &amp; R.kecocokan'!$B$57</f>
        <v>Rendah</v>
      </c>
      <c r="U72" s="51">
        <f>_xlfn.IFS(T72="Rendah",'B.kriteria &amp; R.kecocokan'!$C$57,T72="Sedang",'B.kriteria &amp; R.kecocokan'!$C$58,T72="Tinggi",'B.kriteria &amp; R.kecocokan'!$C$59)</f>
        <v>2.5</v>
      </c>
      <c r="V72" s="51" t="str">
        <f>'B.kriteria &amp; R.kecocokan'!$B$65</f>
        <v>Rendah</v>
      </c>
      <c r="W72" s="9">
        <f>_xlfn.IFS(V72="Rendah",'B.kriteria &amp; R.kecocokan'!$C$65,V72="Sedang",'B.kriteria &amp; R.kecocokan'!$C$66,V72="Tinggi",'B.kriteria &amp; R.kecocokan'!$C$67)</f>
        <v>1</v>
      </c>
      <c r="X72" s="117">
        <f t="shared" si="3"/>
        <v>2.5</v>
      </c>
      <c r="Y72" s="117">
        <f t="shared" si="4"/>
        <v>4.3301270189221936</v>
      </c>
      <c r="Z72" s="119">
        <f t="shared" si="5"/>
        <v>2.5</v>
      </c>
      <c r="AA72" s="55" t="str">
        <f t="shared" si="6"/>
        <v>Layak</v>
      </c>
    </row>
    <row r="73" spans="1:27" x14ac:dyDescent="0.35">
      <c r="A73" s="5">
        <v>67</v>
      </c>
      <c r="B73" s="2" t="s">
        <v>215</v>
      </c>
      <c r="C73" s="11" t="s">
        <v>95</v>
      </c>
      <c r="D73" s="32" t="str">
        <f>'B.kriteria &amp; R.kecocokan'!$B$24</f>
        <v>Cukup</v>
      </c>
      <c r="E73" s="111">
        <f>_xlfn.IFS(D73="Banyak",'B.kriteria &amp; R.kecocokan'!$C$23,D73="Cukup",'B.kriteria &amp; R.kecocokan'!$C$24,D73="Sedikit",'B.kriteria &amp; R.kecocokan'!$C$25)</f>
        <v>5</v>
      </c>
      <c r="F73" s="9" t="str">
        <f>'B.kriteria &amp; R.kecocokan'!$B$34</f>
        <v>Tinggi</v>
      </c>
      <c r="G73" s="8">
        <f>_xlfn.IFS(F73="Tinggi",'B.kriteria &amp; R.kecocokan'!$C$34,F73="Sangat Tinggi",'B.kriteria &amp; R.kecocokan'!$C$35)</f>
        <v>7.5</v>
      </c>
      <c r="H73" s="8" t="str">
        <f>'B.kriteria &amp; R.kecocokan'!$B$41</f>
        <v>Rendah</v>
      </c>
      <c r="I73" s="8">
        <f>_xlfn.IFS(H73="Rendah",'B.kriteria &amp; R.kecocokan'!$C$41,H73="Sedang",'B.kriteria &amp; R.kecocokan'!$C$42,H73="Tinggi",'B.kriteria &amp; R.kecocokan'!$C$43)</f>
        <v>2.5</v>
      </c>
      <c r="J73" s="8" t="str">
        <f>'B.kriteria &amp; R.kecocokan'!$B$72</f>
        <v>Rendah</v>
      </c>
      <c r="K73" s="8">
        <f>_xlfn.IFS(J73="Rendah",'B.kriteria &amp; R.kecocokan'!$C$72,J73="Sedang",'B.kriteria &amp; R.kecocokan'!$C$73,J73="Tinggi",'B.kriteria &amp; R.kecocokan'!$C$74)</f>
        <v>2.5</v>
      </c>
      <c r="L73" s="8" t="str">
        <f>'B.kriteria &amp; R.kecocokan'!$B$95</f>
        <v>Rendah</v>
      </c>
      <c r="M73" s="8">
        <f>_xlfn.IFS(L73="Rendah",'B.kriteria &amp; R.kecocokan'!$C$95,L73="Tinggi",'B.kriteria &amp; R.kecocokan'!$C$96)</f>
        <v>2.5</v>
      </c>
      <c r="N73" s="8" t="str">
        <f>'B.kriteria &amp; R.kecocokan'!$B$80</f>
        <v>Rendah</v>
      </c>
      <c r="O73" s="8">
        <f>_xlfn.IFS(N73="Rendah",'B.kriteria &amp; R.kecocokan'!$C$80,N73="Tinggi",'B.kriteria &amp; R.kecocokan'!$C$81)</f>
        <v>2.5</v>
      </c>
      <c r="P73" s="8" t="str">
        <f>'B.kriteria &amp; R.kecocokan'!$B$89</f>
        <v>Sedikit</v>
      </c>
      <c r="Q73" s="8">
        <f>_xlfn.IFS(P73="Sedikit",'B.kriteria &amp; R.kecocokan'!$C$89,P73="Sedang",'B.kriteria &amp; R.kecocokan'!$C$88,P73="Sangat Sedikit",'B.kriteria &amp; R.kecocokan'!$C$90)</f>
        <v>2.5</v>
      </c>
      <c r="R73" s="8" t="str">
        <f>'B.kriteria &amp; R.kecocokan'!$B$49</f>
        <v>Rendah</v>
      </c>
      <c r="S73" s="8">
        <f>_xlfn.IFS(R73="Rendah",'B.kriteria &amp; R.kecocokan'!$C$49,R73="Sedang",'B.kriteria &amp; R.kecocokan'!$C$50,R73="Tinggi",'B.kriteria &amp; R.kecocokan'!$C$51)</f>
        <v>2.5</v>
      </c>
      <c r="T73" s="8" t="str">
        <f>'B.kriteria &amp; R.kecocokan'!$B$57</f>
        <v>Rendah</v>
      </c>
      <c r="U73" s="51">
        <f>_xlfn.IFS(T73="Rendah",'B.kriteria &amp; R.kecocokan'!$C$57,T73="Sedang",'B.kriteria &amp; R.kecocokan'!$C$58,T73="Tinggi",'B.kriteria &amp; R.kecocokan'!$C$59)</f>
        <v>2.5</v>
      </c>
      <c r="V73" s="51" t="str">
        <f>'B.kriteria &amp; R.kecocokan'!$B$65</f>
        <v>Rendah</v>
      </c>
      <c r="W73" s="9">
        <f>_xlfn.IFS(V73="Rendah",'B.kriteria &amp; R.kecocokan'!$C$65,V73="Sedang",'B.kriteria &amp; R.kecocokan'!$C$66,V73="Tinggi",'B.kriteria &amp; R.kecocokan'!$C$67)</f>
        <v>1</v>
      </c>
      <c r="X73" s="117">
        <f t="shared" ref="X73:X99" si="7">SQRT(((E73-$E$3)^2)+((G73-$G$3)^2)+((I73-$I$3)^2+((K73-$K$3)^2)+((M73-$M$3)^2)+((O73-$O$3)^2)+((Q73-$Q$3)^2)+((S73-$S$3)^2)+((U73-$U$3)^2)+((W73-$W$3)^2)))</f>
        <v>0</v>
      </c>
      <c r="Y73" s="117">
        <f t="shared" ref="Y73:Y99" si="8">SQRT(((E73-$E$4)^2)+((G73-$G$4)^2)+((I73-$I$4)^2)+((K73-$K$4)^2)+((M73-$M$4)^2+((O73-$O$4)^2)+((Q73-$Q$4)^2)+((S73-$S$4)^2)+((U73-$U$4)^2)+((W73-$W$4)^2)))</f>
        <v>3.5355339059327378</v>
      </c>
      <c r="Z73" s="119">
        <f t="shared" ref="Z73:Z99" si="9">MIN(X73:Y73)</f>
        <v>0</v>
      </c>
      <c r="AA73" s="55" t="str">
        <f t="shared" ref="AA73:AA99" si="10">IF(X73&lt;Y73,"Layak","Tidak Layak")</f>
        <v>Layak</v>
      </c>
    </row>
    <row r="74" spans="1:27" x14ac:dyDescent="0.35">
      <c r="A74" s="1">
        <v>68</v>
      </c>
      <c r="B74" s="2" t="s">
        <v>239</v>
      </c>
      <c r="C74" s="11" t="s">
        <v>92</v>
      </c>
      <c r="D74" s="32" t="str">
        <f>'B.kriteria &amp; R.kecocokan'!$B$24</f>
        <v>Cukup</v>
      </c>
      <c r="E74" s="111">
        <f>_xlfn.IFS(D74="Banyak",'B.kriteria &amp; R.kecocokan'!$C$23,D74="Cukup",'B.kriteria &amp; R.kecocokan'!$C$24,D74="Sedikit",'B.kriteria &amp; R.kecocokan'!$C$25)</f>
        <v>5</v>
      </c>
      <c r="F74" s="9" t="str">
        <f>'B.kriteria &amp; R.kecocokan'!$B$34</f>
        <v>Tinggi</v>
      </c>
      <c r="G74" s="8">
        <f>_xlfn.IFS(F74="Tinggi",'B.kriteria &amp; R.kecocokan'!$C$34,F74="Sangat Tinggi",'B.kriteria &amp; R.kecocokan'!$C$35)</f>
        <v>7.5</v>
      </c>
      <c r="H74" s="8" t="str">
        <f>'B.kriteria &amp; R.kecocokan'!$B$41</f>
        <v>Rendah</v>
      </c>
      <c r="I74" s="8">
        <f>_xlfn.IFS(H74="Rendah",'B.kriteria &amp; R.kecocokan'!$C$41,H74="Sedang",'B.kriteria &amp; R.kecocokan'!$C$42,H74="Tinggi",'B.kriteria &amp; R.kecocokan'!$C$43)</f>
        <v>2.5</v>
      </c>
      <c r="J74" s="8" t="str">
        <f>'B.kriteria &amp; R.kecocokan'!$B$72</f>
        <v>Rendah</v>
      </c>
      <c r="K74" s="8">
        <f>_xlfn.IFS(J74="Rendah",'B.kriteria &amp; R.kecocokan'!$C$72,J74="Sedang",'B.kriteria &amp; R.kecocokan'!$C$73,J74="Tinggi",'B.kriteria &amp; R.kecocokan'!$C$74)</f>
        <v>2.5</v>
      </c>
      <c r="L74" s="8" t="str">
        <f>'B.kriteria &amp; R.kecocokan'!$B$95</f>
        <v>Rendah</v>
      </c>
      <c r="M74" s="8">
        <f>_xlfn.IFS(L74="Rendah",'B.kriteria &amp; R.kecocokan'!$C$95,L74="Tinggi",'B.kriteria &amp; R.kecocokan'!$C$96)</f>
        <v>2.5</v>
      </c>
      <c r="N74" s="8" t="str">
        <f>'B.kriteria &amp; R.kecocokan'!$B$80</f>
        <v>Rendah</v>
      </c>
      <c r="O74" s="8">
        <f>_xlfn.IFS(N74="Rendah",'B.kriteria &amp; R.kecocokan'!$C$80,N74="Tinggi",'B.kriteria &amp; R.kecocokan'!$C$81)</f>
        <v>2.5</v>
      </c>
      <c r="P74" s="8" t="str">
        <f>'B.kriteria &amp; R.kecocokan'!$B$89</f>
        <v>Sedikit</v>
      </c>
      <c r="Q74" s="8">
        <f>_xlfn.IFS(P74="Sedikit",'B.kriteria &amp; R.kecocokan'!$C$89,P74="Sedang",'B.kriteria &amp; R.kecocokan'!$C$88,P74="Sangat Sedikit",'B.kriteria &amp; R.kecocokan'!$C$90)</f>
        <v>2.5</v>
      </c>
      <c r="R74" s="8" t="str">
        <f>'B.kriteria &amp; R.kecocokan'!$B$49</f>
        <v>Rendah</v>
      </c>
      <c r="S74" s="8">
        <f>_xlfn.IFS(R74="Rendah",'B.kriteria &amp; R.kecocokan'!$C$49,R74="Sedang",'B.kriteria &amp; R.kecocokan'!$C$50,R74="Tinggi",'B.kriteria &amp; R.kecocokan'!$C$51)</f>
        <v>2.5</v>
      </c>
      <c r="T74" s="8" t="str">
        <f>'B.kriteria &amp; R.kecocokan'!$B$57</f>
        <v>Rendah</v>
      </c>
      <c r="U74" s="51">
        <f>_xlfn.IFS(T74="Rendah",'B.kriteria &amp; R.kecocokan'!$C$57,T74="Sedang",'B.kriteria &amp; R.kecocokan'!$C$58,T74="Tinggi",'B.kriteria &amp; R.kecocokan'!$C$59)</f>
        <v>2.5</v>
      </c>
      <c r="V74" s="51" t="str">
        <f>'B.kriteria &amp; R.kecocokan'!$B$65</f>
        <v>Rendah</v>
      </c>
      <c r="W74" s="9">
        <f>_xlfn.IFS(V74="Rendah",'B.kriteria &amp; R.kecocokan'!$C$65,V74="Sedang",'B.kriteria &amp; R.kecocokan'!$C$66,V74="Tinggi",'B.kriteria &amp; R.kecocokan'!$C$67)</f>
        <v>1</v>
      </c>
      <c r="X74" s="117">
        <f t="shared" si="7"/>
        <v>0</v>
      </c>
      <c r="Y74" s="117">
        <f t="shared" si="8"/>
        <v>3.5355339059327378</v>
      </c>
      <c r="Z74" s="119">
        <f t="shared" si="9"/>
        <v>0</v>
      </c>
      <c r="AA74" s="55" t="str">
        <f t="shared" si="10"/>
        <v>Layak</v>
      </c>
    </row>
    <row r="75" spans="1:27" x14ac:dyDescent="0.35">
      <c r="A75" s="5">
        <v>69</v>
      </c>
      <c r="B75" s="2" t="s">
        <v>221</v>
      </c>
      <c r="C75" s="11" t="s">
        <v>240</v>
      </c>
      <c r="D75" s="28" t="str">
        <f>'B.kriteria &amp; R.kecocokan'!$B$25</f>
        <v>Sedikit</v>
      </c>
      <c r="E75" s="111">
        <f>_xlfn.IFS(D75="Banyak",'B.kriteria &amp; R.kecocokan'!$C$23,D75="Cukup",'B.kriteria &amp; R.kecocokan'!$C$24,D75="Sedikit",'B.kriteria &amp; R.kecocokan'!$C$25)</f>
        <v>7.5</v>
      </c>
      <c r="F75" s="9" t="str">
        <f>'B.kriteria &amp; R.kecocokan'!$B$34</f>
        <v>Tinggi</v>
      </c>
      <c r="G75" s="8">
        <f>_xlfn.IFS(F75="Tinggi",'B.kriteria &amp; R.kecocokan'!$C$34,F75="Sangat Tinggi",'B.kriteria &amp; R.kecocokan'!$C$35)</f>
        <v>7.5</v>
      </c>
      <c r="H75" s="8" t="str">
        <f>'B.kriteria &amp; R.kecocokan'!$B$41</f>
        <v>Rendah</v>
      </c>
      <c r="I75" s="8">
        <f>_xlfn.IFS(H75="Rendah",'B.kriteria &amp; R.kecocokan'!$C$41,H75="Sedang",'B.kriteria &amp; R.kecocokan'!$C$42,H75="Tinggi",'B.kriteria &amp; R.kecocokan'!$C$43)</f>
        <v>2.5</v>
      </c>
      <c r="J75" s="8" t="str">
        <f>'B.kriteria &amp; R.kecocokan'!$B$72</f>
        <v>Rendah</v>
      </c>
      <c r="K75" s="8">
        <f>_xlfn.IFS(J75="Rendah",'B.kriteria &amp; R.kecocokan'!$C$72,J75="Sedang",'B.kriteria &amp; R.kecocokan'!$C$73,J75="Tinggi",'B.kriteria &amp; R.kecocokan'!$C$74)</f>
        <v>2.5</v>
      </c>
      <c r="L75" s="8" t="str">
        <f>'B.kriteria &amp; R.kecocokan'!$B$95</f>
        <v>Rendah</v>
      </c>
      <c r="M75" s="8">
        <f>_xlfn.IFS(L75="Rendah",'B.kriteria &amp; R.kecocokan'!$C$95,L75="Tinggi",'B.kriteria &amp; R.kecocokan'!$C$96)</f>
        <v>2.5</v>
      </c>
      <c r="N75" s="9" t="str">
        <f>'B.kriteria &amp; R.kecocokan'!$B$81</f>
        <v>Tinggi</v>
      </c>
      <c r="O75" s="8">
        <f>_xlfn.IFS(N75="Rendah",'B.kriteria &amp; R.kecocokan'!$C$80,N75="Tinggi",'B.kriteria &amp; R.kecocokan'!$C$81)</f>
        <v>7.5</v>
      </c>
      <c r="P75" s="9" t="str">
        <f>'B.kriteria &amp; R.kecocokan'!$B$90</f>
        <v>Sangat Sedikit</v>
      </c>
      <c r="Q75" s="8">
        <f>_xlfn.IFS(P75="Sedikit",'B.kriteria &amp; R.kecocokan'!$C$89,P75="Sedang",'B.kriteria &amp; R.kecocokan'!$C$88,P75="Sangat Sedikit",'B.kriteria &amp; R.kecocokan'!$C$90)</f>
        <v>1</v>
      </c>
      <c r="R75" s="8" t="str">
        <f>'B.kriteria &amp; R.kecocokan'!$B$49</f>
        <v>Rendah</v>
      </c>
      <c r="S75" s="8">
        <f>_xlfn.IFS(R75="Rendah",'B.kriteria &amp; R.kecocokan'!$C$49,R75="Sedang",'B.kriteria &amp; R.kecocokan'!$C$50,R75="Tinggi",'B.kriteria &amp; R.kecocokan'!$C$51)</f>
        <v>2.5</v>
      </c>
      <c r="T75" s="8" t="str">
        <f>'B.kriteria &amp; R.kecocokan'!$B$57</f>
        <v>Rendah</v>
      </c>
      <c r="U75" s="51">
        <f>_xlfn.IFS(T75="Rendah",'B.kriteria &amp; R.kecocokan'!$C$57,T75="Sedang",'B.kriteria &amp; R.kecocokan'!$C$58,T75="Tinggi",'B.kriteria &amp; R.kecocokan'!$C$59)</f>
        <v>2.5</v>
      </c>
      <c r="V75" s="51" t="str">
        <f>'B.kriteria &amp; R.kecocokan'!$B$65</f>
        <v>Rendah</v>
      </c>
      <c r="W75" s="9">
        <f>_xlfn.IFS(V75="Rendah",'B.kriteria &amp; R.kecocokan'!$C$65,V75="Sedang",'B.kriteria &amp; R.kecocokan'!$C$66,V75="Tinggi",'B.kriteria &amp; R.kecocokan'!$C$67)</f>
        <v>1</v>
      </c>
      <c r="X75" s="117">
        <f t="shared" si="7"/>
        <v>5.7879184513951127</v>
      </c>
      <c r="Y75" s="117">
        <f t="shared" si="8"/>
        <v>7.3143694191638966</v>
      </c>
      <c r="Z75" s="119">
        <f t="shared" si="9"/>
        <v>5.7879184513951127</v>
      </c>
      <c r="AA75" s="55" t="str">
        <f t="shared" si="10"/>
        <v>Layak</v>
      </c>
    </row>
    <row r="76" spans="1:27" x14ac:dyDescent="0.35">
      <c r="A76" s="5">
        <v>70</v>
      </c>
      <c r="B76" s="2" t="s">
        <v>219</v>
      </c>
      <c r="C76" s="11" t="s">
        <v>95</v>
      </c>
      <c r="D76" s="9" t="str">
        <f>'B.kriteria &amp; R.kecocokan'!$B$23</f>
        <v>Banyak</v>
      </c>
      <c r="E76" s="111">
        <f>_xlfn.IFS(D76="Banyak",'B.kriteria &amp; R.kecocokan'!$C$23,D76="Cukup",'B.kriteria &amp; R.kecocokan'!$C$24,D76="Sedikit",'B.kriteria &amp; R.kecocokan'!$C$25)</f>
        <v>2.5</v>
      </c>
      <c r="F76" s="9" t="str">
        <f>'B.kriteria &amp; R.kecocokan'!$B$34</f>
        <v>Tinggi</v>
      </c>
      <c r="G76" s="8">
        <f>_xlfn.IFS(F76="Tinggi",'B.kriteria &amp; R.kecocokan'!$C$34,F76="Sangat Tinggi",'B.kriteria &amp; R.kecocokan'!$C$35)</f>
        <v>7.5</v>
      </c>
      <c r="H76" s="8" t="str">
        <f>'B.kriteria &amp; R.kecocokan'!$B$41</f>
        <v>Rendah</v>
      </c>
      <c r="I76" s="8">
        <f>_xlfn.IFS(H76="Rendah",'B.kriteria &amp; R.kecocokan'!$C$41,H76="Sedang",'B.kriteria &amp; R.kecocokan'!$C$42,H76="Tinggi",'B.kriteria &amp; R.kecocokan'!$C$43)</f>
        <v>2.5</v>
      </c>
      <c r="J76" s="8" t="str">
        <f>'B.kriteria &amp; R.kecocokan'!$B$72</f>
        <v>Rendah</v>
      </c>
      <c r="K76" s="8">
        <f>_xlfn.IFS(J76="Rendah",'B.kriteria &amp; R.kecocokan'!$C$72,J76="Sedang",'B.kriteria &amp; R.kecocokan'!$C$73,J76="Tinggi",'B.kriteria &amp; R.kecocokan'!$C$74)</f>
        <v>2.5</v>
      </c>
      <c r="L76" s="8" t="str">
        <f>'B.kriteria &amp; R.kecocokan'!$B$95</f>
        <v>Rendah</v>
      </c>
      <c r="M76" s="8">
        <f>_xlfn.IFS(L76="Rendah",'B.kriteria &amp; R.kecocokan'!$C$95,L76="Tinggi",'B.kriteria &amp; R.kecocokan'!$C$96)</f>
        <v>2.5</v>
      </c>
      <c r="N76" s="8" t="str">
        <f>'B.kriteria &amp; R.kecocokan'!$B$80</f>
        <v>Rendah</v>
      </c>
      <c r="O76" s="8">
        <f>_xlfn.IFS(N76="Rendah",'B.kriteria &amp; R.kecocokan'!$C$80,N76="Tinggi",'B.kriteria &amp; R.kecocokan'!$C$81)</f>
        <v>2.5</v>
      </c>
      <c r="P76" s="9" t="str">
        <f>'B.kriteria &amp; R.kecocokan'!$B$88</f>
        <v>Sedang</v>
      </c>
      <c r="Q76" s="8">
        <f>_xlfn.IFS(P76="Sedikit",'B.kriteria &amp; R.kecocokan'!$C$89,P76="Sedang",'B.kriteria &amp; R.kecocokan'!$C$88,P76="Sangat Sedikit",'B.kriteria &amp; R.kecocokan'!$C$90)</f>
        <v>5</v>
      </c>
      <c r="R76" s="8" t="str">
        <f>'B.kriteria &amp; R.kecocokan'!$B$49</f>
        <v>Rendah</v>
      </c>
      <c r="S76" s="8">
        <f>_xlfn.IFS(R76="Rendah",'B.kriteria &amp; R.kecocokan'!$C$49,R76="Sedang",'B.kriteria &amp; R.kecocokan'!$C$50,R76="Tinggi",'B.kriteria &amp; R.kecocokan'!$C$51)</f>
        <v>2.5</v>
      </c>
      <c r="T76" s="8" t="str">
        <f>'B.kriteria &amp; R.kecocokan'!$B$57</f>
        <v>Rendah</v>
      </c>
      <c r="U76" s="51">
        <f>_xlfn.IFS(T76="Rendah",'B.kriteria &amp; R.kecocokan'!$C$57,T76="Sedang",'B.kriteria &amp; R.kecocokan'!$C$58,T76="Tinggi",'B.kriteria &amp; R.kecocokan'!$C$59)</f>
        <v>2.5</v>
      </c>
      <c r="V76" s="51" t="str">
        <f>'B.kriteria &amp; R.kecocokan'!$B$65</f>
        <v>Rendah</v>
      </c>
      <c r="W76" s="9">
        <f>_xlfn.IFS(V76="Rendah",'B.kriteria &amp; R.kecocokan'!$C$65,V76="Sedang",'B.kriteria &amp; R.kecocokan'!$C$66,V76="Tinggi",'B.kriteria &amp; R.kecocokan'!$C$67)</f>
        <v>1</v>
      </c>
      <c r="X76" s="117">
        <f t="shared" si="7"/>
        <v>3.5355339059327378</v>
      </c>
      <c r="Y76" s="117">
        <f t="shared" si="8"/>
        <v>3.5355339059327378</v>
      </c>
      <c r="Z76" s="119">
        <f t="shared" si="9"/>
        <v>3.5355339059327378</v>
      </c>
      <c r="AA76" s="55" t="str">
        <f t="shared" si="10"/>
        <v>Tidak Layak</v>
      </c>
    </row>
    <row r="77" spans="1:27" x14ac:dyDescent="0.35">
      <c r="A77" s="1">
        <v>71</v>
      </c>
      <c r="B77" s="2" t="s">
        <v>241</v>
      </c>
      <c r="C77" s="11" t="s">
        <v>95</v>
      </c>
      <c r="D77" s="9" t="str">
        <f>'B.kriteria &amp; R.kecocokan'!$B$23</f>
        <v>Banyak</v>
      </c>
      <c r="E77" s="111">
        <f>_xlfn.IFS(D77="Banyak",'B.kriteria &amp; R.kecocokan'!$C$23,D77="Cukup",'B.kriteria &amp; R.kecocokan'!$C$24,D77="Sedikit",'B.kriteria &amp; R.kecocokan'!$C$25)</f>
        <v>2.5</v>
      </c>
      <c r="F77" s="9" t="str">
        <f>'B.kriteria &amp; R.kecocokan'!$B$34</f>
        <v>Tinggi</v>
      </c>
      <c r="G77" s="8">
        <f>_xlfn.IFS(F77="Tinggi",'B.kriteria &amp; R.kecocokan'!$C$34,F77="Sangat Tinggi",'B.kriteria &amp; R.kecocokan'!$C$35)</f>
        <v>7.5</v>
      </c>
      <c r="H77" s="8" t="str">
        <f>'B.kriteria &amp; R.kecocokan'!$B$41</f>
        <v>Rendah</v>
      </c>
      <c r="I77" s="8">
        <f>_xlfn.IFS(H77="Rendah",'B.kriteria &amp; R.kecocokan'!$C$41,H77="Sedang",'B.kriteria &amp; R.kecocokan'!$C$42,H77="Tinggi",'B.kriteria &amp; R.kecocokan'!$C$43)</f>
        <v>2.5</v>
      </c>
      <c r="J77" s="8" t="str">
        <f>'B.kriteria &amp; R.kecocokan'!$B$72</f>
        <v>Rendah</v>
      </c>
      <c r="K77" s="8">
        <f>_xlfn.IFS(J77="Rendah",'B.kriteria &amp; R.kecocokan'!$C$72,J77="Sedang",'B.kriteria &amp; R.kecocokan'!$C$73,J77="Tinggi",'B.kriteria &amp; R.kecocokan'!$C$74)</f>
        <v>2.5</v>
      </c>
      <c r="L77" s="8" t="str">
        <f>'B.kriteria &amp; R.kecocokan'!$B$95</f>
        <v>Rendah</v>
      </c>
      <c r="M77" s="8">
        <f>_xlfn.IFS(L77="Rendah",'B.kriteria &amp; R.kecocokan'!$C$95,L77="Tinggi",'B.kriteria &amp; R.kecocokan'!$C$96)</f>
        <v>2.5</v>
      </c>
      <c r="N77" s="8" t="str">
        <f>'B.kriteria &amp; R.kecocokan'!$B$80</f>
        <v>Rendah</v>
      </c>
      <c r="O77" s="8">
        <f>_xlfn.IFS(N77="Rendah",'B.kriteria &amp; R.kecocokan'!$C$80,N77="Tinggi",'B.kriteria &amp; R.kecocokan'!$C$81)</f>
        <v>2.5</v>
      </c>
      <c r="P77" s="9" t="str">
        <f>'B.kriteria &amp; R.kecocokan'!$B$88</f>
        <v>Sedang</v>
      </c>
      <c r="Q77" s="8">
        <f>_xlfn.IFS(P77="Sedikit",'B.kriteria &amp; R.kecocokan'!$C$89,P77="Sedang",'B.kriteria &amp; R.kecocokan'!$C$88,P77="Sangat Sedikit",'B.kriteria &amp; R.kecocokan'!$C$90)</f>
        <v>5</v>
      </c>
      <c r="R77" s="8" t="str">
        <f>'B.kriteria &amp; R.kecocokan'!$B$49</f>
        <v>Rendah</v>
      </c>
      <c r="S77" s="8">
        <f>_xlfn.IFS(R77="Rendah",'B.kriteria &amp; R.kecocokan'!$C$49,R77="Sedang",'B.kriteria &amp; R.kecocokan'!$C$50,R77="Tinggi",'B.kriteria &amp; R.kecocokan'!$C$51)</f>
        <v>2.5</v>
      </c>
      <c r="T77" s="8" t="str">
        <f>'B.kriteria &amp; R.kecocokan'!$B$57</f>
        <v>Rendah</v>
      </c>
      <c r="U77" s="51">
        <f>_xlfn.IFS(T77="Rendah",'B.kriteria &amp; R.kecocokan'!$C$57,T77="Sedang",'B.kriteria &amp; R.kecocokan'!$C$58,T77="Tinggi",'B.kriteria &amp; R.kecocokan'!$C$59)</f>
        <v>2.5</v>
      </c>
      <c r="V77" s="51" t="str">
        <f>'B.kriteria &amp; R.kecocokan'!$B$65</f>
        <v>Rendah</v>
      </c>
      <c r="W77" s="9">
        <f>_xlfn.IFS(V77="Rendah",'B.kriteria &amp; R.kecocokan'!$C$65,V77="Sedang",'B.kriteria &amp; R.kecocokan'!$C$66,V77="Tinggi",'B.kriteria &amp; R.kecocokan'!$C$67)</f>
        <v>1</v>
      </c>
      <c r="X77" s="117">
        <f t="shared" si="7"/>
        <v>3.5355339059327378</v>
      </c>
      <c r="Y77" s="117">
        <f t="shared" si="8"/>
        <v>3.5355339059327378</v>
      </c>
      <c r="Z77" s="119">
        <f t="shared" si="9"/>
        <v>3.5355339059327378</v>
      </c>
      <c r="AA77" s="55" t="str">
        <f t="shared" si="10"/>
        <v>Tidak Layak</v>
      </c>
    </row>
    <row r="78" spans="1:27" x14ac:dyDescent="0.35">
      <c r="A78" s="5">
        <v>72</v>
      </c>
      <c r="B78" s="2" t="s">
        <v>225</v>
      </c>
      <c r="C78" s="11" t="s">
        <v>95</v>
      </c>
      <c r="D78" s="9" t="str">
        <f>'B.kriteria &amp; R.kecocokan'!$B$23</f>
        <v>Banyak</v>
      </c>
      <c r="E78" s="111">
        <f>_xlfn.IFS(D78="Banyak",'B.kriteria &amp; R.kecocokan'!$C$23,D78="Cukup",'B.kriteria &amp; R.kecocokan'!$C$24,D78="Sedikit",'B.kriteria &amp; R.kecocokan'!$C$25)</f>
        <v>2.5</v>
      </c>
      <c r="F78" s="9" t="str">
        <f>'B.kriteria &amp; R.kecocokan'!$B$34</f>
        <v>Tinggi</v>
      </c>
      <c r="G78" s="8">
        <f>_xlfn.IFS(F78="Tinggi",'B.kriteria &amp; R.kecocokan'!$C$34,F78="Sangat Tinggi",'B.kriteria &amp; R.kecocokan'!$C$35)</f>
        <v>7.5</v>
      </c>
      <c r="H78" s="8" t="str">
        <f>'B.kriteria &amp; R.kecocokan'!$B$41</f>
        <v>Rendah</v>
      </c>
      <c r="I78" s="8">
        <f>_xlfn.IFS(H78="Rendah",'B.kriteria &amp; R.kecocokan'!$C$41,H78="Sedang",'B.kriteria &amp; R.kecocokan'!$C$42,H78="Tinggi",'B.kriteria &amp; R.kecocokan'!$C$43)</f>
        <v>2.5</v>
      </c>
      <c r="J78" s="8" t="str">
        <f>'B.kriteria &amp; R.kecocokan'!$B$72</f>
        <v>Rendah</v>
      </c>
      <c r="K78" s="8">
        <f>_xlfn.IFS(J78="Rendah",'B.kriteria &amp; R.kecocokan'!$C$72,J78="Sedang",'B.kriteria &amp; R.kecocokan'!$C$73,J78="Tinggi",'B.kriteria &amp; R.kecocokan'!$C$74)</f>
        <v>2.5</v>
      </c>
      <c r="L78" s="8" t="str">
        <f>'B.kriteria &amp; R.kecocokan'!$B$95</f>
        <v>Rendah</v>
      </c>
      <c r="M78" s="8">
        <f>_xlfn.IFS(L78="Rendah",'B.kriteria &amp; R.kecocokan'!$C$95,L78="Tinggi",'B.kriteria &amp; R.kecocokan'!$C$96)</f>
        <v>2.5</v>
      </c>
      <c r="N78" s="9" t="str">
        <f>'B.kriteria &amp; R.kecocokan'!$B$81</f>
        <v>Tinggi</v>
      </c>
      <c r="O78" s="8">
        <f>_xlfn.IFS(N78="Rendah",'B.kriteria &amp; R.kecocokan'!$C$80,N78="Tinggi",'B.kriteria &amp; R.kecocokan'!$C$81)</f>
        <v>7.5</v>
      </c>
      <c r="P78" s="9" t="str">
        <f>'B.kriteria &amp; R.kecocokan'!$B$90</f>
        <v>Sangat Sedikit</v>
      </c>
      <c r="Q78" s="8">
        <f>_xlfn.IFS(P78="Sedikit",'B.kriteria &amp; R.kecocokan'!$C$89,P78="Sedang",'B.kriteria &amp; R.kecocokan'!$C$88,P78="Sangat Sedikit",'B.kriteria &amp; R.kecocokan'!$C$90)</f>
        <v>1</v>
      </c>
      <c r="R78" s="8" t="str">
        <f>'B.kriteria &amp; R.kecocokan'!$B$49</f>
        <v>Rendah</v>
      </c>
      <c r="S78" s="8">
        <f>_xlfn.IFS(R78="Rendah",'B.kriteria &amp; R.kecocokan'!$C$49,R78="Sedang",'B.kriteria &amp; R.kecocokan'!$C$50,R78="Tinggi",'B.kriteria &amp; R.kecocokan'!$C$51)</f>
        <v>2.5</v>
      </c>
      <c r="T78" s="8" t="str">
        <f>'B.kriteria &amp; R.kecocokan'!$B$57</f>
        <v>Rendah</v>
      </c>
      <c r="U78" s="51">
        <f>_xlfn.IFS(T78="Rendah",'B.kriteria &amp; R.kecocokan'!$C$57,T78="Sedang",'B.kriteria &amp; R.kecocokan'!$C$58,T78="Tinggi",'B.kriteria &amp; R.kecocokan'!$C$59)</f>
        <v>2.5</v>
      </c>
      <c r="V78" s="51" t="str">
        <f>'B.kriteria &amp; R.kecocokan'!$B$65</f>
        <v>Rendah</v>
      </c>
      <c r="W78" s="9">
        <f>_xlfn.IFS(V78="Rendah",'B.kriteria &amp; R.kecocokan'!$C$65,V78="Sedang",'B.kriteria &amp; R.kecocokan'!$C$66,V78="Tinggi",'B.kriteria &amp; R.kecocokan'!$C$67)</f>
        <v>1</v>
      </c>
      <c r="X78" s="117">
        <f t="shared" si="7"/>
        <v>5.7879184513951127</v>
      </c>
      <c r="Y78" s="117">
        <f t="shared" si="8"/>
        <v>7.3143694191638966</v>
      </c>
      <c r="Z78" s="119">
        <f t="shared" si="9"/>
        <v>5.7879184513951127</v>
      </c>
      <c r="AA78" s="55" t="str">
        <f t="shared" si="10"/>
        <v>Layak</v>
      </c>
    </row>
    <row r="79" spans="1:27" x14ac:dyDescent="0.35">
      <c r="A79" s="5">
        <v>73</v>
      </c>
      <c r="B79" s="2" t="s">
        <v>227</v>
      </c>
      <c r="C79" s="11" t="s">
        <v>95</v>
      </c>
      <c r="D79" s="9" t="str">
        <f>'B.kriteria &amp; R.kecocokan'!$B$23</f>
        <v>Banyak</v>
      </c>
      <c r="E79" s="111">
        <f>_xlfn.IFS(D79="Banyak",'B.kriteria &amp; R.kecocokan'!$C$23,D79="Cukup",'B.kriteria &amp; R.kecocokan'!$C$24,D79="Sedikit",'B.kriteria &amp; R.kecocokan'!$C$25)</f>
        <v>2.5</v>
      </c>
      <c r="F79" s="9" t="str">
        <f>'B.kriteria &amp; R.kecocokan'!$B$35</f>
        <v>Sangat Tinggi</v>
      </c>
      <c r="G79" s="8">
        <f>_xlfn.IFS(F79="Tinggi",'B.kriteria &amp; R.kecocokan'!$C$34,F79="Sangat Tinggi",'B.kriteria &amp; R.kecocokan'!$C$35)</f>
        <v>10</v>
      </c>
      <c r="H79" s="8" t="str">
        <f>'B.kriteria &amp; R.kecocokan'!$B$41</f>
        <v>Rendah</v>
      </c>
      <c r="I79" s="8">
        <f>_xlfn.IFS(H79="Rendah",'B.kriteria &amp; R.kecocokan'!$C$41,H79="Sedang",'B.kriteria &amp; R.kecocokan'!$C$42,H79="Tinggi",'B.kriteria &amp; R.kecocokan'!$C$43)</f>
        <v>2.5</v>
      </c>
      <c r="J79" s="8" t="str">
        <f>'B.kriteria &amp; R.kecocokan'!$B$72</f>
        <v>Rendah</v>
      </c>
      <c r="K79" s="8">
        <f>_xlfn.IFS(J79="Rendah",'B.kriteria &amp; R.kecocokan'!$C$72,J79="Sedang",'B.kriteria &amp; R.kecocokan'!$C$73,J79="Tinggi",'B.kriteria &amp; R.kecocokan'!$C$74)</f>
        <v>2.5</v>
      </c>
      <c r="L79" s="8" t="str">
        <f>'B.kriteria &amp; R.kecocokan'!$B$95</f>
        <v>Rendah</v>
      </c>
      <c r="M79" s="8">
        <f>_xlfn.IFS(L79="Rendah",'B.kriteria &amp; R.kecocokan'!$C$95,L79="Tinggi",'B.kriteria &amp; R.kecocokan'!$C$96)</f>
        <v>2.5</v>
      </c>
      <c r="N79" s="8" t="str">
        <f>'B.kriteria &amp; R.kecocokan'!$B$80</f>
        <v>Rendah</v>
      </c>
      <c r="O79" s="8">
        <f>_xlfn.IFS(N79="Rendah",'B.kriteria &amp; R.kecocokan'!$C$80,N79="Tinggi",'B.kriteria &amp; R.kecocokan'!$C$81)</f>
        <v>2.5</v>
      </c>
      <c r="P79" s="9" t="str">
        <f>'B.kriteria &amp; R.kecocokan'!$B$90</f>
        <v>Sangat Sedikit</v>
      </c>
      <c r="Q79" s="8">
        <f>_xlfn.IFS(P79="Sedikit",'B.kriteria &amp; R.kecocokan'!$C$89,P79="Sedang",'B.kriteria &amp; R.kecocokan'!$C$88,P79="Sangat Sedikit",'B.kriteria &amp; R.kecocokan'!$C$90)</f>
        <v>1</v>
      </c>
      <c r="R79" s="9" t="str">
        <f>'B.kriteria &amp; R.kecocokan'!$B$51</f>
        <v>Tinggi</v>
      </c>
      <c r="S79" s="8">
        <f>_xlfn.IFS(R79="Rendah",'B.kriteria &amp; R.kecocokan'!$C$49,R79="Sedang",'B.kriteria &amp; R.kecocokan'!$C$50,R79="Tinggi",'B.kriteria &amp; R.kecocokan'!$C$51)</f>
        <v>7.5</v>
      </c>
      <c r="T79" s="8" t="str">
        <f>'B.kriteria &amp; R.kecocokan'!$B$57</f>
        <v>Rendah</v>
      </c>
      <c r="U79" s="51">
        <f>_xlfn.IFS(T79="Rendah",'B.kriteria &amp; R.kecocokan'!$C$57,T79="Sedang",'B.kriteria &amp; R.kecocokan'!$C$58,T79="Tinggi",'B.kriteria &amp; R.kecocokan'!$C$59)</f>
        <v>2.5</v>
      </c>
      <c r="V79" s="51" t="str">
        <f>'B.kriteria &amp; R.kecocokan'!$B$65</f>
        <v>Rendah</v>
      </c>
      <c r="W79" s="9">
        <f>_xlfn.IFS(V79="Rendah",'B.kriteria &amp; R.kecocokan'!$C$65,V79="Sedang",'B.kriteria &amp; R.kecocokan'!$C$66,V79="Tinggi",'B.kriteria &amp; R.kecocokan'!$C$67)</f>
        <v>1</v>
      </c>
      <c r="X79" s="117">
        <f t="shared" si="7"/>
        <v>6.3047601064592458</v>
      </c>
      <c r="Y79" s="117">
        <f t="shared" si="8"/>
        <v>6.8738635424337602</v>
      </c>
      <c r="Z79" s="119">
        <f t="shared" si="9"/>
        <v>6.3047601064592458</v>
      </c>
      <c r="AA79" s="55" t="str">
        <f t="shared" si="10"/>
        <v>Layak</v>
      </c>
    </row>
    <row r="80" spans="1:27" x14ac:dyDescent="0.35">
      <c r="A80" s="1">
        <v>74</v>
      </c>
      <c r="B80" s="2" t="s">
        <v>245</v>
      </c>
      <c r="C80" s="11" t="s">
        <v>95</v>
      </c>
      <c r="D80" s="32" t="str">
        <f>'B.kriteria &amp; R.kecocokan'!$B$24</f>
        <v>Cukup</v>
      </c>
      <c r="E80" s="111">
        <f>_xlfn.IFS(D80="Banyak",'B.kriteria &amp; R.kecocokan'!$C$23,D80="Cukup",'B.kriteria &amp; R.kecocokan'!$C$24,D80="Sedikit",'B.kriteria &amp; R.kecocokan'!$C$25)</f>
        <v>5</v>
      </c>
      <c r="F80" s="9" t="str">
        <f>'B.kriteria &amp; R.kecocokan'!$B$34</f>
        <v>Tinggi</v>
      </c>
      <c r="G80" s="8">
        <f>_xlfn.IFS(F80="Tinggi",'B.kriteria &amp; R.kecocokan'!$C$34,F80="Sangat Tinggi",'B.kriteria &amp; R.kecocokan'!$C$35)</f>
        <v>7.5</v>
      </c>
      <c r="H80" s="8" t="str">
        <f>'B.kriteria &amp; R.kecocokan'!$B$41</f>
        <v>Rendah</v>
      </c>
      <c r="I80" s="8">
        <f>_xlfn.IFS(H80="Rendah",'B.kriteria &amp; R.kecocokan'!$C$41,H80="Sedang",'B.kriteria &amp; R.kecocokan'!$C$42,H80="Tinggi",'B.kriteria &amp; R.kecocokan'!$C$43)</f>
        <v>2.5</v>
      </c>
      <c r="J80" s="8" t="str">
        <f>'B.kriteria &amp; R.kecocokan'!$B$72</f>
        <v>Rendah</v>
      </c>
      <c r="K80" s="8">
        <f>_xlfn.IFS(J80="Rendah",'B.kriteria &amp; R.kecocokan'!$C$72,J80="Sedang",'B.kriteria &amp; R.kecocokan'!$C$73,J80="Tinggi",'B.kriteria &amp; R.kecocokan'!$C$74)</f>
        <v>2.5</v>
      </c>
      <c r="L80" s="8" t="str">
        <f>'B.kriteria &amp; R.kecocokan'!$B$95</f>
        <v>Rendah</v>
      </c>
      <c r="M80" s="8">
        <f>_xlfn.IFS(L80="Rendah",'B.kriteria &amp; R.kecocokan'!$C$95,L80="Tinggi",'B.kriteria &amp; R.kecocokan'!$C$96)</f>
        <v>2.5</v>
      </c>
      <c r="N80" s="8" t="str">
        <f>'B.kriteria &amp; R.kecocokan'!$B$80</f>
        <v>Rendah</v>
      </c>
      <c r="O80" s="8">
        <f>_xlfn.IFS(N80="Rendah",'B.kriteria &amp; R.kecocokan'!$C$80,N80="Tinggi",'B.kriteria &amp; R.kecocokan'!$C$81)</f>
        <v>2.5</v>
      </c>
      <c r="P80" s="8" t="str">
        <f>'B.kriteria &amp; R.kecocokan'!$B$89</f>
        <v>Sedikit</v>
      </c>
      <c r="Q80" s="8">
        <f>_xlfn.IFS(P80="Sedikit",'B.kriteria &amp; R.kecocokan'!$C$89,P80="Sedang",'B.kriteria &amp; R.kecocokan'!$C$88,P80="Sangat Sedikit",'B.kriteria &amp; R.kecocokan'!$C$90)</f>
        <v>2.5</v>
      </c>
      <c r="R80" s="8" t="str">
        <f>'B.kriteria &amp; R.kecocokan'!$B$49</f>
        <v>Rendah</v>
      </c>
      <c r="S80" s="8">
        <f>_xlfn.IFS(R80="Rendah",'B.kriteria &amp; R.kecocokan'!$C$49,R80="Sedang",'B.kriteria &amp; R.kecocokan'!$C$50,R80="Tinggi",'B.kriteria &amp; R.kecocokan'!$C$51)</f>
        <v>2.5</v>
      </c>
      <c r="T80" s="8" t="str">
        <f>'B.kriteria &amp; R.kecocokan'!$B$57</f>
        <v>Rendah</v>
      </c>
      <c r="U80" s="51">
        <f>_xlfn.IFS(T80="Rendah",'B.kriteria &amp; R.kecocokan'!$C$57,T80="Sedang",'B.kriteria &amp; R.kecocokan'!$C$58,T80="Tinggi",'B.kriteria &amp; R.kecocokan'!$C$59)</f>
        <v>2.5</v>
      </c>
      <c r="V80" s="51" t="str">
        <f>'B.kriteria &amp; R.kecocokan'!$B$65</f>
        <v>Rendah</v>
      </c>
      <c r="W80" s="9">
        <f>_xlfn.IFS(V80="Rendah",'B.kriteria &amp; R.kecocokan'!$C$65,V80="Sedang",'B.kriteria &amp; R.kecocokan'!$C$66,V80="Tinggi",'B.kriteria &amp; R.kecocokan'!$C$67)</f>
        <v>1</v>
      </c>
      <c r="X80" s="117">
        <f t="shared" si="7"/>
        <v>0</v>
      </c>
      <c r="Y80" s="117">
        <f t="shared" si="8"/>
        <v>3.5355339059327378</v>
      </c>
      <c r="Z80" s="119">
        <f t="shared" si="9"/>
        <v>0</v>
      </c>
      <c r="AA80" s="55" t="str">
        <f t="shared" si="10"/>
        <v>Layak</v>
      </c>
    </row>
    <row r="81" spans="1:27" x14ac:dyDescent="0.35">
      <c r="A81" s="5">
        <v>75</v>
      </c>
      <c r="B81" s="2" t="s">
        <v>155</v>
      </c>
      <c r="C81" s="11" t="s">
        <v>95</v>
      </c>
      <c r="D81" s="32" t="str">
        <f>'B.kriteria &amp; R.kecocokan'!$B$24</f>
        <v>Cukup</v>
      </c>
      <c r="E81" s="111">
        <f>_xlfn.IFS(D81="Banyak",'B.kriteria &amp; R.kecocokan'!$C$23,D81="Cukup",'B.kriteria &amp; R.kecocokan'!$C$24,D81="Sedikit",'B.kriteria &amp; R.kecocokan'!$C$25)</f>
        <v>5</v>
      </c>
      <c r="F81" s="9" t="str">
        <f>'B.kriteria &amp; R.kecocokan'!$B$34</f>
        <v>Tinggi</v>
      </c>
      <c r="G81" s="8">
        <f>_xlfn.IFS(F81="Tinggi",'B.kriteria &amp; R.kecocokan'!$C$34,F81="Sangat Tinggi",'B.kriteria &amp; R.kecocokan'!$C$35)</f>
        <v>7.5</v>
      </c>
      <c r="H81" s="9" t="str">
        <f>'B.kriteria &amp; R.kecocokan'!$B$43</f>
        <v>Tinggi</v>
      </c>
      <c r="I81" s="8">
        <f>_xlfn.IFS(H81="Rendah",'B.kriteria &amp; R.kecocokan'!$C$41,H81="Sedang",'B.kriteria &amp; R.kecocokan'!$C$42,H81="Tinggi",'B.kriteria &amp; R.kecocokan'!$C$43)</f>
        <v>7.5</v>
      </c>
      <c r="J81" s="8" t="str">
        <f>'B.kriteria &amp; R.kecocokan'!$B$72</f>
        <v>Rendah</v>
      </c>
      <c r="K81" s="8">
        <f>_xlfn.IFS(J81="Rendah",'B.kriteria &amp; R.kecocokan'!$C$72,J81="Sedang",'B.kriteria &amp; R.kecocokan'!$C$73,J81="Tinggi",'B.kriteria &amp; R.kecocokan'!$C$74)</f>
        <v>2.5</v>
      </c>
      <c r="L81" s="8" t="str">
        <f>'B.kriteria &amp; R.kecocokan'!$B$95</f>
        <v>Rendah</v>
      </c>
      <c r="M81" s="8">
        <f>_xlfn.IFS(L81="Rendah",'B.kriteria &amp; R.kecocokan'!$C$95,L81="Tinggi",'B.kriteria &amp; R.kecocokan'!$C$96)</f>
        <v>2.5</v>
      </c>
      <c r="N81" s="8" t="str">
        <f>'B.kriteria &amp; R.kecocokan'!$B$80</f>
        <v>Rendah</v>
      </c>
      <c r="O81" s="8">
        <f>_xlfn.IFS(N81="Rendah",'B.kriteria &amp; R.kecocokan'!$C$80,N81="Tinggi",'B.kriteria &amp; R.kecocokan'!$C$81)</f>
        <v>2.5</v>
      </c>
      <c r="P81" s="9" t="str">
        <f>'B.kriteria &amp; R.kecocokan'!$B$88</f>
        <v>Sedang</v>
      </c>
      <c r="Q81" s="8">
        <f>_xlfn.IFS(P81="Sedikit",'B.kriteria &amp; R.kecocokan'!$C$89,P81="Sedang",'B.kriteria &amp; R.kecocokan'!$C$88,P81="Sangat Sedikit",'B.kriteria &amp; R.kecocokan'!$C$90)</f>
        <v>5</v>
      </c>
      <c r="R81" s="8" t="str">
        <f>'B.kriteria &amp; R.kecocokan'!$B$49</f>
        <v>Rendah</v>
      </c>
      <c r="S81" s="8">
        <f>_xlfn.IFS(R81="Rendah",'B.kriteria &amp; R.kecocokan'!$C$49,R81="Sedang",'B.kriteria &amp; R.kecocokan'!$C$50,R81="Tinggi",'B.kriteria &amp; R.kecocokan'!$C$51)</f>
        <v>2.5</v>
      </c>
      <c r="T81" s="8" t="str">
        <f>'B.kriteria &amp; R.kecocokan'!$B$57</f>
        <v>Rendah</v>
      </c>
      <c r="U81" s="51">
        <f>_xlfn.IFS(T81="Rendah",'B.kriteria &amp; R.kecocokan'!$C$57,T81="Sedang",'B.kriteria &amp; R.kecocokan'!$C$58,T81="Tinggi",'B.kriteria &amp; R.kecocokan'!$C$59)</f>
        <v>2.5</v>
      </c>
      <c r="V81" s="51" t="str">
        <f>'B.kriteria &amp; R.kecocokan'!$B$65</f>
        <v>Rendah</v>
      </c>
      <c r="W81" s="9">
        <f>_xlfn.IFS(V81="Rendah",'B.kriteria &amp; R.kecocokan'!$C$65,V81="Sedang",'B.kriteria &amp; R.kecocokan'!$C$66,V81="Tinggi",'B.kriteria &amp; R.kecocokan'!$C$67)</f>
        <v>1</v>
      </c>
      <c r="X81" s="117">
        <f t="shared" si="7"/>
        <v>5.5901699437494745</v>
      </c>
      <c r="Y81" s="117">
        <f t="shared" si="8"/>
        <v>5.5901699437494745</v>
      </c>
      <c r="Z81" s="119">
        <f t="shared" si="9"/>
        <v>5.5901699437494745</v>
      </c>
      <c r="AA81" s="55" t="str">
        <f t="shared" si="10"/>
        <v>Tidak Layak</v>
      </c>
    </row>
    <row r="82" spans="1:27" x14ac:dyDescent="0.35">
      <c r="A82" s="5">
        <v>76</v>
      </c>
      <c r="B82" s="2" t="s">
        <v>152</v>
      </c>
      <c r="C82" s="11" t="s">
        <v>95</v>
      </c>
      <c r="D82" s="9" t="str">
        <f>'B.kriteria &amp; R.kecocokan'!$B$23</f>
        <v>Banyak</v>
      </c>
      <c r="E82" s="111">
        <f>_xlfn.IFS(D82="Banyak",'B.kriteria &amp; R.kecocokan'!$C$23,D82="Cukup",'B.kriteria &amp; R.kecocokan'!$C$24,D82="Sedikit",'B.kriteria &amp; R.kecocokan'!$C$25)</f>
        <v>2.5</v>
      </c>
      <c r="F82" s="9" t="str">
        <f>'B.kriteria &amp; R.kecocokan'!$B$34</f>
        <v>Tinggi</v>
      </c>
      <c r="G82" s="8">
        <f>_xlfn.IFS(F82="Tinggi",'B.kriteria &amp; R.kecocokan'!$C$34,F82="Sangat Tinggi",'B.kriteria &amp; R.kecocokan'!$C$35)</f>
        <v>7.5</v>
      </c>
      <c r="H82" s="8" t="str">
        <f>'B.kriteria &amp; R.kecocokan'!$B$41</f>
        <v>Rendah</v>
      </c>
      <c r="I82" s="8">
        <f>_xlfn.IFS(H82="Rendah",'B.kriteria &amp; R.kecocokan'!$C$41,H82="Sedang",'B.kriteria &amp; R.kecocokan'!$C$42,H82="Tinggi",'B.kriteria &amp; R.kecocokan'!$C$43)</f>
        <v>2.5</v>
      </c>
      <c r="J82" s="8" t="str">
        <f>'B.kriteria &amp; R.kecocokan'!$B$72</f>
        <v>Rendah</v>
      </c>
      <c r="K82" s="8">
        <f>_xlfn.IFS(J82="Rendah",'B.kriteria &amp; R.kecocokan'!$C$72,J82="Sedang",'B.kriteria &amp; R.kecocokan'!$C$73,J82="Tinggi",'B.kriteria &amp; R.kecocokan'!$C$74)</f>
        <v>2.5</v>
      </c>
      <c r="L82" s="8" t="str">
        <f>'B.kriteria &amp; R.kecocokan'!$B$95</f>
        <v>Rendah</v>
      </c>
      <c r="M82" s="8">
        <f>_xlfn.IFS(L82="Rendah",'B.kriteria &amp; R.kecocokan'!$C$95,L82="Tinggi",'B.kriteria &amp; R.kecocokan'!$C$96)</f>
        <v>2.5</v>
      </c>
      <c r="N82" s="9" t="str">
        <f>'B.kriteria &amp; R.kecocokan'!$B$81</f>
        <v>Tinggi</v>
      </c>
      <c r="O82" s="8">
        <f>_xlfn.IFS(N82="Rendah",'B.kriteria &amp; R.kecocokan'!$C$80,N82="Tinggi",'B.kriteria &amp; R.kecocokan'!$C$81)</f>
        <v>7.5</v>
      </c>
      <c r="P82" s="9" t="str">
        <f>'B.kriteria &amp; R.kecocokan'!$B$88</f>
        <v>Sedang</v>
      </c>
      <c r="Q82" s="8">
        <f>_xlfn.IFS(P82="Sedikit",'B.kriteria &amp; R.kecocokan'!$C$89,P82="Sedang",'B.kriteria &amp; R.kecocokan'!$C$88,P82="Sangat Sedikit",'B.kriteria &amp; R.kecocokan'!$C$90)</f>
        <v>5</v>
      </c>
      <c r="R82" s="8" t="str">
        <f>'B.kriteria &amp; R.kecocokan'!$B$49</f>
        <v>Rendah</v>
      </c>
      <c r="S82" s="8">
        <f>_xlfn.IFS(R82="Rendah",'B.kriteria &amp; R.kecocokan'!$C$49,R82="Sedang",'B.kriteria &amp; R.kecocokan'!$C$50,R82="Tinggi",'B.kriteria &amp; R.kecocokan'!$C$51)</f>
        <v>2.5</v>
      </c>
      <c r="T82" s="8" t="str">
        <f>'B.kriteria &amp; R.kecocokan'!$B$57</f>
        <v>Rendah</v>
      </c>
      <c r="U82" s="51">
        <f>_xlfn.IFS(T82="Rendah",'B.kriteria &amp; R.kecocokan'!$C$57,T82="Sedang",'B.kriteria &amp; R.kecocokan'!$C$58,T82="Tinggi",'B.kriteria &amp; R.kecocokan'!$C$59)</f>
        <v>2.5</v>
      </c>
      <c r="V82" s="51" t="str">
        <f>'B.kriteria &amp; R.kecocokan'!$B$65</f>
        <v>Rendah</v>
      </c>
      <c r="W82" s="9">
        <f>_xlfn.IFS(V82="Rendah",'B.kriteria &amp; R.kecocokan'!$C$65,V82="Sedang",'B.kriteria &amp; R.kecocokan'!$C$66,V82="Tinggi",'B.kriteria &amp; R.kecocokan'!$C$67)</f>
        <v>1</v>
      </c>
      <c r="X82" s="117">
        <f t="shared" si="7"/>
        <v>6.1237243569579451</v>
      </c>
      <c r="Y82" s="117">
        <f t="shared" si="8"/>
        <v>6.1237243569579451</v>
      </c>
      <c r="Z82" s="119">
        <f t="shared" si="9"/>
        <v>6.1237243569579451</v>
      </c>
      <c r="AA82" s="55" t="str">
        <f t="shared" si="10"/>
        <v>Tidak Layak</v>
      </c>
    </row>
    <row r="83" spans="1:27" x14ac:dyDescent="0.35">
      <c r="A83" s="1">
        <v>77</v>
      </c>
      <c r="B83" s="2" t="s">
        <v>157</v>
      </c>
      <c r="C83" s="11" t="s">
        <v>95</v>
      </c>
      <c r="D83" s="32" t="str">
        <f>'B.kriteria &amp; R.kecocokan'!$B$24</f>
        <v>Cukup</v>
      </c>
      <c r="E83" s="111">
        <f>_xlfn.IFS(D83="Banyak",'B.kriteria &amp; R.kecocokan'!$C$23,D83="Cukup",'B.kriteria &amp; R.kecocokan'!$C$24,D83="Sedikit",'B.kriteria &amp; R.kecocokan'!$C$25)</f>
        <v>5</v>
      </c>
      <c r="F83" s="9" t="str">
        <f>'B.kriteria &amp; R.kecocokan'!$B$34</f>
        <v>Tinggi</v>
      </c>
      <c r="G83" s="8">
        <f>_xlfn.IFS(F83="Tinggi",'B.kriteria &amp; R.kecocokan'!$C$34,F83="Sangat Tinggi",'B.kriteria &amp; R.kecocokan'!$C$35)</f>
        <v>7.5</v>
      </c>
      <c r="H83" s="8" t="str">
        <f>'B.kriteria &amp; R.kecocokan'!$B$41</f>
        <v>Rendah</v>
      </c>
      <c r="I83" s="8">
        <f>_xlfn.IFS(H83="Rendah",'B.kriteria &amp; R.kecocokan'!$C$41,H83="Sedang",'B.kriteria &amp; R.kecocokan'!$C$42,H83="Tinggi",'B.kriteria &amp; R.kecocokan'!$C$43)</f>
        <v>2.5</v>
      </c>
      <c r="J83" s="8" t="str">
        <f>'B.kriteria &amp; R.kecocokan'!$B$72</f>
        <v>Rendah</v>
      </c>
      <c r="K83" s="8">
        <f>_xlfn.IFS(J83="Rendah",'B.kriteria &amp; R.kecocokan'!$C$72,J83="Sedang",'B.kriteria &amp; R.kecocokan'!$C$73,J83="Tinggi",'B.kriteria &amp; R.kecocokan'!$C$74)</f>
        <v>2.5</v>
      </c>
      <c r="L83" s="8" t="str">
        <f>'B.kriteria &amp; R.kecocokan'!$B$95</f>
        <v>Rendah</v>
      </c>
      <c r="M83" s="8">
        <f>_xlfn.IFS(L83="Rendah",'B.kriteria &amp; R.kecocokan'!$C$95,L83="Tinggi",'B.kriteria &amp; R.kecocokan'!$C$96)</f>
        <v>2.5</v>
      </c>
      <c r="N83" s="9" t="str">
        <f>'B.kriteria &amp; R.kecocokan'!$B$81</f>
        <v>Tinggi</v>
      </c>
      <c r="O83" s="8">
        <f>_xlfn.IFS(N83="Rendah",'B.kriteria &amp; R.kecocokan'!$C$80,N83="Tinggi",'B.kriteria &amp; R.kecocokan'!$C$81)</f>
        <v>7.5</v>
      </c>
      <c r="P83" s="9" t="str">
        <f>'B.kriteria &amp; R.kecocokan'!$B$90</f>
        <v>Sangat Sedikit</v>
      </c>
      <c r="Q83" s="8">
        <f>_xlfn.IFS(P83="Sedikit",'B.kriteria &amp; R.kecocokan'!$C$89,P83="Sedang",'B.kriteria &amp; R.kecocokan'!$C$88,P83="Sangat Sedikit",'B.kriteria &amp; R.kecocokan'!$C$90)</f>
        <v>1</v>
      </c>
      <c r="R83" s="8" t="str">
        <f>'B.kriteria &amp; R.kecocokan'!$B$49</f>
        <v>Rendah</v>
      </c>
      <c r="S83" s="8">
        <f>_xlfn.IFS(R83="Rendah",'B.kriteria &amp; R.kecocokan'!$C$49,R83="Sedang",'B.kriteria &amp; R.kecocokan'!$C$50,R83="Tinggi",'B.kriteria &amp; R.kecocokan'!$C$51)</f>
        <v>2.5</v>
      </c>
      <c r="T83" s="8" t="str">
        <f>'B.kriteria &amp; R.kecocokan'!$B$57</f>
        <v>Rendah</v>
      </c>
      <c r="U83" s="51">
        <f>_xlfn.IFS(T83="Rendah",'B.kriteria &amp; R.kecocokan'!$C$57,T83="Sedang",'B.kriteria &amp; R.kecocokan'!$C$58,T83="Tinggi",'B.kriteria &amp; R.kecocokan'!$C$59)</f>
        <v>2.5</v>
      </c>
      <c r="V83" s="51" t="str">
        <f>'B.kriteria &amp; R.kecocokan'!$B$65</f>
        <v>Rendah</v>
      </c>
      <c r="W83" s="9">
        <f>_xlfn.IFS(V83="Rendah",'B.kriteria &amp; R.kecocokan'!$C$65,V83="Sedang",'B.kriteria &amp; R.kecocokan'!$C$66,V83="Tinggi",'B.kriteria &amp; R.kecocokan'!$C$67)</f>
        <v>1</v>
      </c>
      <c r="X83" s="117">
        <f t="shared" si="7"/>
        <v>5.2201532544552753</v>
      </c>
      <c r="Y83" s="117">
        <f t="shared" si="8"/>
        <v>6.8738635424337602</v>
      </c>
      <c r="Z83" s="119">
        <f t="shared" si="9"/>
        <v>5.2201532544552753</v>
      </c>
      <c r="AA83" s="55" t="str">
        <f t="shared" si="10"/>
        <v>Layak</v>
      </c>
    </row>
    <row r="84" spans="1:27" x14ac:dyDescent="0.35">
      <c r="A84" s="5">
        <v>78</v>
      </c>
      <c r="B84" s="2" t="s">
        <v>146</v>
      </c>
      <c r="C84" s="11" t="s">
        <v>235</v>
      </c>
      <c r="D84" s="32" t="str">
        <f>'B.kriteria &amp; R.kecocokan'!$B$24</f>
        <v>Cukup</v>
      </c>
      <c r="E84" s="111">
        <f>_xlfn.IFS(D84="Banyak",'B.kriteria &amp; R.kecocokan'!$C$23,D84="Cukup",'B.kriteria &amp; R.kecocokan'!$C$24,D84="Sedikit",'B.kriteria &amp; R.kecocokan'!$C$25)</f>
        <v>5</v>
      </c>
      <c r="F84" s="9" t="str">
        <f>'B.kriteria &amp; R.kecocokan'!$B$34</f>
        <v>Tinggi</v>
      </c>
      <c r="G84" s="8">
        <f>_xlfn.IFS(F84="Tinggi",'B.kriteria &amp; R.kecocokan'!$C$34,F84="Sangat Tinggi",'B.kriteria &amp; R.kecocokan'!$C$35)</f>
        <v>7.5</v>
      </c>
      <c r="H84" s="9" t="str">
        <f>'B.kriteria &amp; R.kecocokan'!$B$43</f>
        <v>Tinggi</v>
      </c>
      <c r="I84" s="8">
        <f>_xlfn.IFS(H84="Rendah",'B.kriteria &amp; R.kecocokan'!$C$41,H84="Sedang",'B.kriteria &amp; R.kecocokan'!$C$42,H84="Tinggi",'B.kriteria &amp; R.kecocokan'!$C$43)</f>
        <v>7.5</v>
      </c>
      <c r="J84" s="8" t="str">
        <f>'B.kriteria &amp; R.kecocokan'!$B$72</f>
        <v>Rendah</v>
      </c>
      <c r="K84" s="8">
        <f>_xlfn.IFS(J84="Rendah",'B.kriteria &amp; R.kecocokan'!$C$72,J84="Sedang",'B.kriteria &amp; R.kecocokan'!$C$73,J84="Tinggi",'B.kriteria &amp; R.kecocokan'!$C$74)</f>
        <v>2.5</v>
      </c>
      <c r="L84" s="8" t="str">
        <f>'B.kriteria &amp; R.kecocokan'!$B$95</f>
        <v>Rendah</v>
      </c>
      <c r="M84" s="8">
        <f>_xlfn.IFS(L84="Rendah",'B.kriteria &amp; R.kecocokan'!$C$95,L84="Tinggi",'B.kriteria &amp; R.kecocokan'!$C$96)</f>
        <v>2.5</v>
      </c>
      <c r="N84" s="8" t="str">
        <f>'B.kriteria &amp; R.kecocokan'!$B$80</f>
        <v>Rendah</v>
      </c>
      <c r="O84" s="8">
        <f>_xlfn.IFS(N84="Rendah",'B.kriteria &amp; R.kecocokan'!$C$80,N84="Tinggi",'B.kriteria &amp; R.kecocokan'!$C$81)</f>
        <v>2.5</v>
      </c>
      <c r="P84" s="9" t="str">
        <f>'B.kriteria &amp; R.kecocokan'!$B$90</f>
        <v>Sangat Sedikit</v>
      </c>
      <c r="Q84" s="8">
        <f>_xlfn.IFS(P84="Sedikit",'B.kriteria &amp; R.kecocokan'!$C$89,P84="Sedang",'B.kriteria &amp; R.kecocokan'!$C$88,P84="Sangat Sedikit",'B.kriteria &amp; R.kecocokan'!$C$90)</f>
        <v>1</v>
      </c>
      <c r="R84" s="8" t="str">
        <f>'B.kriteria &amp; R.kecocokan'!$B$49</f>
        <v>Rendah</v>
      </c>
      <c r="S84" s="8">
        <f>_xlfn.IFS(R84="Rendah",'B.kriteria &amp; R.kecocokan'!$C$49,R84="Sedang",'B.kriteria &amp; R.kecocokan'!$C$50,R84="Tinggi",'B.kriteria &amp; R.kecocokan'!$C$51)</f>
        <v>2.5</v>
      </c>
      <c r="T84" s="8" t="str">
        <f>'B.kriteria &amp; R.kecocokan'!$B$57</f>
        <v>Rendah</v>
      </c>
      <c r="U84" s="51">
        <f>_xlfn.IFS(T84="Rendah",'B.kriteria &amp; R.kecocokan'!$C$57,T84="Sedang",'B.kriteria &amp; R.kecocokan'!$C$58,T84="Tinggi",'B.kriteria &amp; R.kecocokan'!$C$59)</f>
        <v>2.5</v>
      </c>
      <c r="V84" s="51" t="str">
        <f>'B.kriteria &amp; R.kecocokan'!$B$65</f>
        <v>Rendah</v>
      </c>
      <c r="W84" s="9">
        <f>_xlfn.IFS(V84="Rendah",'B.kriteria &amp; R.kecocokan'!$C$65,V84="Sedang",'B.kriteria &amp; R.kecocokan'!$C$66,V84="Tinggi",'B.kriteria &amp; R.kecocokan'!$C$67)</f>
        <v>1</v>
      </c>
      <c r="X84" s="117">
        <f t="shared" si="7"/>
        <v>5.2201532544552753</v>
      </c>
      <c r="Y84" s="117">
        <f t="shared" si="8"/>
        <v>6.8738635424337602</v>
      </c>
      <c r="Z84" s="119">
        <f t="shared" si="9"/>
        <v>5.2201532544552753</v>
      </c>
      <c r="AA84" s="55" t="str">
        <f t="shared" si="10"/>
        <v>Layak</v>
      </c>
    </row>
    <row r="85" spans="1:27" x14ac:dyDescent="0.35">
      <c r="A85" s="5">
        <v>79</v>
      </c>
      <c r="B85" s="2" t="s">
        <v>173</v>
      </c>
      <c r="C85" s="11" t="s">
        <v>95</v>
      </c>
      <c r="D85" s="28" t="str">
        <f>'B.kriteria &amp; R.kecocokan'!$B$25</f>
        <v>Sedikit</v>
      </c>
      <c r="E85" s="111">
        <f>_xlfn.IFS(D85="Banyak",'B.kriteria &amp; R.kecocokan'!$C$23,D85="Cukup",'B.kriteria &amp; R.kecocokan'!$C$24,D85="Sedikit",'B.kriteria &amp; R.kecocokan'!$C$25)</f>
        <v>7.5</v>
      </c>
      <c r="F85" s="9" t="str">
        <f>'B.kriteria &amp; R.kecocokan'!$B$34</f>
        <v>Tinggi</v>
      </c>
      <c r="G85" s="8">
        <f>_xlfn.IFS(F85="Tinggi",'B.kriteria &amp; R.kecocokan'!$C$34,F85="Sangat Tinggi",'B.kriteria &amp; R.kecocokan'!$C$35)</f>
        <v>7.5</v>
      </c>
      <c r="H85" s="8" t="str">
        <f>'B.kriteria &amp; R.kecocokan'!$B$41</f>
        <v>Rendah</v>
      </c>
      <c r="I85" s="8">
        <f>_xlfn.IFS(H85="Rendah",'B.kriteria &amp; R.kecocokan'!$C$41,H85="Sedang",'B.kriteria &amp; R.kecocokan'!$C$42,H85="Tinggi",'B.kriteria &amp; R.kecocokan'!$C$43)</f>
        <v>2.5</v>
      </c>
      <c r="J85" s="8" t="str">
        <f>'B.kriteria &amp; R.kecocokan'!$B$72</f>
        <v>Rendah</v>
      </c>
      <c r="K85" s="8">
        <f>_xlfn.IFS(J85="Rendah",'B.kriteria &amp; R.kecocokan'!$C$72,J85="Sedang",'B.kriteria &amp; R.kecocokan'!$C$73,J85="Tinggi",'B.kriteria &amp; R.kecocokan'!$C$74)</f>
        <v>2.5</v>
      </c>
      <c r="L85" s="8" t="str">
        <f>'B.kriteria &amp; R.kecocokan'!$B$95</f>
        <v>Rendah</v>
      </c>
      <c r="M85" s="8">
        <f>_xlfn.IFS(L85="Rendah",'B.kriteria &amp; R.kecocokan'!$C$95,L85="Tinggi",'B.kriteria &amp; R.kecocokan'!$C$96)</f>
        <v>2.5</v>
      </c>
      <c r="N85" s="9" t="str">
        <f>'B.kriteria &amp; R.kecocokan'!$B$81</f>
        <v>Tinggi</v>
      </c>
      <c r="O85" s="8">
        <f>_xlfn.IFS(N85="Rendah",'B.kriteria &amp; R.kecocokan'!$C$80,N85="Tinggi",'B.kriteria &amp; R.kecocokan'!$C$81)</f>
        <v>7.5</v>
      </c>
      <c r="P85" s="9" t="str">
        <f>'B.kriteria &amp; R.kecocokan'!$B$90</f>
        <v>Sangat Sedikit</v>
      </c>
      <c r="Q85" s="8">
        <f>_xlfn.IFS(P85="Sedikit",'B.kriteria &amp; R.kecocokan'!$C$89,P85="Sedang",'B.kriteria &amp; R.kecocokan'!$C$88,P85="Sangat Sedikit",'B.kriteria &amp; R.kecocokan'!$C$90)</f>
        <v>1</v>
      </c>
      <c r="R85" s="8" t="str">
        <f>'B.kriteria &amp; R.kecocokan'!$B$49</f>
        <v>Rendah</v>
      </c>
      <c r="S85" s="8">
        <f>_xlfn.IFS(R85="Rendah",'B.kriteria &amp; R.kecocokan'!$C$49,R85="Sedang",'B.kriteria &amp; R.kecocokan'!$C$50,R85="Tinggi",'B.kriteria &amp; R.kecocokan'!$C$51)</f>
        <v>2.5</v>
      </c>
      <c r="T85" s="9" t="str">
        <f>'B.kriteria &amp; R.kecocokan'!$B$58</f>
        <v>Sedang</v>
      </c>
      <c r="U85" s="51">
        <f>_xlfn.IFS(T85="Rendah",'B.kriteria &amp; R.kecocokan'!$C$57,T85="Sedang",'B.kriteria &amp; R.kecocokan'!$C$58,T85="Tinggi",'B.kriteria &amp; R.kecocokan'!$C$59)</f>
        <v>5</v>
      </c>
      <c r="V85" s="51" t="str">
        <f>'B.kriteria &amp; R.kecocokan'!$B$65</f>
        <v>Rendah</v>
      </c>
      <c r="W85" s="9">
        <f>_xlfn.IFS(V85="Rendah",'B.kriteria &amp; R.kecocokan'!$C$65,V85="Sedang",'B.kriteria &amp; R.kecocokan'!$C$66,V85="Tinggi",'B.kriteria &amp; R.kecocokan'!$C$67)</f>
        <v>1</v>
      </c>
      <c r="X85" s="117">
        <f t="shared" si="7"/>
        <v>6.3047601064592458</v>
      </c>
      <c r="Y85" s="117">
        <f t="shared" si="8"/>
        <v>7.7298124168701534</v>
      </c>
      <c r="Z85" s="119">
        <f t="shared" si="9"/>
        <v>6.3047601064592458</v>
      </c>
      <c r="AA85" s="55" t="str">
        <f t="shared" si="10"/>
        <v>Layak</v>
      </c>
    </row>
    <row r="86" spans="1:27" x14ac:dyDescent="0.35">
      <c r="A86" s="1">
        <v>80</v>
      </c>
      <c r="B86" s="2" t="s">
        <v>150</v>
      </c>
      <c r="C86" s="11" t="s">
        <v>95</v>
      </c>
      <c r="D86" s="28" t="str">
        <f>'B.kriteria &amp; R.kecocokan'!$B$25</f>
        <v>Sedikit</v>
      </c>
      <c r="E86" s="111">
        <f>_xlfn.IFS(D86="Banyak",'B.kriteria &amp; R.kecocokan'!$C$23,D86="Cukup",'B.kriteria &amp; R.kecocokan'!$C$24,D86="Sedikit",'B.kriteria &amp; R.kecocokan'!$C$25)</f>
        <v>7.5</v>
      </c>
      <c r="F86" s="9" t="str">
        <f>'B.kriteria &amp; R.kecocokan'!$B$34</f>
        <v>Tinggi</v>
      </c>
      <c r="G86" s="8">
        <f>_xlfn.IFS(F86="Tinggi",'B.kriteria &amp; R.kecocokan'!$C$34,F86="Sangat Tinggi",'B.kriteria &amp; R.kecocokan'!$C$35)</f>
        <v>7.5</v>
      </c>
      <c r="H86" s="9" t="str">
        <f>'B.kriteria &amp; R.kecocokan'!$B$43</f>
        <v>Tinggi</v>
      </c>
      <c r="I86" s="8">
        <f>_xlfn.IFS(H86="Rendah",'B.kriteria &amp; R.kecocokan'!$C$41,H86="Sedang",'B.kriteria &amp; R.kecocokan'!$C$42,H86="Tinggi",'B.kriteria &amp; R.kecocokan'!$C$43)</f>
        <v>7.5</v>
      </c>
      <c r="J86" s="8" t="str">
        <f>'B.kriteria &amp; R.kecocokan'!$B$72</f>
        <v>Rendah</v>
      </c>
      <c r="K86" s="8">
        <f>_xlfn.IFS(J86="Rendah",'B.kriteria &amp; R.kecocokan'!$C$72,J86="Sedang",'B.kriteria &amp; R.kecocokan'!$C$73,J86="Tinggi",'B.kriteria &amp; R.kecocokan'!$C$74)</f>
        <v>2.5</v>
      </c>
      <c r="L86" s="9" t="str">
        <f>'B.kriteria &amp; R.kecocokan'!$B$96</f>
        <v>Tinggi</v>
      </c>
      <c r="M86" s="8">
        <f>_xlfn.IFS(L86="Rendah",'B.kriteria &amp; R.kecocokan'!$C$95,L86="Tinggi",'B.kriteria &amp; R.kecocokan'!$C$96)</f>
        <v>7.5</v>
      </c>
      <c r="N86" s="8" t="str">
        <f>'B.kriteria &amp; R.kecocokan'!$B$80</f>
        <v>Rendah</v>
      </c>
      <c r="O86" s="8">
        <f>_xlfn.IFS(N86="Rendah",'B.kriteria &amp; R.kecocokan'!$C$80,N86="Tinggi",'B.kriteria &amp; R.kecocokan'!$C$81)</f>
        <v>2.5</v>
      </c>
      <c r="P86" s="8" t="str">
        <f>'B.kriteria &amp; R.kecocokan'!$B$89</f>
        <v>Sedikit</v>
      </c>
      <c r="Q86" s="8">
        <f>_xlfn.IFS(P86="Sedikit",'B.kriteria &amp; R.kecocokan'!$C$89,P86="Sedang",'B.kriteria &amp; R.kecocokan'!$C$88,P86="Sangat Sedikit",'B.kriteria &amp; R.kecocokan'!$C$90)</f>
        <v>2.5</v>
      </c>
      <c r="R86" s="8" t="str">
        <f>'B.kriteria &amp; R.kecocokan'!$B$49</f>
        <v>Rendah</v>
      </c>
      <c r="S86" s="8">
        <f>_xlfn.IFS(R86="Rendah",'B.kriteria &amp; R.kecocokan'!$C$49,R86="Sedang",'B.kriteria &amp; R.kecocokan'!$C$50,R86="Tinggi",'B.kriteria &amp; R.kecocokan'!$C$51)</f>
        <v>2.5</v>
      </c>
      <c r="T86" s="8" t="str">
        <f>'B.kriteria &amp; R.kecocokan'!$B$57</f>
        <v>Rendah</v>
      </c>
      <c r="U86" s="51">
        <f>_xlfn.IFS(T86="Rendah",'B.kriteria &amp; R.kecocokan'!$C$57,T86="Sedang",'B.kriteria &amp; R.kecocokan'!$C$58,T86="Tinggi",'B.kriteria &amp; R.kecocokan'!$C$59)</f>
        <v>2.5</v>
      </c>
      <c r="V86" s="51" t="str">
        <f>'B.kriteria &amp; R.kecocokan'!$B$65</f>
        <v>Rendah</v>
      </c>
      <c r="W86" s="9">
        <f>_xlfn.IFS(V86="Rendah",'B.kriteria &amp; R.kecocokan'!$C$65,V86="Sedang",'B.kriteria &amp; R.kecocokan'!$C$66,V86="Tinggi",'B.kriteria &amp; R.kecocokan'!$C$67)</f>
        <v>1</v>
      </c>
      <c r="X86" s="117">
        <f t="shared" si="7"/>
        <v>7.5</v>
      </c>
      <c r="Y86" s="117">
        <f t="shared" si="8"/>
        <v>8.2915619758885004</v>
      </c>
      <c r="Z86" s="119">
        <f t="shared" si="9"/>
        <v>7.5</v>
      </c>
      <c r="AA86" s="55" t="str">
        <f t="shared" si="10"/>
        <v>Layak</v>
      </c>
    </row>
    <row r="87" spans="1:27" x14ac:dyDescent="0.35">
      <c r="A87" s="5">
        <v>81</v>
      </c>
      <c r="B87" s="2" t="s">
        <v>147</v>
      </c>
      <c r="C87" s="11" t="s">
        <v>95</v>
      </c>
      <c r="D87" s="28" t="str">
        <f>'B.kriteria &amp; R.kecocokan'!$B$25</f>
        <v>Sedikit</v>
      </c>
      <c r="E87" s="111">
        <f>_xlfn.IFS(D87="Banyak",'B.kriteria &amp; R.kecocokan'!$C$23,D87="Cukup",'B.kriteria &amp; R.kecocokan'!$C$24,D87="Sedikit",'B.kriteria &amp; R.kecocokan'!$C$25)</f>
        <v>7.5</v>
      </c>
      <c r="F87" s="9" t="str">
        <f>'B.kriteria &amp; R.kecocokan'!$B$34</f>
        <v>Tinggi</v>
      </c>
      <c r="G87" s="8">
        <f>_xlfn.IFS(F87="Tinggi",'B.kriteria &amp; R.kecocokan'!$C$34,F87="Sangat Tinggi",'B.kriteria &amp; R.kecocokan'!$C$35)</f>
        <v>7.5</v>
      </c>
      <c r="H87" s="8" t="str">
        <f>'B.kriteria &amp; R.kecocokan'!$B$41</f>
        <v>Rendah</v>
      </c>
      <c r="I87" s="8">
        <f>_xlfn.IFS(H87="Rendah",'B.kriteria &amp; R.kecocokan'!$C$41,H87="Sedang",'B.kriteria &amp; R.kecocokan'!$C$42,H87="Tinggi",'B.kriteria &amp; R.kecocokan'!$C$43)</f>
        <v>2.5</v>
      </c>
      <c r="J87" s="8" t="str">
        <f>'B.kriteria &amp; R.kecocokan'!$B$72</f>
        <v>Rendah</v>
      </c>
      <c r="K87" s="8">
        <f>_xlfn.IFS(J87="Rendah",'B.kriteria &amp; R.kecocokan'!$C$72,J87="Sedang",'B.kriteria &amp; R.kecocokan'!$C$73,J87="Tinggi",'B.kriteria &amp; R.kecocokan'!$C$74)</f>
        <v>2.5</v>
      </c>
      <c r="L87" s="8" t="str">
        <f>'B.kriteria &amp; R.kecocokan'!$B$95</f>
        <v>Rendah</v>
      </c>
      <c r="M87" s="8">
        <f>_xlfn.IFS(L87="Rendah",'B.kriteria &amp; R.kecocokan'!$C$95,L87="Tinggi",'B.kriteria &amp; R.kecocokan'!$C$96)</f>
        <v>2.5</v>
      </c>
      <c r="N87" s="9" t="str">
        <f>'B.kriteria &amp; R.kecocokan'!$B$81</f>
        <v>Tinggi</v>
      </c>
      <c r="O87" s="8">
        <f>_xlfn.IFS(N87="Rendah",'B.kriteria &amp; R.kecocokan'!$C$80,N87="Tinggi",'B.kriteria &amp; R.kecocokan'!$C$81)</f>
        <v>7.5</v>
      </c>
      <c r="P87" s="9" t="str">
        <f>'B.kriteria &amp; R.kecocokan'!$B$90</f>
        <v>Sangat Sedikit</v>
      </c>
      <c r="Q87" s="8">
        <f>_xlfn.IFS(P87="Sedikit",'B.kriteria &amp; R.kecocokan'!$C$89,P87="Sedang",'B.kriteria &amp; R.kecocokan'!$C$88,P87="Sangat Sedikit",'B.kriteria &amp; R.kecocokan'!$C$90)</f>
        <v>1</v>
      </c>
      <c r="R87" s="8" t="str">
        <f>'B.kriteria &amp; R.kecocokan'!$B$49</f>
        <v>Rendah</v>
      </c>
      <c r="S87" s="8">
        <f>_xlfn.IFS(R87="Rendah",'B.kriteria &amp; R.kecocokan'!$C$49,R87="Sedang",'B.kriteria &amp; R.kecocokan'!$C$50,R87="Tinggi",'B.kriteria &amp; R.kecocokan'!$C$51)</f>
        <v>2.5</v>
      </c>
      <c r="T87" s="8" t="str">
        <f>'B.kriteria &amp; R.kecocokan'!$B$57</f>
        <v>Rendah</v>
      </c>
      <c r="U87" s="51">
        <f>_xlfn.IFS(T87="Rendah",'B.kriteria &amp; R.kecocokan'!$C$57,T87="Sedang",'B.kriteria &amp; R.kecocokan'!$C$58,T87="Tinggi",'B.kriteria &amp; R.kecocokan'!$C$59)</f>
        <v>2.5</v>
      </c>
      <c r="V87" s="51" t="str">
        <f>'B.kriteria &amp; R.kecocokan'!$B$65</f>
        <v>Rendah</v>
      </c>
      <c r="W87" s="9">
        <f>_xlfn.IFS(V87="Rendah",'B.kriteria &amp; R.kecocokan'!$C$65,V87="Sedang",'B.kriteria &amp; R.kecocokan'!$C$66,V87="Tinggi",'B.kriteria &amp; R.kecocokan'!$C$67)</f>
        <v>1</v>
      </c>
      <c r="X87" s="117">
        <f t="shared" si="7"/>
        <v>5.7879184513951127</v>
      </c>
      <c r="Y87" s="117">
        <f t="shared" si="8"/>
        <v>7.3143694191638966</v>
      </c>
      <c r="Z87" s="119">
        <f t="shared" si="9"/>
        <v>5.7879184513951127</v>
      </c>
      <c r="AA87" s="55" t="str">
        <f t="shared" si="10"/>
        <v>Layak</v>
      </c>
    </row>
    <row r="88" spans="1:27" x14ac:dyDescent="0.35">
      <c r="A88" s="5">
        <v>82</v>
      </c>
      <c r="B88" s="2" t="s">
        <v>126</v>
      </c>
      <c r="C88" s="11" t="s">
        <v>95</v>
      </c>
      <c r="D88" s="28" t="str">
        <f>'B.kriteria &amp; R.kecocokan'!$B$25</f>
        <v>Sedikit</v>
      </c>
      <c r="E88" s="111">
        <f>_xlfn.IFS(D88="Banyak",'B.kriteria &amp; R.kecocokan'!$C$23,D88="Cukup",'B.kriteria &amp; R.kecocokan'!$C$24,D88="Sedikit",'B.kriteria &amp; R.kecocokan'!$C$25)</f>
        <v>7.5</v>
      </c>
      <c r="F88" s="9" t="str">
        <f>'B.kriteria &amp; R.kecocokan'!$B$34</f>
        <v>Tinggi</v>
      </c>
      <c r="G88" s="8">
        <f>_xlfn.IFS(F88="Tinggi",'B.kriteria &amp; R.kecocokan'!$C$34,F88="Sangat Tinggi",'B.kriteria &amp; R.kecocokan'!$C$35)</f>
        <v>7.5</v>
      </c>
      <c r="H88" s="8" t="str">
        <f>'B.kriteria &amp; R.kecocokan'!$B$41</f>
        <v>Rendah</v>
      </c>
      <c r="I88" s="8">
        <f>_xlfn.IFS(H88="Rendah",'B.kriteria &amp; R.kecocokan'!$C$41,H88="Sedang",'B.kriteria &amp; R.kecocokan'!$C$42,H88="Tinggi",'B.kriteria &amp; R.kecocokan'!$C$43)</f>
        <v>2.5</v>
      </c>
      <c r="J88" s="8" t="str">
        <f>'B.kriteria &amp; R.kecocokan'!$B$72</f>
        <v>Rendah</v>
      </c>
      <c r="K88" s="8">
        <f>_xlfn.IFS(J88="Rendah",'B.kriteria &amp; R.kecocokan'!$C$72,J88="Sedang",'B.kriteria &amp; R.kecocokan'!$C$73,J88="Tinggi",'B.kriteria &amp; R.kecocokan'!$C$74)</f>
        <v>2.5</v>
      </c>
      <c r="L88" s="8" t="str">
        <f>'B.kriteria &amp; R.kecocokan'!$B$95</f>
        <v>Rendah</v>
      </c>
      <c r="M88" s="8">
        <f>_xlfn.IFS(L88="Rendah",'B.kriteria &amp; R.kecocokan'!$C$95,L88="Tinggi",'B.kriteria &amp; R.kecocokan'!$C$96)</f>
        <v>2.5</v>
      </c>
      <c r="N88" s="8" t="str">
        <f>'B.kriteria &amp; R.kecocokan'!$B$80</f>
        <v>Rendah</v>
      </c>
      <c r="O88" s="8">
        <f>_xlfn.IFS(N88="Rendah",'B.kriteria &amp; R.kecocokan'!$C$80,N88="Tinggi",'B.kriteria &amp; R.kecocokan'!$C$81)</f>
        <v>2.5</v>
      </c>
      <c r="P88" s="9" t="str">
        <f>'B.kriteria &amp; R.kecocokan'!$B$88</f>
        <v>Sedang</v>
      </c>
      <c r="Q88" s="8">
        <f>_xlfn.IFS(P88="Sedikit",'B.kriteria &amp; R.kecocokan'!$C$89,P88="Sedang",'B.kriteria &amp; R.kecocokan'!$C$88,P88="Sangat Sedikit",'B.kriteria &amp; R.kecocokan'!$C$90)</f>
        <v>5</v>
      </c>
      <c r="R88" s="8" t="str">
        <f>'B.kriteria &amp; R.kecocokan'!$B$49</f>
        <v>Rendah</v>
      </c>
      <c r="S88" s="8">
        <f>_xlfn.IFS(R88="Rendah",'B.kriteria &amp; R.kecocokan'!$C$49,R88="Sedang",'B.kriteria &amp; R.kecocokan'!$C$50,R88="Tinggi",'B.kriteria &amp; R.kecocokan'!$C$51)</f>
        <v>2.5</v>
      </c>
      <c r="T88" s="8" t="str">
        <f>'B.kriteria &amp; R.kecocokan'!$B$57</f>
        <v>Rendah</v>
      </c>
      <c r="U88" s="51">
        <f>_xlfn.IFS(T88="Rendah",'B.kriteria &amp; R.kecocokan'!$C$57,T88="Sedang",'B.kriteria &amp; R.kecocokan'!$C$58,T88="Tinggi",'B.kriteria &amp; R.kecocokan'!$C$59)</f>
        <v>2.5</v>
      </c>
      <c r="V88" s="51" t="str">
        <f>'B.kriteria &amp; R.kecocokan'!$B$65</f>
        <v>Rendah</v>
      </c>
      <c r="W88" s="9">
        <f>_xlfn.IFS(V88="Rendah",'B.kriteria &amp; R.kecocokan'!$C$65,V88="Sedang",'B.kriteria &amp; R.kecocokan'!$C$66,V88="Tinggi",'B.kriteria &amp; R.kecocokan'!$C$67)</f>
        <v>1</v>
      </c>
      <c r="X88" s="117">
        <f t="shared" si="7"/>
        <v>3.5355339059327378</v>
      </c>
      <c r="Y88" s="117">
        <f t="shared" si="8"/>
        <v>3.5355339059327378</v>
      </c>
      <c r="Z88" s="119">
        <f t="shared" si="9"/>
        <v>3.5355339059327378</v>
      </c>
      <c r="AA88" s="55" t="str">
        <f t="shared" si="10"/>
        <v>Tidak Layak</v>
      </c>
    </row>
    <row r="89" spans="1:27" x14ac:dyDescent="0.35">
      <c r="A89" s="1">
        <v>83</v>
      </c>
      <c r="B89" s="2" t="s">
        <v>178</v>
      </c>
      <c r="C89" s="11" t="s">
        <v>95</v>
      </c>
      <c r="D89" s="32" t="str">
        <f>'B.kriteria &amp; R.kecocokan'!$B$24</f>
        <v>Cukup</v>
      </c>
      <c r="E89" s="111">
        <f>_xlfn.IFS(D89="Banyak",'B.kriteria &amp; R.kecocokan'!$C$23,D89="Cukup",'B.kriteria &amp; R.kecocokan'!$C$24,D89="Sedikit",'B.kriteria &amp; R.kecocokan'!$C$25)</f>
        <v>5</v>
      </c>
      <c r="F89" s="9" t="str">
        <f>'B.kriteria &amp; R.kecocokan'!$B$34</f>
        <v>Tinggi</v>
      </c>
      <c r="G89" s="8">
        <f>_xlfn.IFS(F89="Tinggi",'B.kriteria &amp; R.kecocokan'!$C$34,F89="Sangat Tinggi",'B.kriteria &amp; R.kecocokan'!$C$35)</f>
        <v>7.5</v>
      </c>
      <c r="H89" s="8" t="str">
        <f>'B.kriteria &amp; R.kecocokan'!$B$41</f>
        <v>Rendah</v>
      </c>
      <c r="I89" s="8">
        <f>_xlfn.IFS(H89="Rendah",'B.kriteria &amp; R.kecocokan'!$C$41,H89="Sedang",'B.kriteria &amp; R.kecocokan'!$C$42,H89="Tinggi",'B.kriteria &amp; R.kecocokan'!$C$43)</f>
        <v>2.5</v>
      </c>
      <c r="J89" s="8" t="str">
        <f>'B.kriteria &amp; R.kecocokan'!$B$72</f>
        <v>Rendah</v>
      </c>
      <c r="K89" s="8">
        <f>_xlfn.IFS(J89="Rendah",'B.kriteria &amp; R.kecocokan'!$C$72,J89="Sedang",'B.kriteria &amp; R.kecocokan'!$C$73,J89="Tinggi",'B.kriteria &amp; R.kecocokan'!$C$74)</f>
        <v>2.5</v>
      </c>
      <c r="L89" s="8" t="str">
        <f>'B.kriteria &amp; R.kecocokan'!$B$95</f>
        <v>Rendah</v>
      </c>
      <c r="M89" s="8">
        <f>_xlfn.IFS(L89="Rendah",'B.kriteria &amp; R.kecocokan'!$C$95,L89="Tinggi",'B.kriteria &amp; R.kecocokan'!$C$96)</f>
        <v>2.5</v>
      </c>
      <c r="N89" s="8" t="str">
        <f>'B.kriteria &amp; R.kecocokan'!$B$80</f>
        <v>Rendah</v>
      </c>
      <c r="O89" s="8">
        <f>_xlfn.IFS(N89="Rendah",'B.kriteria &amp; R.kecocokan'!$C$80,N89="Tinggi",'B.kriteria &amp; R.kecocokan'!$C$81)</f>
        <v>2.5</v>
      </c>
      <c r="P89" s="8" t="str">
        <f>'B.kriteria &amp; R.kecocokan'!$B$89</f>
        <v>Sedikit</v>
      </c>
      <c r="Q89" s="8">
        <f>_xlfn.IFS(P89="Sedikit",'B.kriteria &amp; R.kecocokan'!$C$89,P89="Sedang",'B.kriteria &amp; R.kecocokan'!$C$88,P89="Sangat Sedikit",'B.kriteria &amp; R.kecocokan'!$C$90)</f>
        <v>2.5</v>
      </c>
      <c r="R89" s="8" t="str">
        <f>'B.kriteria &amp; R.kecocokan'!$B$49</f>
        <v>Rendah</v>
      </c>
      <c r="S89" s="8">
        <f>_xlfn.IFS(R89="Rendah",'B.kriteria &amp; R.kecocokan'!$C$49,R89="Sedang",'B.kriteria &amp; R.kecocokan'!$C$50,R89="Tinggi",'B.kriteria &amp; R.kecocokan'!$C$51)</f>
        <v>2.5</v>
      </c>
      <c r="T89" s="9" t="str">
        <f>'B.kriteria &amp; R.kecocokan'!$B$58</f>
        <v>Sedang</v>
      </c>
      <c r="U89" s="51">
        <f>_xlfn.IFS(T89="Rendah",'B.kriteria &amp; R.kecocokan'!$C$57,T89="Sedang",'B.kriteria &amp; R.kecocokan'!$C$58,T89="Tinggi",'B.kriteria &amp; R.kecocokan'!$C$59)</f>
        <v>5</v>
      </c>
      <c r="V89" s="51" t="str">
        <f>'B.kriteria &amp; R.kecocokan'!$B$65</f>
        <v>Rendah</v>
      </c>
      <c r="W89" s="9">
        <f>_xlfn.IFS(V89="Rendah",'B.kriteria &amp; R.kecocokan'!$C$65,V89="Sedang",'B.kriteria &amp; R.kecocokan'!$C$66,V89="Tinggi",'B.kriteria &amp; R.kecocokan'!$C$67)</f>
        <v>1</v>
      </c>
      <c r="X89" s="117">
        <f t="shared" si="7"/>
        <v>2.5</v>
      </c>
      <c r="Y89" s="117">
        <f t="shared" si="8"/>
        <v>4.3301270189221936</v>
      </c>
      <c r="Z89" s="119">
        <f t="shared" si="9"/>
        <v>2.5</v>
      </c>
      <c r="AA89" s="55" t="str">
        <f t="shared" si="10"/>
        <v>Layak</v>
      </c>
    </row>
    <row r="90" spans="1:27" x14ac:dyDescent="0.35">
      <c r="A90" s="5">
        <v>84</v>
      </c>
      <c r="B90" s="2" t="s">
        <v>133</v>
      </c>
      <c r="C90" s="11" t="s">
        <v>95</v>
      </c>
      <c r="D90" s="32" t="str">
        <f>'B.kriteria &amp; R.kecocokan'!$B$24</f>
        <v>Cukup</v>
      </c>
      <c r="E90" s="111">
        <f>_xlfn.IFS(D90="Banyak",'B.kriteria &amp; R.kecocokan'!$C$23,D90="Cukup",'B.kriteria &amp; R.kecocokan'!$C$24,D90="Sedikit",'B.kriteria &amp; R.kecocokan'!$C$25)</f>
        <v>5</v>
      </c>
      <c r="F90" s="9" t="str">
        <f>'B.kriteria &amp; R.kecocokan'!$B$34</f>
        <v>Tinggi</v>
      </c>
      <c r="G90" s="8">
        <f>_xlfn.IFS(F90="Tinggi",'B.kriteria &amp; R.kecocokan'!$C$34,F90="Sangat Tinggi",'B.kriteria &amp; R.kecocokan'!$C$35)</f>
        <v>7.5</v>
      </c>
      <c r="H90" s="8" t="str">
        <f>'B.kriteria &amp; R.kecocokan'!$B$41</f>
        <v>Rendah</v>
      </c>
      <c r="I90" s="8">
        <f>_xlfn.IFS(H90="Rendah",'B.kriteria &amp; R.kecocokan'!$C$41,H90="Sedang",'B.kriteria &amp; R.kecocokan'!$C$42,H90="Tinggi",'B.kriteria &amp; R.kecocokan'!$C$43)</f>
        <v>2.5</v>
      </c>
      <c r="J90" s="8" t="str">
        <f>'B.kriteria &amp; R.kecocokan'!$B$72</f>
        <v>Rendah</v>
      </c>
      <c r="K90" s="8">
        <f>_xlfn.IFS(J90="Rendah",'B.kriteria &amp; R.kecocokan'!$C$72,J90="Sedang",'B.kriteria &amp; R.kecocokan'!$C$73,J90="Tinggi",'B.kriteria &amp; R.kecocokan'!$C$74)</f>
        <v>2.5</v>
      </c>
      <c r="L90" s="8" t="str">
        <f>'B.kriteria &amp; R.kecocokan'!$B$95</f>
        <v>Rendah</v>
      </c>
      <c r="M90" s="8">
        <f>_xlfn.IFS(L90="Rendah",'B.kriteria &amp; R.kecocokan'!$C$95,L90="Tinggi",'B.kriteria &amp; R.kecocokan'!$C$96)</f>
        <v>2.5</v>
      </c>
      <c r="N90" s="8" t="str">
        <f>'B.kriteria &amp; R.kecocokan'!$B$80</f>
        <v>Rendah</v>
      </c>
      <c r="O90" s="8">
        <f>_xlfn.IFS(N90="Rendah",'B.kriteria &amp; R.kecocokan'!$C$80,N90="Tinggi",'B.kriteria &amp; R.kecocokan'!$C$81)</f>
        <v>2.5</v>
      </c>
      <c r="P90" s="9" t="str">
        <f>'B.kriteria &amp; R.kecocokan'!$B$90</f>
        <v>Sangat Sedikit</v>
      </c>
      <c r="Q90" s="8">
        <f>_xlfn.IFS(P90="Sedikit",'B.kriteria &amp; R.kecocokan'!$C$89,P90="Sedang",'B.kriteria &amp; R.kecocokan'!$C$88,P90="Sangat Sedikit",'B.kriteria &amp; R.kecocokan'!$C$90)</f>
        <v>1</v>
      </c>
      <c r="R90" s="8" t="str">
        <f>'B.kriteria &amp; R.kecocokan'!$B$49</f>
        <v>Rendah</v>
      </c>
      <c r="S90" s="8">
        <f>_xlfn.IFS(R90="Rendah",'B.kriteria &amp; R.kecocokan'!$C$49,R90="Sedang",'B.kriteria &amp; R.kecocokan'!$C$50,R90="Tinggi",'B.kriteria &amp; R.kecocokan'!$C$51)</f>
        <v>2.5</v>
      </c>
      <c r="T90" s="8" t="str">
        <f>'B.kriteria &amp; R.kecocokan'!$B$57</f>
        <v>Rendah</v>
      </c>
      <c r="U90" s="51">
        <f>_xlfn.IFS(T90="Rendah",'B.kriteria &amp; R.kecocokan'!$C$57,T90="Sedang",'B.kriteria &amp; R.kecocokan'!$C$58,T90="Tinggi",'B.kriteria &amp; R.kecocokan'!$C$59)</f>
        <v>2.5</v>
      </c>
      <c r="V90" s="51" t="str">
        <f>'B.kriteria &amp; R.kecocokan'!$B$65</f>
        <v>Rendah</v>
      </c>
      <c r="W90" s="9">
        <f>_xlfn.IFS(V90="Rendah",'B.kriteria &amp; R.kecocokan'!$C$65,V90="Sedang",'B.kriteria &amp; R.kecocokan'!$C$66,V90="Tinggi",'B.kriteria &amp; R.kecocokan'!$C$67)</f>
        <v>1</v>
      </c>
      <c r="X90" s="117">
        <f t="shared" si="7"/>
        <v>1.5</v>
      </c>
      <c r="Y90" s="117">
        <f t="shared" si="8"/>
        <v>4.7169905660283016</v>
      </c>
      <c r="Z90" s="119">
        <f t="shared" si="9"/>
        <v>1.5</v>
      </c>
      <c r="AA90" s="55" t="str">
        <f t="shared" si="10"/>
        <v>Layak</v>
      </c>
    </row>
    <row r="91" spans="1:27" x14ac:dyDescent="0.35">
      <c r="A91" s="5">
        <v>85</v>
      </c>
      <c r="B91" s="2" t="s">
        <v>159</v>
      </c>
      <c r="C91" s="11" t="s">
        <v>95</v>
      </c>
      <c r="D91" s="9" t="str">
        <f>'B.kriteria &amp; R.kecocokan'!$B$23</f>
        <v>Banyak</v>
      </c>
      <c r="E91" s="111">
        <f>_xlfn.IFS(D91="Banyak",'B.kriteria &amp; R.kecocokan'!$C$23,D91="Cukup",'B.kriteria &amp; R.kecocokan'!$C$24,D91="Sedikit",'B.kriteria &amp; R.kecocokan'!$C$25)</f>
        <v>2.5</v>
      </c>
      <c r="F91" s="9" t="str">
        <f>'B.kriteria &amp; R.kecocokan'!$B$34</f>
        <v>Tinggi</v>
      </c>
      <c r="G91" s="8">
        <f>_xlfn.IFS(F91="Tinggi",'B.kriteria &amp; R.kecocokan'!$C$34,F91="Sangat Tinggi",'B.kriteria &amp; R.kecocokan'!$C$35)</f>
        <v>7.5</v>
      </c>
      <c r="H91" s="8" t="str">
        <f>'B.kriteria &amp; R.kecocokan'!$B$41</f>
        <v>Rendah</v>
      </c>
      <c r="I91" s="8">
        <f>_xlfn.IFS(H91="Rendah",'B.kriteria &amp; R.kecocokan'!$C$41,H91="Sedang",'B.kriteria &amp; R.kecocokan'!$C$42,H91="Tinggi",'B.kriteria &amp; R.kecocokan'!$C$43)</f>
        <v>2.5</v>
      </c>
      <c r="J91" s="8" t="str">
        <f>'B.kriteria &amp; R.kecocokan'!$B$72</f>
        <v>Rendah</v>
      </c>
      <c r="K91" s="8">
        <f>_xlfn.IFS(J91="Rendah",'B.kriteria &amp; R.kecocokan'!$C$72,J91="Sedang",'B.kriteria &amp; R.kecocokan'!$C$73,J91="Tinggi",'B.kriteria &amp; R.kecocokan'!$C$74)</f>
        <v>2.5</v>
      </c>
      <c r="L91" s="9" t="str">
        <f>'B.kriteria &amp; R.kecocokan'!$B$96</f>
        <v>Tinggi</v>
      </c>
      <c r="M91" s="8">
        <f>_xlfn.IFS(L91="Rendah",'B.kriteria &amp; R.kecocokan'!$C$95,L91="Tinggi",'B.kriteria &amp; R.kecocokan'!$C$96)</f>
        <v>7.5</v>
      </c>
      <c r="N91" s="8" t="str">
        <f>'B.kriteria &amp; R.kecocokan'!$B$80</f>
        <v>Rendah</v>
      </c>
      <c r="O91" s="8">
        <f>_xlfn.IFS(N91="Rendah",'B.kriteria &amp; R.kecocokan'!$C$80,N91="Tinggi",'B.kriteria &amp; R.kecocokan'!$C$81)</f>
        <v>2.5</v>
      </c>
      <c r="P91" s="9" t="str">
        <f>'B.kriteria &amp; R.kecocokan'!$B$90</f>
        <v>Sangat Sedikit</v>
      </c>
      <c r="Q91" s="8">
        <f>_xlfn.IFS(P91="Sedikit",'B.kriteria &amp; R.kecocokan'!$C$89,P91="Sedang",'B.kriteria &amp; R.kecocokan'!$C$88,P91="Sangat Sedikit",'B.kriteria &amp; R.kecocokan'!$C$90)</f>
        <v>1</v>
      </c>
      <c r="R91" s="8" t="str">
        <f>'B.kriteria &amp; R.kecocokan'!$B$49</f>
        <v>Rendah</v>
      </c>
      <c r="S91" s="8">
        <f>_xlfn.IFS(R91="Rendah",'B.kriteria &amp; R.kecocokan'!$C$49,R91="Sedang",'B.kriteria &amp; R.kecocokan'!$C$50,R91="Tinggi",'B.kriteria &amp; R.kecocokan'!$C$51)</f>
        <v>2.5</v>
      </c>
      <c r="T91" s="8" t="str">
        <f>'B.kriteria &amp; R.kecocokan'!$B$57</f>
        <v>Rendah</v>
      </c>
      <c r="U91" s="51">
        <f>_xlfn.IFS(T91="Rendah",'B.kriteria &amp; R.kecocokan'!$C$57,T91="Sedang",'B.kriteria &amp; R.kecocokan'!$C$58,T91="Tinggi",'B.kriteria &amp; R.kecocokan'!$C$59)</f>
        <v>2.5</v>
      </c>
      <c r="V91" s="51" t="str">
        <f>'B.kriteria &amp; R.kecocokan'!$B$65</f>
        <v>Rendah</v>
      </c>
      <c r="W91" s="9">
        <f>_xlfn.IFS(V91="Rendah",'B.kriteria &amp; R.kecocokan'!$C$65,V91="Sedang",'B.kriteria &amp; R.kecocokan'!$C$66,V91="Tinggi",'B.kriteria &amp; R.kecocokan'!$C$67)</f>
        <v>1</v>
      </c>
      <c r="X91" s="117">
        <f t="shared" si="7"/>
        <v>5.7879184513951127</v>
      </c>
      <c r="Y91" s="117">
        <f t="shared" si="8"/>
        <v>7.3143694191638966</v>
      </c>
      <c r="Z91" s="119">
        <f t="shared" si="9"/>
        <v>5.7879184513951127</v>
      </c>
      <c r="AA91" s="55" t="str">
        <f t="shared" si="10"/>
        <v>Layak</v>
      </c>
    </row>
    <row r="92" spans="1:27" x14ac:dyDescent="0.35">
      <c r="A92" s="1">
        <v>86</v>
      </c>
      <c r="B92" s="2" t="s">
        <v>165</v>
      </c>
      <c r="C92" s="11" t="s">
        <v>95</v>
      </c>
      <c r="D92" s="28" t="str">
        <f>'B.kriteria &amp; R.kecocokan'!$B$25</f>
        <v>Sedikit</v>
      </c>
      <c r="E92" s="111">
        <f>_xlfn.IFS(D92="Banyak",'B.kriteria &amp; R.kecocokan'!$C$23,D92="Cukup",'B.kriteria &amp; R.kecocokan'!$C$24,D92="Sedikit",'B.kriteria &amp; R.kecocokan'!$C$25)</f>
        <v>7.5</v>
      </c>
      <c r="F92" s="9" t="str">
        <f>'B.kriteria &amp; R.kecocokan'!$B$34</f>
        <v>Tinggi</v>
      </c>
      <c r="G92" s="8">
        <f>_xlfn.IFS(F92="Tinggi",'B.kriteria &amp; R.kecocokan'!$C$34,F92="Sangat Tinggi",'B.kriteria &amp; R.kecocokan'!$C$35)</f>
        <v>7.5</v>
      </c>
      <c r="H92" s="8" t="str">
        <f>'B.kriteria &amp; R.kecocokan'!$B$41</f>
        <v>Rendah</v>
      </c>
      <c r="I92" s="8">
        <f>_xlfn.IFS(H92="Rendah",'B.kriteria &amp; R.kecocokan'!$C$41,H92="Sedang",'B.kriteria &amp; R.kecocokan'!$C$42,H92="Tinggi",'B.kriteria &amp; R.kecocokan'!$C$43)</f>
        <v>2.5</v>
      </c>
      <c r="J92" s="8" t="str">
        <f>'B.kriteria &amp; R.kecocokan'!$B$72</f>
        <v>Rendah</v>
      </c>
      <c r="K92" s="8">
        <f>_xlfn.IFS(J92="Rendah",'B.kriteria &amp; R.kecocokan'!$C$72,J92="Sedang",'B.kriteria &amp; R.kecocokan'!$C$73,J92="Tinggi",'B.kriteria &amp; R.kecocokan'!$C$74)</f>
        <v>2.5</v>
      </c>
      <c r="L92" s="8" t="str">
        <f>'B.kriteria &amp; R.kecocokan'!$B$95</f>
        <v>Rendah</v>
      </c>
      <c r="M92" s="8">
        <f>_xlfn.IFS(L92="Rendah",'B.kriteria &amp; R.kecocokan'!$C$95,L92="Tinggi",'B.kriteria &amp; R.kecocokan'!$C$96)</f>
        <v>2.5</v>
      </c>
      <c r="N92" s="9" t="str">
        <f>'B.kriteria &amp; R.kecocokan'!$B$81</f>
        <v>Tinggi</v>
      </c>
      <c r="O92" s="8">
        <f>_xlfn.IFS(N92="Rendah",'B.kriteria &amp; R.kecocokan'!$C$80,N92="Tinggi",'B.kriteria &amp; R.kecocokan'!$C$81)</f>
        <v>7.5</v>
      </c>
      <c r="P92" s="9" t="str">
        <f>'B.kriteria &amp; R.kecocokan'!$B$90</f>
        <v>Sangat Sedikit</v>
      </c>
      <c r="Q92" s="8">
        <f>_xlfn.IFS(P92="Sedikit",'B.kriteria &amp; R.kecocokan'!$C$89,P92="Sedang",'B.kriteria &amp; R.kecocokan'!$C$88,P92="Sangat Sedikit",'B.kriteria &amp; R.kecocokan'!$C$90)</f>
        <v>1</v>
      </c>
      <c r="R92" s="8" t="str">
        <f>'B.kriteria &amp; R.kecocokan'!$B$49</f>
        <v>Rendah</v>
      </c>
      <c r="S92" s="8">
        <f>_xlfn.IFS(R92="Rendah",'B.kriteria &amp; R.kecocokan'!$C$49,R92="Sedang",'B.kriteria &amp; R.kecocokan'!$C$50,R92="Tinggi",'B.kriteria &amp; R.kecocokan'!$C$51)</f>
        <v>2.5</v>
      </c>
      <c r="T92" s="8" t="str">
        <f>'B.kriteria &amp; R.kecocokan'!$B$57</f>
        <v>Rendah</v>
      </c>
      <c r="U92" s="51">
        <f>_xlfn.IFS(T92="Rendah",'B.kriteria &amp; R.kecocokan'!$C$57,T92="Sedang",'B.kriteria &amp; R.kecocokan'!$C$58,T92="Tinggi",'B.kriteria &amp; R.kecocokan'!$C$59)</f>
        <v>2.5</v>
      </c>
      <c r="V92" s="51" t="str">
        <f>'B.kriteria &amp; R.kecocokan'!$B$65</f>
        <v>Rendah</v>
      </c>
      <c r="W92" s="9">
        <f>_xlfn.IFS(V92="Rendah",'B.kriteria &amp; R.kecocokan'!$C$65,V92="Sedang",'B.kriteria &amp; R.kecocokan'!$C$66,V92="Tinggi",'B.kriteria &amp; R.kecocokan'!$C$67)</f>
        <v>1</v>
      </c>
      <c r="X92" s="117">
        <f t="shared" si="7"/>
        <v>5.7879184513951127</v>
      </c>
      <c r="Y92" s="117">
        <f t="shared" si="8"/>
        <v>7.3143694191638966</v>
      </c>
      <c r="Z92" s="119">
        <f t="shared" si="9"/>
        <v>5.7879184513951127</v>
      </c>
      <c r="AA92" s="55" t="str">
        <f t="shared" si="10"/>
        <v>Layak</v>
      </c>
    </row>
    <row r="93" spans="1:27" x14ac:dyDescent="0.35">
      <c r="A93" s="5">
        <v>87</v>
      </c>
      <c r="B93" s="2" t="s">
        <v>163</v>
      </c>
      <c r="C93" s="11" t="s">
        <v>248</v>
      </c>
      <c r="D93" s="28" t="str">
        <f>'B.kriteria &amp; R.kecocokan'!$B$25</f>
        <v>Sedikit</v>
      </c>
      <c r="E93" s="111">
        <f>_xlfn.IFS(D93="Banyak",'B.kriteria &amp; R.kecocokan'!$C$23,D93="Cukup",'B.kriteria &amp; R.kecocokan'!$C$24,D93="Sedikit",'B.kriteria &amp; R.kecocokan'!$C$25)</f>
        <v>7.5</v>
      </c>
      <c r="F93" s="9" t="str">
        <f>'B.kriteria &amp; R.kecocokan'!$B$35</f>
        <v>Sangat Tinggi</v>
      </c>
      <c r="G93" s="8">
        <f>_xlfn.IFS(F93="Tinggi",'B.kriteria &amp; R.kecocokan'!$C$34,F93="Sangat Tinggi",'B.kriteria &amp; R.kecocokan'!$C$35)</f>
        <v>10</v>
      </c>
      <c r="H93" s="9" t="str">
        <f>'B.kriteria &amp; R.kecocokan'!$B$43</f>
        <v>Tinggi</v>
      </c>
      <c r="I93" s="8">
        <f>_xlfn.IFS(H93="Rendah",'B.kriteria &amp; R.kecocokan'!$C$41,H93="Sedang",'B.kriteria &amp; R.kecocokan'!$C$42,H93="Tinggi",'B.kriteria &amp; R.kecocokan'!$C$43)</f>
        <v>7.5</v>
      </c>
      <c r="J93" s="8" t="str">
        <f>'B.kriteria &amp; R.kecocokan'!$B$72</f>
        <v>Rendah</v>
      </c>
      <c r="K93" s="8">
        <f>_xlfn.IFS(J93="Rendah",'B.kriteria &amp; R.kecocokan'!$C$72,J93="Sedang",'B.kriteria &amp; R.kecocokan'!$C$73,J93="Tinggi",'B.kriteria &amp; R.kecocokan'!$C$74)</f>
        <v>2.5</v>
      </c>
      <c r="L93" s="8" t="str">
        <f>'B.kriteria &amp; R.kecocokan'!$B$95</f>
        <v>Rendah</v>
      </c>
      <c r="M93" s="8">
        <f>_xlfn.IFS(L93="Rendah",'B.kriteria &amp; R.kecocokan'!$C$95,L93="Tinggi",'B.kriteria &amp; R.kecocokan'!$C$96)</f>
        <v>2.5</v>
      </c>
      <c r="N93" s="8" t="str">
        <f>'B.kriteria &amp; R.kecocokan'!$B$80</f>
        <v>Rendah</v>
      </c>
      <c r="O93" s="8">
        <f>_xlfn.IFS(N93="Rendah",'B.kriteria &amp; R.kecocokan'!$C$80,N93="Tinggi",'B.kriteria &amp; R.kecocokan'!$C$81)</f>
        <v>2.5</v>
      </c>
      <c r="P93" s="8" t="str">
        <f>'B.kriteria &amp; R.kecocokan'!$B$89</f>
        <v>Sedikit</v>
      </c>
      <c r="Q93" s="8">
        <f>_xlfn.IFS(P93="Sedikit",'B.kriteria &amp; R.kecocokan'!$C$89,P93="Sedang",'B.kriteria &amp; R.kecocokan'!$C$88,P93="Sangat Sedikit",'B.kriteria &amp; R.kecocokan'!$C$90)</f>
        <v>2.5</v>
      </c>
      <c r="R93" s="8" t="str">
        <f>'B.kriteria &amp; R.kecocokan'!$B$49</f>
        <v>Rendah</v>
      </c>
      <c r="S93" s="8">
        <f>_xlfn.IFS(R93="Rendah",'B.kriteria &amp; R.kecocokan'!$C$49,R93="Sedang",'B.kriteria &amp; R.kecocokan'!$C$50,R93="Tinggi",'B.kriteria &amp; R.kecocokan'!$C$51)</f>
        <v>2.5</v>
      </c>
      <c r="T93" s="8" t="str">
        <f>'B.kriteria &amp; R.kecocokan'!$B$57</f>
        <v>Rendah</v>
      </c>
      <c r="U93" s="51">
        <f>_xlfn.IFS(T93="Rendah",'B.kriteria &amp; R.kecocokan'!$C$57,T93="Sedang",'B.kriteria &amp; R.kecocokan'!$C$58,T93="Tinggi",'B.kriteria &amp; R.kecocokan'!$C$59)</f>
        <v>2.5</v>
      </c>
      <c r="V93" s="51" t="str">
        <f>'B.kriteria &amp; R.kecocokan'!$B$65</f>
        <v>Rendah</v>
      </c>
      <c r="W93" s="9">
        <f>_xlfn.IFS(V93="Rendah",'B.kriteria &amp; R.kecocokan'!$C$65,V93="Sedang",'B.kriteria &amp; R.kecocokan'!$C$66,V93="Tinggi",'B.kriteria &amp; R.kecocokan'!$C$67)</f>
        <v>1</v>
      </c>
      <c r="X93" s="117">
        <f t="shared" si="7"/>
        <v>6.1237243569579451</v>
      </c>
      <c r="Y93" s="117">
        <f t="shared" si="8"/>
        <v>6.1237243569579451</v>
      </c>
      <c r="Z93" s="119">
        <f t="shared" si="9"/>
        <v>6.1237243569579451</v>
      </c>
      <c r="AA93" s="55" t="str">
        <f t="shared" si="10"/>
        <v>Tidak Layak</v>
      </c>
    </row>
    <row r="94" spans="1:27" x14ac:dyDescent="0.35">
      <c r="A94" s="5">
        <v>88</v>
      </c>
      <c r="B94" s="30" t="s">
        <v>24</v>
      </c>
      <c r="C94" s="11" t="s">
        <v>248</v>
      </c>
      <c r="D94" s="28" t="str">
        <f>'B.kriteria &amp; R.kecocokan'!$B$25</f>
        <v>Sedikit</v>
      </c>
      <c r="E94" s="111">
        <f>_xlfn.IFS(D94="Banyak",'B.kriteria &amp; R.kecocokan'!$C$23,D94="Cukup",'B.kriteria &amp; R.kecocokan'!$C$24,D94="Sedikit",'B.kriteria &amp; R.kecocokan'!$C$25)</f>
        <v>7.5</v>
      </c>
      <c r="F94" s="9" t="str">
        <f>'B.kriteria &amp; R.kecocokan'!$B$35</f>
        <v>Sangat Tinggi</v>
      </c>
      <c r="G94" s="8">
        <f>_xlfn.IFS(F94="Tinggi",'B.kriteria &amp; R.kecocokan'!$C$34,F94="Sangat Tinggi",'B.kriteria &amp; R.kecocokan'!$C$35)</f>
        <v>10</v>
      </c>
      <c r="H94" s="8" t="str">
        <f>'B.kriteria &amp; R.kecocokan'!$B$41</f>
        <v>Rendah</v>
      </c>
      <c r="I94" s="8">
        <f>_xlfn.IFS(H94="Rendah",'B.kriteria &amp; R.kecocokan'!$C$41,H94="Sedang",'B.kriteria &amp; R.kecocokan'!$C$42,H94="Tinggi",'B.kriteria &amp; R.kecocokan'!$C$43)</f>
        <v>2.5</v>
      </c>
      <c r="J94" s="8" t="str">
        <f>'B.kriteria &amp; R.kecocokan'!$B$72</f>
        <v>Rendah</v>
      </c>
      <c r="K94" s="8">
        <f>_xlfn.IFS(J94="Rendah",'B.kriteria &amp; R.kecocokan'!$C$72,J94="Sedang",'B.kriteria &amp; R.kecocokan'!$C$73,J94="Tinggi",'B.kriteria &amp; R.kecocokan'!$C$74)</f>
        <v>2.5</v>
      </c>
      <c r="L94" s="8" t="str">
        <f>'B.kriteria &amp; R.kecocokan'!$B$95</f>
        <v>Rendah</v>
      </c>
      <c r="M94" s="8">
        <f>_xlfn.IFS(L94="Rendah",'B.kriteria &amp; R.kecocokan'!$C$95,L94="Tinggi",'B.kriteria &amp; R.kecocokan'!$C$96)</f>
        <v>2.5</v>
      </c>
      <c r="N94" s="9" t="str">
        <f>'B.kriteria &amp; R.kecocokan'!$B$81</f>
        <v>Tinggi</v>
      </c>
      <c r="O94" s="8">
        <f>_xlfn.IFS(N94="Rendah",'B.kriteria &amp; R.kecocokan'!$C$80,N94="Tinggi",'B.kriteria &amp; R.kecocokan'!$C$81)</f>
        <v>7.5</v>
      </c>
      <c r="P94" s="9" t="str">
        <f>'B.kriteria &amp; R.kecocokan'!$B$90</f>
        <v>Sangat Sedikit</v>
      </c>
      <c r="Q94" s="8">
        <f>_xlfn.IFS(P94="Sedikit",'B.kriteria &amp; R.kecocokan'!$C$89,P94="Sedang",'B.kriteria &amp; R.kecocokan'!$C$88,P94="Sangat Sedikit",'B.kriteria &amp; R.kecocokan'!$C$90)</f>
        <v>1</v>
      </c>
      <c r="R94" s="9" t="str">
        <f>'B.kriteria &amp; R.kecocokan'!$B$51</f>
        <v>Tinggi</v>
      </c>
      <c r="S94" s="8">
        <f>_xlfn.IFS(R94="Rendah",'B.kriteria &amp; R.kecocokan'!$C$49,R94="Sedang",'B.kriteria &amp; R.kecocokan'!$C$50,R94="Tinggi",'B.kriteria &amp; R.kecocokan'!$C$51)</f>
        <v>7.5</v>
      </c>
      <c r="T94" s="9" t="str">
        <f>'B.kriteria &amp; R.kecocokan'!$B$59</f>
        <v>Tinggi</v>
      </c>
      <c r="U94" s="51">
        <f>_xlfn.IFS(T94="Rendah",'B.kriteria &amp; R.kecocokan'!$C$57,T94="Sedang",'B.kriteria &amp; R.kecocokan'!$C$58,T94="Tinggi",'B.kriteria &amp; R.kecocokan'!$C$59)</f>
        <v>7.5</v>
      </c>
      <c r="V94" s="51" t="str">
        <f>'B.kriteria &amp; R.kecocokan'!$B$65</f>
        <v>Rendah</v>
      </c>
      <c r="W94" s="9">
        <f>_xlfn.IFS(V94="Rendah",'B.kriteria &amp; R.kecocokan'!$C$65,V94="Sedang",'B.kriteria &amp; R.kecocokan'!$C$66,V94="Tinggi",'B.kriteria &amp; R.kecocokan'!$C$67)</f>
        <v>1</v>
      </c>
      <c r="X94" s="117">
        <f t="shared" si="7"/>
        <v>9.4736476607482079</v>
      </c>
      <c r="Y94" s="117">
        <f t="shared" si="8"/>
        <v>9.8615414616580104</v>
      </c>
      <c r="Z94" s="119">
        <f t="shared" si="9"/>
        <v>9.4736476607482079</v>
      </c>
      <c r="AA94" s="55" t="str">
        <f t="shared" si="10"/>
        <v>Layak</v>
      </c>
    </row>
    <row r="95" spans="1:27" x14ac:dyDescent="0.35">
      <c r="A95" s="1">
        <v>89</v>
      </c>
      <c r="B95" s="2" t="s">
        <v>128</v>
      </c>
      <c r="C95" s="11" t="s">
        <v>95</v>
      </c>
      <c r="D95" s="32" t="str">
        <f>'B.kriteria &amp; R.kecocokan'!$B$24</f>
        <v>Cukup</v>
      </c>
      <c r="E95" s="111">
        <f>_xlfn.IFS(D95="Banyak",'B.kriteria &amp; R.kecocokan'!$C$23,D95="Cukup",'B.kriteria &amp; R.kecocokan'!$C$24,D95="Sedikit",'B.kriteria &amp; R.kecocokan'!$C$25)</f>
        <v>5</v>
      </c>
      <c r="F95" s="9" t="str">
        <f>'B.kriteria &amp; R.kecocokan'!$B$34</f>
        <v>Tinggi</v>
      </c>
      <c r="G95" s="8">
        <f>_xlfn.IFS(F95="Tinggi",'B.kriteria &amp; R.kecocokan'!$C$34,F95="Sangat Tinggi",'B.kriteria &amp; R.kecocokan'!$C$35)</f>
        <v>7.5</v>
      </c>
      <c r="H95" s="8" t="str">
        <f>'B.kriteria &amp; R.kecocokan'!$B$41</f>
        <v>Rendah</v>
      </c>
      <c r="I95" s="8">
        <f>_xlfn.IFS(H95="Rendah",'B.kriteria &amp; R.kecocokan'!$C$41,H95="Sedang",'B.kriteria &amp; R.kecocokan'!$C$42,H95="Tinggi",'B.kriteria &amp; R.kecocokan'!$C$43)</f>
        <v>2.5</v>
      </c>
      <c r="J95" s="8" t="str">
        <f>'B.kriteria &amp; R.kecocokan'!$B$72</f>
        <v>Rendah</v>
      </c>
      <c r="K95" s="8">
        <f>_xlfn.IFS(J95="Rendah",'B.kriteria &amp; R.kecocokan'!$C$72,J95="Sedang",'B.kriteria &amp; R.kecocokan'!$C$73,J95="Tinggi",'B.kriteria &amp; R.kecocokan'!$C$74)</f>
        <v>2.5</v>
      </c>
      <c r="L95" s="8" t="str">
        <f>'B.kriteria &amp; R.kecocokan'!$B$95</f>
        <v>Rendah</v>
      </c>
      <c r="M95" s="8">
        <f>_xlfn.IFS(L95="Rendah",'B.kriteria &amp; R.kecocokan'!$C$95,L95="Tinggi",'B.kriteria &amp; R.kecocokan'!$C$96)</f>
        <v>2.5</v>
      </c>
      <c r="N95" s="9" t="str">
        <f>'B.kriteria &amp; R.kecocokan'!$B$81</f>
        <v>Tinggi</v>
      </c>
      <c r="O95" s="8">
        <f>_xlfn.IFS(N95="Rendah",'B.kriteria &amp; R.kecocokan'!$C$80,N95="Tinggi",'B.kriteria &amp; R.kecocokan'!$C$81)</f>
        <v>7.5</v>
      </c>
      <c r="P95" s="9" t="str">
        <f>'B.kriteria &amp; R.kecocokan'!$B$90</f>
        <v>Sangat Sedikit</v>
      </c>
      <c r="Q95" s="8">
        <f>_xlfn.IFS(P95="Sedikit",'B.kriteria &amp; R.kecocokan'!$C$89,P95="Sedang",'B.kriteria &amp; R.kecocokan'!$C$88,P95="Sangat Sedikit",'B.kriteria &amp; R.kecocokan'!$C$90)</f>
        <v>1</v>
      </c>
      <c r="R95" s="8" t="str">
        <f>'B.kriteria &amp; R.kecocokan'!$B$49</f>
        <v>Rendah</v>
      </c>
      <c r="S95" s="8">
        <f>_xlfn.IFS(R95="Rendah",'B.kriteria &amp; R.kecocokan'!$C$49,R95="Sedang",'B.kriteria &amp; R.kecocokan'!$C$50,R95="Tinggi",'B.kriteria &amp; R.kecocokan'!$C$51)</f>
        <v>2.5</v>
      </c>
      <c r="T95" s="8" t="str">
        <f>'B.kriteria &amp; R.kecocokan'!$B$57</f>
        <v>Rendah</v>
      </c>
      <c r="U95" s="51">
        <f>_xlfn.IFS(T95="Rendah",'B.kriteria &amp; R.kecocokan'!$C$57,T95="Sedang",'B.kriteria &amp; R.kecocokan'!$C$58,T95="Tinggi",'B.kriteria &amp; R.kecocokan'!$C$59)</f>
        <v>2.5</v>
      </c>
      <c r="V95" s="51" t="str">
        <f>'B.kriteria &amp; R.kecocokan'!$B$65</f>
        <v>Rendah</v>
      </c>
      <c r="W95" s="9">
        <f>_xlfn.IFS(V95="Rendah",'B.kriteria &amp; R.kecocokan'!$C$65,V95="Sedang",'B.kriteria &amp; R.kecocokan'!$C$66,V95="Tinggi",'B.kriteria &amp; R.kecocokan'!$C$67)</f>
        <v>1</v>
      </c>
      <c r="X95" s="117">
        <f t="shared" si="7"/>
        <v>5.2201532544552753</v>
      </c>
      <c r="Y95" s="117">
        <f t="shared" si="8"/>
        <v>6.8738635424337602</v>
      </c>
      <c r="Z95" s="119">
        <f t="shared" si="9"/>
        <v>5.2201532544552753</v>
      </c>
      <c r="AA95" s="55" t="str">
        <f t="shared" si="10"/>
        <v>Layak</v>
      </c>
    </row>
    <row r="96" spans="1:27" x14ac:dyDescent="0.35">
      <c r="A96" s="5">
        <v>90</v>
      </c>
      <c r="B96" s="30" t="s">
        <v>136</v>
      </c>
      <c r="C96" s="11" t="s">
        <v>95</v>
      </c>
      <c r="D96" s="28" t="str">
        <f>'B.kriteria &amp; R.kecocokan'!$B$25</f>
        <v>Sedikit</v>
      </c>
      <c r="E96" s="111">
        <f>_xlfn.IFS(D96="Banyak",'B.kriteria &amp; R.kecocokan'!$C$23,D96="Cukup",'B.kriteria &amp; R.kecocokan'!$C$24,D96="Sedikit",'B.kriteria &amp; R.kecocokan'!$C$25)</f>
        <v>7.5</v>
      </c>
      <c r="F96" s="9" t="str">
        <f>'B.kriteria &amp; R.kecocokan'!$B$35</f>
        <v>Sangat Tinggi</v>
      </c>
      <c r="G96" s="8">
        <f>_xlfn.IFS(F96="Tinggi",'B.kriteria &amp; R.kecocokan'!$C$34,F96="Sangat Tinggi",'B.kriteria &amp; R.kecocokan'!$C$35)</f>
        <v>10</v>
      </c>
      <c r="H96" s="8" t="str">
        <f>'B.kriteria &amp; R.kecocokan'!$B$41</f>
        <v>Rendah</v>
      </c>
      <c r="I96" s="8">
        <f>_xlfn.IFS(H96="Rendah",'B.kriteria &amp; R.kecocokan'!$C$41,H96="Sedang",'B.kriteria &amp; R.kecocokan'!$C$42,H96="Tinggi",'B.kriteria &amp; R.kecocokan'!$C$43)</f>
        <v>2.5</v>
      </c>
      <c r="J96" s="8" t="str">
        <f>'B.kriteria &amp; R.kecocokan'!$B$72</f>
        <v>Rendah</v>
      </c>
      <c r="K96" s="8">
        <f>_xlfn.IFS(J96="Rendah",'B.kriteria &amp; R.kecocokan'!$C$72,J96="Sedang",'B.kriteria &amp; R.kecocokan'!$C$73,J96="Tinggi",'B.kriteria &amp; R.kecocokan'!$C$74)</f>
        <v>2.5</v>
      </c>
      <c r="L96" s="8" t="str">
        <f>'B.kriteria &amp; R.kecocokan'!$B$95</f>
        <v>Rendah</v>
      </c>
      <c r="M96" s="8">
        <f>_xlfn.IFS(L96="Rendah",'B.kriteria &amp; R.kecocokan'!$C$95,L96="Tinggi",'B.kriteria &amp; R.kecocokan'!$C$96)</f>
        <v>2.5</v>
      </c>
      <c r="N96" s="9" t="str">
        <f>'B.kriteria &amp; R.kecocokan'!$B$81</f>
        <v>Tinggi</v>
      </c>
      <c r="O96" s="8">
        <f>_xlfn.IFS(N96="Rendah",'B.kriteria &amp; R.kecocokan'!$C$80,N96="Tinggi",'B.kriteria &amp; R.kecocokan'!$C$81)</f>
        <v>7.5</v>
      </c>
      <c r="P96" s="9" t="str">
        <f>'B.kriteria &amp; R.kecocokan'!$B$90</f>
        <v>Sangat Sedikit</v>
      </c>
      <c r="Q96" s="8">
        <f>_xlfn.IFS(P96="Sedikit",'B.kriteria &amp; R.kecocokan'!$C$89,P96="Sedang",'B.kriteria &amp; R.kecocokan'!$C$88,P96="Sangat Sedikit",'B.kriteria &amp; R.kecocokan'!$C$90)</f>
        <v>1</v>
      </c>
      <c r="R96" s="9" t="str">
        <f>'B.kriteria &amp; R.kecocokan'!$B$51</f>
        <v>Tinggi</v>
      </c>
      <c r="S96" s="8">
        <f>_xlfn.IFS(R96="Rendah",'B.kriteria &amp; R.kecocokan'!$C$49,R96="Sedang",'B.kriteria &amp; R.kecocokan'!$C$50,R96="Tinggi",'B.kriteria &amp; R.kecocokan'!$C$51)</f>
        <v>7.5</v>
      </c>
      <c r="T96" s="9" t="str">
        <f>'B.kriteria &amp; R.kecocokan'!$B$59</f>
        <v>Tinggi</v>
      </c>
      <c r="U96" s="51">
        <f>_xlfn.IFS(T96="Rendah",'B.kriteria &amp; R.kecocokan'!$C$57,T96="Sedang",'B.kriteria &amp; R.kecocokan'!$C$58,T96="Tinggi",'B.kriteria &amp; R.kecocokan'!$C$59)</f>
        <v>7.5</v>
      </c>
      <c r="V96" s="51" t="str">
        <f>'B.kriteria &amp; R.kecocokan'!$B$65</f>
        <v>Rendah</v>
      </c>
      <c r="W96" s="9">
        <f>_xlfn.IFS(V96="Rendah",'B.kriteria &amp; R.kecocokan'!$C$65,V96="Sedang",'B.kriteria &amp; R.kecocokan'!$C$66,V96="Tinggi",'B.kriteria &amp; R.kecocokan'!$C$67)</f>
        <v>1</v>
      </c>
      <c r="X96" s="117">
        <f t="shared" si="7"/>
        <v>9.4736476607482079</v>
      </c>
      <c r="Y96" s="117">
        <f t="shared" si="8"/>
        <v>9.8615414616580104</v>
      </c>
      <c r="Z96" s="119">
        <f t="shared" si="9"/>
        <v>9.4736476607482079</v>
      </c>
      <c r="AA96" s="55" t="str">
        <f t="shared" si="10"/>
        <v>Layak</v>
      </c>
    </row>
    <row r="97" spans="1:27" x14ac:dyDescent="0.35">
      <c r="A97" s="5">
        <v>91</v>
      </c>
      <c r="B97" s="2" t="s">
        <v>140</v>
      </c>
      <c r="C97" s="11" t="s">
        <v>95</v>
      </c>
      <c r="D97" s="28" t="str">
        <f>'B.kriteria &amp; R.kecocokan'!$B$25</f>
        <v>Sedikit</v>
      </c>
      <c r="E97" s="111">
        <f>_xlfn.IFS(D97="Banyak",'B.kriteria &amp; R.kecocokan'!$C$23,D97="Cukup",'B.kriteria &amp; R.kecocokan'!$C$24,D97="Sedikit",'B.kriteria &amp; R.kecocokan'!$C$25)</f>
        <v>7.5</v>
      </c>
      <c r="F97" s="9" t="str">
        <f>'B.kriteria &amp; R.kecocokan'!$B$34</f>
        <v>Tinggi</v>
      </c>
      <c r="G97" s="8">
        <f>_xlfn.IFS(F97="Tinggi",'B.kriteria &amp; R.kecocokan'!$C$34,F97="Sangat Tinggi",'B.kriteria &amp; R.kecocokan'!$C$35)</f>
        <v>7.5</v>
      </c>
      <c r="H97" s="8" t="str">
        <f>'B.kriteria &amp; R.kecocokan'!$B$41</f>
        <v>Rendah</v>
      </c>
      <c r="I97" s="8">
        <f>_xlfn.IFS(H97="Rendah",'B.kriteria &amp; R.kecocokan'!$C$41,H97="Sedang",'B.kriteria &amp; R.kecocokan'!$C$42,H97="Tinggi",'B.kriteria &amp; R.kecocokan'!$C$43)</f>
        <v>2.5</v>
      </c>
      <c r="J97" s="8" t="str">
        <f>'B.kriteria &amp; R.kecocokan'!$B$72</f>
        <v>Rendah</v>
      </c>
      <c r="K97" s="8">
        <f>_xlfn.IFS(J97="Rendah",'B.kriteria &amp; R.kecocokan'!$C$72,J97="Sedang",'B.kriteria &amp; R.kecocokan'!$C$73,J97="Tinggi",'B.kriteria &amp; R.kecocokan'!$C$74)</f>
        <v>2.5</v>
      </c>
      <c r="L97" s="8" t="str">
        <f>'B.kriteria &amp; R.kecocokan'!$B$95</f>
        <v>Rendah</v>
      </c>
      <c r="M97" s="8">
        <f>_xlfn.IFS(L97="Rendah",'B.kriteria &amp; R.kecocokan'!$C$95,L97="Tinggi",'B.kriteria &amp; R.kecocokan'!$C$96)</f>
        <v>2.5</v>
      </c>
      <c r="N97" s="9" t="str">
        <f>'B.kriteria &amp; R.kecocokan'!$B$81</f>
        <v>Tinggi</v>
      </c>
      <c r="O97" s="8">
        <f>_xlfn.IFS(N97="Rendah",'B.kriteria &amp; R.kecocokan'!$C$80,N97="Tinggi",'B.kriteria &amp; R.kecocokan'!$C$81)</f>
        <v>7.5</v>
      </c>
      <c r="P97" s="9" t="str">
        <f>'B.kriteria &amp; R.kecocokan'!$B$90</f>
        <v>Sangat Sedikit</v>
      </c>
      <c r="Q97" s="8">
        <f>_xlfn.IFS(P97="Sedikit",'B.kriteria &amp; R.kecocokan'!$C$89,P97="Sedang",'B.kriteria &amp; R.kecocokan'!$C$88,P97="Sangat Sedikit",'B.kriteria &amp; R.kecocokan'!$C$90)</f>
        <v>1</v>
      </c>
      <c r="R97" s="8" t="str">
        <f>'B.kriteria &amp; R.kecocokan'!$B$49</f>
        <v>Rendah</v>
      </c>
      <c r="S97" s="8">
        <f>_xlfn.IFS(R97="Rendah",'B.kriteria &amp; R.kecocokan'!$C$49,R97="Sedang",'B.kriteria &amp; R.kecocokan'!$C$50,R97="Tinggi",'B.kriteria &amp; R.kecocokan'!$C$51)</f>
        <v>2.5</v>
      </c>
      <c r="T97" s="9" t="str">
        <f>'B.kriteria &amp; R.kecocokan'!$B$58</f>
        <v>Sedang</v>
      </c>
      <c r="U97" s="51">
        <f>_xlfn.IFS(T97="Rendah",'B.kriteria &amp; R.kecocokan'!$C$57,T97="Sedang",'B.kriteria &amp; R.kecocokan'!$C$58,T97="Tinggi",'B.kriteria &amp; R.kecocokan'!$C$59)</f>
        <v>5</v>
      </c>
      <c r="V97" s="51" t="str">
        <f>'B.kriteria &amp; R.kecocokan'!$B$65</f>
        <v>Rendah</v>
      </c>
      <c r="W97" s="9">
        <f>_xlfn.IFS(V97="Rendah",'B.kriteria &amp; R.kecocokan'!$C$65,V97="Sedang",'B.kriteria &amp; R.kecocokan'!$C$66,V97="Tinggi",'B.kriteria &amp; R.kecocokan'!$C$67)</f>
        <v>1</v>
      </c>
      <c r="X97" s="117">
        <f t="shared" si="7"/>
        <v>6.3047601064592458</v>
      </c>
      <c r="Y97" s="117">
        <f t="shared" si="8"/>
        <v>7.7298124168701534</v>
      </c>
      <c r="Z97" s="119">
        <f t="shared" si="9"/>
        <v>6.3047601064592458</v>
      </c>
      <c r="AA97" s="55" t="str">
        <f t="shared" si="10"/>
        <v>Layak</v>
      </c>
    </row>
    <row r="98" spans="1:27" x14ac:dyDescent="0.35">
      <c r="A98" s="1">
        <v>92</v>
      </c>
      <c r="B98" s="2" t="s">
        <v>251</v>
      </c>
      <c r="C98" s="11" t="s">
        <v>95</v>
      </c>
      <c r="D98" s="28" t="str">
        <f>'B.kriteria &amp; R.kecocokan'!$B$25</f>
        <v>Sedikit</v>
      </c>
      <c r="E98" s="111">
        <f>_xlfn.IFS(D98="Banyak",'B.kriteria &amp; R.kecocokan'!$C$23,D98="Cukup",'B.kriteria &amp; R.kecocokan'!$C$24,D98="Sedikit",'B.kriteria &amp; R.kecocokan'!$C$25)</f>
        <v>7.5</v>
      </c>
      <c r="F98" s="9" t="str">
        <f>'B.kriteria &amp; R.kecocokan'!$B$34</f>
        <v>Tinggi</v>
      </c>
      <c r="G98" s="8">
        <f>_xlfn.IFS(F98="Tinggi",'B.kriteria &amp; R.kecocokan'!$C$34,F98="Sangat Tinggi",'B.kriteria &amp; R.kecocokan'!$C$35)</f>
        <v>7.5</v>
      </c>
      <c r="H98" s="8" t="str">
        <f>'B.kriteria &amp; R.kecocokan'!$B$41</f>
        <v>Rendah</v>
      </c>
      <c r="I98" s="8">
        <f>_xlfn.IFS(H98="Rendah",'B.kriteria &amp; R.kecocokan'!$C$41,H98="Sedang",'B.kriteria &amp; R.kecocokan'!$C$42,H98="Tinggi",'B.kriteria &amp; R.kecocokan'!$C$43)</f>
        <v>2.5</v>
      </c>
      <c r="J98" s="8" t="str">
        <f>'B.kriteria &amp; R.kecocokan'!$B$72</f>
        <v>Rendah</v>
      </c>
      <c r="K98" s="8">
        <f>_xlfn.IFS(J98="Rendah",'B.kriteria &amp; R.kecocokan'!$C$72,J98="Sedang",'B.kriteria &amp; R.kecocokan'!$C$73,J98="Tinggi",'B.kriteria &amp; R.kecocokan'!$C$74)</f>
        <v>2.5</v>
      </c>
      <c r="L98" s="8" t="str">
        <f>'B.kriteria &amp; R.kecocokan'!$B$95</f>
        <v>Rendah</v>
      </c>
      <c r="M98" s="8">
        <f>_xlfn.IFS(L98="Rendah",'B.kriteria &amp; R.kecocokan'!$C$95,L98="Tinggi",'B.kriteria &amp; R.kecocokan'!$C$96)</f>
        <v>2.5</v>
      </c>
      <c r="N98" s="8" t="str">
        <f>'B.kriteria &amp; R.kecocokan'!$B$80</f>
        <v>Rendah</v>
      </c>
      <c r="O98" s="8">
        <f>_xlfn.IFS(N98="Rendah",'B.kriteria &amp; R.kecocokan'!$C$80,N98="Tinggi",'B.kriteria &amp; R.kecocokan'!$C$81)</f>
        <v>2.5</v>
      </c>
      <c r="P98" s="9" t="str">
        <f>'B.kriteria &amp; R.kecocokan'!$B$88</f>
        <v>Sedang</v>
      </c>
      <c r="Q98" s="8">
        <f>_xlfn.IFS(P98="Sedikit",'B.kriteria &amp; R.kecocokan'!$C$89,P98="Sedang",'B.kriteria &amp; R.kecocokan'!$C$88,P98="Sangat Sedikit",'B.kriteria &amp; R.kecocokan'!$C$90)</f>
        <v>5</v>
      </c>
      <c r="R98" s="8" t="str">
        <f>'B.kriteria &amp; R.kecocokan'!$B$49</f>
        <v>Rendah</v>
      </c>
      <c r="S98" s="8">
        <f>_xlfn.IFS(R98="Rendah",'B.kriteria &amp; R.kecocokan'!$C$49,R98="Sedang",'B.kriteria &amp; R.kecocokan'!$C$50,R98="Tinggi",'B.kriteria &amp; R.kecocokan'!$C$51)</f>
        <v>2.5</v>
      </c>
      <c r="T98" s="9" t="str">
        <f>'B.kriteria &amp; R.kecocokan'!$B$58</f>
        <v>Sedang</v>
      </c>
      <c r="U98" s="51">
        <f>_xlfn.IFS(T98="Rendah",'B.kriteria &amp; R.kecocokan'!$C$57,T98="Sedang",'B.kriteria &amp; R.kecocokan'!$C$58,T98="Tinggi",'B.kriteria &amp; R.kecocokan'!$C$59)</f>
        <v>5</v>
      </c>
      <c r="V98" s="51" t="str">
        <f>'B.kriteria &amp; R.kecocokan'!$B$65</f>
        <v>Rendah</v>
      </c>
      <c r="W98" s="9">
        <f>_xlfn.IFS(V98="Rendah",'B.kriteria &amp; R.kecocokan'!$C$65,V98="Sedang",'B.kriteria &amp; R.kecocokan'!$C$66,V98="Tinggi",'B.kriteria &amp; R.kecocokan'!$C$67)</f>
        <v>1</v>
      </c>
      <c r="X98" s="117">
        <f t="shared" si="7"/>
        <v>4.3301270189221936</v>
      </c>
      <c r="Y98" s="117">
        <f t="shared" si="8"/>
        <v>4.3301270189221936</v>
      </c>
      <c r="Z98" s="119">
        <f t="shared" si="9"/>
        <v>4.3301270189221936</v>
      </c>
      <c r="AA98" s="55" t="str">
        <f t="shared" si="10"/>
        <v>Tidak Layak</v>
      </c>
    </row>
    <row r="99" spans="1:27" x14ac:dyDescent="0.35">
      <c r="A99" s="5">
        <v>93</v>
      </c>
      <c r="B99" s="2" t="s">
        <v>252</v>
      </c>
      <c r="C99" s="11" t="s">
        <v>95</v>
      </c>
      <c r="D99" s="9" t="str">
        <f>'B.kriteria &amp; R.kecocokan'!$B$23</f>
        <v>Banyak</v>
      </c>
      <c r="E99" s="111">
        <f>_xlfn.IFS(D99="Banyak",'B.kriteria &amp; R.kecocokan'!$C$23,D99="Cukup",'B.kriteria &amp; R.kecocokan'!$C$24,D99="Sedikit",'B.kriteria &amp; R.kecocokan'!$C$25)</f>
        <v>2.5</v>
      </c>
      <c r="F99" s="9" t="str">
        <f>'B.kriteria &amp; R.kecocokan'!$B$34</f>
        <v>Tinggi</v>
      </c>
      <c r="G99" s="8">
        <f>_xlfn.IFS(F99="Tinggi",'B.kriteria &amp; R.kecocokan'!$C$34,F99="Sangat Tinggi",'B.kriteria &amp; R.kecocokan'!$C$35)</f>
        <v>7.5</v>
      </c>
      <c r="H99" s="8" t="str">
        <f>'B.kriteria &amp; R.kecocokan'!$B$41</f>
        <v>Rendah</v>
      </c>
      <c r="I99" s="8">
        <f>_xlfn.IFS(H99="Rendah",'B.kriteria &amp; R.kecocokan'!$C$41,H99="Sedang",'B.kriteria &amp; R.kecocokan'!$C$42,H99="Tinggi",'B.kriteria &amp; R.kecocokan'!$C$43)</f>
        <v>2.5</v>
      </c>
      <c r="J99" s="8" t="str">
        <f>'B.kriteria &amp; R.kecocokan'!$B$72</f>
        <v>Rendah</v>
      </c>
      <c r="K99" s="8">
        <f>_xlfn.IFS(J99="Rendah",'B.kriteria &amp; R.kecocokan'!$C$72,J99="Sedang",'B.kriteria &amp; R.kecocokan'!$C$73,J99="Tinggi",'B.kriteria &amp; R.kecocokan'!$C$74)</f>
        <v>2.5</v>
      </c>
      <c r="L99" s="8" t="str">
        <f>'B.kriteria &amp; R.kecocokan'!$B$95</f>
        <v>Rendah</v>
      </c>
      <c r="M99" s="8">
        <f>_xlfn.IFS(L99="Rendah",'B.kriteria &amp; R.kecocokan'!$C$95,L99="Tinggi",'B.kriteria &amp; R.kecocokan'!$C$96)</f>
        <v>2.5</v>
      </c>
      <c r="N99" s="8" t="str">
        <f>'B.kriteria &amp; R.kecocokan'!$B$80</f>
        <v>Rendah</v>
      </c>
      <c r="O99" s="8">
        <f>_xlfn.IFS(N99="Rendah",'B.kriteria &amp; R.kecocokan'!$C$80,N99="Tinggi",'B.kriteria &amp; R.kecocokan'!$C$81)</f>
        <v>2.5</v>
      </c>
      <c r="P99" s="9" t="str">
        <f>'B.kriteria &amp; R.kecocokan'!$B$88</f>
        <v>Sedang</v>
      </c>
      <c r="Q99" s="8">
        <f>_xlfn.IFS(P99="Sedikit",'B.kriteria &amp; R.kecocokan'!$C$89,P99="Sedang",'B.kriteria &amp; R.kecocokan'!$C$88,P99="Sangat Sedikit",'B.kriteria &amp; R.kecocokan'!$C$90)</f>
        <v>5</v>
      </c>
      <c r="R99" s="8" t="str">
        <f>'B.kriteria &amp; R.kecocokan'!$B$49</f>
        <v>Rendah</v>
      </c>
      <c r="S99" s="8">
        <f>_xlfn.IFS(R99="Rendah",'B.kriteria &amp; R.kecocokan'!$C$49,R99="Sedang",'B.kriteria &amp; R.kecocokan'!$C$50,R99="Tinggi",'B.kriteria &amp; R.kecocokan'!$C$51)</f>
        <v>2.5</v>
      </c>
      <c r="T99" s="8" t="str">
        <f>'B.kriteria &amp; R.kecocokan'!$B$57</f>
        <v>Rendah</v>
      </c>
      <c r="U99" s="51">
        <f>_xlfn.IFS(T99="Rendah",'B.kriteria &amp; R.kecocokan'!$C$57,T99="Sedang",'B.kriteria &amp; R.kecocokan'!$C$58,T99="Tinggi",'B.kriteria &amp; R.kecocokan'!$C$59)</f>
        <v>2.5</v>
      </c>
      <c r="V99" s="51" t="str">
        <f>'B.kriteria &amp; R.kecocokan'!$B$65</f>
        <v>Rendah</v>
      </c>
      <c r="W99" s="9">
        <f>_xlfn.IFS(V99="Rendah",'B.kriteria &amp; R.kecocokan'!$C$65,V99="Sedang",'B.kriteria &amp; R.kecocokan'!$C$66,V99="Tinggi",'B.kriteria &amp; R.kecocokan'!$C$67)</f>
        <v>1</v>
      </c>
      <c r="X99" s="117">
        <f t="shared" si="7"/>
        <v>3.5355339059327378</v>
      </c>
      <c r="Y99" s="117">
        <f t="shared" si="8"/>
        <v>3.5355339059327378</v>
      </c>
      <c r="Z99" s="119">
        <f t="shared" si="9"/>
        <v>3.5355339059327378</v>
      </c>
      <c r="AA99" s="55" t="str">
        <f t="shared" si="10"/>
        <v>Tidak Layak</v>
      </c>
    </row>
    <row r="100" spans="1:27" x14ac:dyDescent="0.35">
      <c r="A100" s="1"/>
      <c r="B100" s="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52"/>
      <c r="V100" s="52"/>
      <c r="W100" s="52"/>
      <c r="X100" s="52"/>
      <c r="Y100" s="52"/>
      <c r="Z100" s="52"/>
      <c r="AA100" s="17"/>
    </row>
    <row r="101" spans="1:27" x14ac:dyDescent="0.35">
      <c r="A101" s="1"/>
      <c r="B101" s="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52"/>
      <c r="V101" s="52"/>
      <c r="W101" s="52"/>
      <c r="X101" s="52"/>
      <c r="Y101" s="52"/>
      <c r="Z101" s="52"/>
      <c r="AA101" s="17"/>
    </row>
    <row r="102" spans="1:27" x14ac:dyDescent="0.35">
      <c r="A102" s="1"/>
      <c r="B102" s="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52"/>
      <c r="V102" s="52"/>
      <c r="W102" s="52"/>
      <c r="X102" s="52"/>
      <c r="Y102" s="52"/>
      <c r="Z102" s="52"/>
      <c r="AA102" s="17"/>
    </row>
    <row r="103" spans="1:27" ht="15" thickBot="1" x14ac:dyDescent="0.4">
      <c r="A103" s="3"/>
      <c r="B103" s="4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53"/>
      <c r="V103" s="53"/>
      <c r="W103" s="53"/>
      <c r="X103" s="53"/>
      <c r="Y103" s="53"/>
      <c r="Z103" s="53"/>
      <c r="AA103" s="18"/>
    </row>
    <row r="104" spans="1:27" ht="15" thickTop="1" x14ac:dyDescent="0.35"/>
    <row r="105" spans="1:27" x14ac:dyDescent="0.35">
      <c r="X105" t="s">
        <v>407</v>
      </c>
    </row>
    <row r="106" spans="1:27" x14ac:dyDescent="0.35">
      <c r="W106" t="s">
        <v>408</v>
      </c>
      <c r="X106">
        <f>COUNTIF($AA$7:$AA$99,$AA$94)</f>
        <v>61</v>
      </c>
    </row>
    <row r="107" spans="1:27" x14ac:dyDescent="0.35">
      <c r="W107" t="s">
        <v>409</v>
      </c>
      <c r="X107">
        <f>COUNTIF($AA$7:$AA$99,$AA$98)</f>
        <v>32</v>
      </c>
    </row>
    <row r="108" spans="1:27" x14ac:dyDescent="0.35">
      <c r="B108" s="43" t="s">
        <v>411</v>
      </c>
      <c r="X108">
        <f>SUM(X106:X107)</f>
        <v>93</v>
      </c>
    </row>
    <row r="109" spans="1:27" x14ac:dyDescent="0.35">
      <c r="B109" s="80" t="s">
        <v>404</v>
      </c>
      <c r="C109" s="80"/>
      <c r="D109" s="80"/>
      <c r="E109" s="133">
        <f>(SUMIF($AA$7:$AA$99,$AA$94,E7:E99))/61</f>
        <v>5.5327868852459012</v>
      </c>
      <c r="F109" s="133">
        <f t="shared" ref="F109:W109" si="11">(SUMIF($AA$7:$AA$99,$AA$94,F7:F99))/61</f>
        <v>0</v>
      </c>
      <c r="G109" s="133">
        <f t="shared" si="11"/>
        <v>7.8278688524590168</v>
      </c>
      <c r="H109" s="133">
        <f t="shared" si="11"/>
        <v>0</v>
      </c>
      <c r="I109" s="133">
        <f t="shared" si="11"/>
        <v>2.9098360655737703</v>
      </c>
      <c r="J109" s="133">
        <f t="shared" si="11"/>
        <v>0</v>
      </c>
      <c r="K109" s="133">
        <f t="shared" si="11"/>
        <v>2.581967213114754</v>
      </c>
      <c r="L109" s="133">
        <f t="shared" si="11"/>
        <v>0</v>
      </c>
      <c r="M109" s="133">
        <f t="shared" si="11"/>
        <v>2.6639344262295084</v>
      </c>
      <c r="N109" s="133">
        <f t="shared" si="11"/>
        <v>0</v>
      </c>
      <c r="O109" s="133">
        <f t="shared" si="11"/>
        <v>5.2868852459016393</v>
      </c>
      <c r="P109" s="133">
        <f t="shared" si="11"/>
        <v>0</v>
      </c>
      <c r="Q109" s="133">
        <f t="shared" si="11"/>
        <v>1.4426229508196722</v>
      </c>
      <c r="R109" s="133">
        <f t="shared" si="11"/>
        <v>0</v>
      </c>
      <c r="S109" s="133">
        <f t="shared" si="11"/>
        <v>2.8688524590163933</v>
      </c>
      <c r="T109" s="133">
        <f t="shared" si="11"/>
        <v>0</v>
      </c>
      <c r="U109" s="133">
        <f t="shared" si="11"/>
        <v>3.1967213114754101</v>
      </c>
      <c r="V109" s="133">
        <f t="shared" si="11"/>
        <v>0</v>
      </c>
      <c r="W109" s="133">
        <f t="shared" si="11"/>
        <v>1.0163934426229508</v>
      </c>
    </row>
    <row r="110" spans="1:27" x14ac:dyDescent="0.35">
      <c r="B110" s="80" t="s">
        <v>405</v>
      </c>
      <c r="C110" s="80"/>
      <c r="D110" s="80"/>
      <c r="E110" s="133">
        <f>(SUMIF($AA$7:$AA$99,$AA$99,E7:E99))/32</f>
        <v>4.921875</v>
      </c>
      <c r="F110" s="133">
        <f t="shared" ref="F110:W110" si="12">(SUMIF($AA$7:$AA$99,$AA$99,F7:F99))/32</f>
        <v>0</v>
      </c>
      <c r="G110" s="133">
        <f t="shared" si="12"/>
        <v>8.125</v>
      </c>
      <c r="H110" s="133">
        <f t="shared" si="12"/>
        <v>0</v>
      </c>
      <c r="I110" s="133">
        <f t="shared" si="12"/>
        <v>3.4375</v>
      </c>
      <c r="J110" s="133">
        <f t="shared" si="12"/>
        <v>0</v>
      </c>
      <c r="K110" s="133">
        <f t="shared" si="12"/>
        <v>2.5</v>
      </c>
      <c r="L110" s="133">
        <f t="shared" si="12"/>
        <v>0</v>
      </c>
      <c r="M110" s="133">
        <f t="shared" si="12"/>
        <v>2.5</v>
      </c>
      <c r="N110" s="133">
        <f t="shared" si="12"/>
        <v>0</v>
      </c>
      <c r="O110" s="133">
        <f t="shared" si="12"/>
        <v>3.125</v>
      </c>
      <c r="P110" s="133">
        <f t="shared" si="12"/>
        <v>0</v>
      </c>
      <c r="Q110" s="133">
        <f t="shared" si="12"/>
        <v>4.765625</v>
      </c>
      <c r="R110" s="133">
        <f t="shared" si="12"/>
        <v>0</v>
      </c>
      <c r="S110" s="133">
        <f t="shared" si="12"/>
        <v>3.046875</v>
      </c>
      <c r="T110" s="133">
        <f t="shared" si="12"/>
        <v>0</v>
      </c>
      <c r="U110" s="133">
        <f t="shared" si="12"/>
        <v>3.28125</v>
      </c>
      <c r="V110" s="133">
        <f t="shared" si="12"/>
        <v>0</v>
      </c>
      <c r="W110" s="133">
        <f t="shared" si="12"/>
        <v>1</v>
      </c>
    </row>
    <row r="112" spans="1:27" ht="15" thickBot="1" x14ac:dyDescent="0.4"/>
    <row r="113" spans="1:27" ht="59" thickTop="1" thickBot="1" x14ac:dyDescent="0.4">
      <c r="A113" s="13" t="s">
        <v>0</v>
      </c>
      <c r="B113" s="15" t="s">
        <v>2</v>
      </c>
      <c r="C113" s="14" t="s">
        <v>3</v>
      </c>
      <c r="D113" s="14" t="s">
        <v>4</v>
      </c>
      <c r="E113" s="14" t="str">
        <f>$D$6</f>
        <v xml:space="preserve">Penghasilan </v>
      </c>
      <c r="F113" s="15" t="s">
        <v>5</v>
      </c>
      <c r="G113" s="15" t="str">
        <f>$F$6</f>
        <v>Luas Rumah</v>
      </c>
      <c r="H113" s="15" t="s">
        <v>6</v>
      </c>
      <c r="I113" s="15" t="str">
        <f>$H$6</f>
        <v xml:space="preserve">Status Kepemilikan Rumah </v>
      </c>
      <c r="J113" s="15" t="s">
        <v>21</v>
      </c>
      <c r="K113" s="15" t="str">
        <f>$J$6</f>
        <v>Sumber Air</v>
      </c>
      <c r="L113" s="15" t="s">
        <v>7</v>
      </c>
      <c r="M113" s="15" t="str">
        <f>$L$6</f>
        <v>ibu Hamil / menyusui</v>
      </c>
      <c r="N113" s="15" t="s">
        <v>8</v>
      </c>
      <c r="O113" s="15" t="str">
        <f>$N$6</f>
        <v>lansia</v>
      </c>
      <c r="P113" s="15" t="s">
        <v>25</v>
      </c>
      <c r="Q113" s="15" t="str">
        <f>$P$6</f>
        <v>jumlah tanggungan (Anak)</v>
      </c>
      <c r="R113" s="15" t="s">
        <v>9</v>
      </c>
      <c r="S113" s="15" t="str">
        <f>$R$6</f>
        <v>jenis dinding</v>
      </c>
      <c r="T113" s="15" t="s">
        <v>10</v>
      </c>
      <c r="U113" s="50" t="str">
        <f>$T$6</f>
        <v xml:space="preserve">jenis lantai </v>
      </c>
      <c r="V113" s="50" t="s">
        <v>11</v>
      </c>
      <c r="W113" s="120" t="str">
        <f>$V$6</f>
        <v>jenis atap</v>
      </c>
      <c r="X113" s="109" t="s">
        <v>400</v>
      </c>
      <c r="Y113" s="109" t="s">
        <v>401</v>
      </c>
      <c r="Z113" s="109" t="s">
        <v>402</v>
      </c>
      <c r="AA113" s="54" t="s">
        <v>403</v>
      </c>
    </row>
    <row r="114" spans="1:27" ht="15" thickTop="1" x14ac:dyDescent="0.35">
      <c r="A114" s="5">
        <v>1</v>
      </c>
      <c r="B114" s="6" t="s">
        <v>12</v>
      </c>
      <c r="C114" s="7" t="s">
        <v>13</v>
      </c>
      <c r="D114" s="32" t="str">
        <f>'B.kriteria &amp; R.kecocokan'!$B$24</f>
        <v>Cukup</v>
      </c>
      <c r="E114" s="111">
        <f>_xlfn.IFS(D114="Banyak",'B.kriteria &amp; R.kecocokan'!$C$23,D114="Cukup",'B.kriteria &amp; R.kecocokan'!$C$24,D114="Sedikit",'B.kriteria &amp; R.kecocokan'!$C$25)</f>
        <v>5</v>
      </c>
      <c r="F114" s="8" t="str">
        <f>'B.kriteria &amp; R.kecocokan'!$B$34</f>
        <v>Tinggi</v>
      </c>
      <c r="G114" s="8">
        <f>_xlfn.IFS(F114="Tinggi",'B.kriteria &amp; R.kecocokan'!$C$34,F114="Sangat Tinggi",'B.kriteria &amp; R.kecocokan'!$C$35)</f>
        <v>7.5</v>
      </c>
      <c r="H114" s="8" t="str">
        <f>'B.kriteria &amp; R.kecocokan'!$B$41</f>
        <v>Rendah</v>
      </c>
      <c r="I114" s="8">
        <f>_xlfn.IFS(H114="Rendah",'B.kriteria &amp; R.kecocokan'!$C$41,H114="Sedang",'B.kriteria &amp; R.kecocokan'!$C$42,H114="Tinggi",'B.kriteria &amp; R.kecocokan'!$C$43)</f>
        <v>2.5</v>
      </c>
      <c r="J114" s="8" t="str">
        <f>'B.kriteria &amp; R.kecocokan'!$B$72</f>
        <v>Rendah</v>
      </c>
      <c r="K114" s="8">
        <f>_xlfn.IFS(J114="Rendah",'B.kriteria &amp; R.kecocokan'!$C$72,J114="Sedang",'B.kriteria &amp; R.kecocokan'!$C$73,J114="Tinggi",'B.kriteria &amp; R.kecocokan'!$C$74)</f>
        <v>2.5</v>
      </c>
      <c r="L114" s="8" t="str">
        <f>'B.kriteria &amp; R.kecocokan'!$B$95</f>
        <v>Rendah</v>
      </c>
      <c r="M114" s="8">
        <f>_xlfn.IFS(L114="Rendah",'B.kriteria &amp; R.kecocokan'!$C$95,L114="Tinggi",'B.kriteria &amp; R.kecocokan'!$C$96)</f>
        <v>2.5</v>
      </c>
      <c r="N114" s="8" t="str">
        <f>'B.kriteria &amp; R.kecocokan'!$B$80</f>
        <v>Rendah</v>
      </c>
      <c r="O114" s="8">
        <f>_xlfn.IFS(N114="Rendah",'B.kriteria &amp; R.kecocokan'!$C$80,N114="Tinggi",'B.kriteria &amp; R.kecocokan'!$C$81)</f>
        <v>2.5</v>
      </c>
      <c r="P114" s="8" t="str">
        <f>'B.kriteria &amp; R.kecocokan'!$B$89</f>
        <v>Sedikit</v>
      </c>
      <c r="Q114" s="8">
        <f>_xlfn.IFS(P114="Sedikit",'B.kriteria &amp; R.kecocokan'!$C$89,P114="Sedang",'B.kriteria &amp; R.kecocokan'!$C$88,P114="Sangat Sedikit",'B.kriteria &amp; R.kecocokan'!$C$90)</f>
        <v>2.5</v>
      </c>
      <c r="R114" s="8" t="str">
        <f>'B.kriteria &amp; R.kecocokan'!$B$49</f>
        <v>Rendah</v>
      </c>
      <c r="S114" s="8">
        <f>_xlfn.IFS(R114="Rendah",'B.kriteria &amp; R.kecocokan'!$C$49,R114="Sedang",'B.kriteria &amp; R.kecocokan'!$C$50,R114="Tinggi",'B.kriteria &amp; R.kecocokan'!$C$51)</f>
        <v>2.5</v>
      </c>
      <c r="T114" s="8" t="str">
        <f>'B.kriteria &amp; R.kecocokan'!$B$57</f>
        <v>Rendah</v>
      </c>
      <c r="U114" s="51">
        <f>_xlfn.IFS(T114="Rendah",'B.kriteria &amp; R.kecocokan'!$C$57,T114="Sedang",'B.kriteria &amp; R.kecocokan'!$C$58,T114="Tinggi",'B.kriteria &amp; R.kecocokan'!$C$59)</f>
        <v>2.5</v>
      </c>
      <c r="V114" s="51" t="str">
        <f>'B.kriteria &amp; R.kecocokan'!$B$65</f>
        <v>Rendah</v>
      </c>
      <c r="W114" s="110">
        <f>_xlfn.IFS(V114="Rendah",'B.kriteria &amp; R.kecocokan'!$C$65,V114="Sedang",'B.kriteria &amp; R.kecocokan'!$C$66,V114="Tinggi",'B.kriteria &amp; R.kecocokan'!$C$67)</f>
        <v>1</v>
      </c>
      <c r="X114" s="116">
        <f>SQRT(((E114-$E$109)^2)+((G114-$G$109)^2)+((I114-$I$109)^2+((K114-$K$109)^2)+((M114-$M$109)^2)+((O114-$O$109)^2)+((Q114-$Q$109)^2)+((S114-$S$109)^2)+((U114-$U$109)^2)+((W114-$W$109)^2)))</f>
        <v>3.1779609241747817</v>
      </c>
      <c r="Y114" s="116">
        <f>SQRT(((E114-$E$110)^2)+((G114-$G$110)^2)+((I114-$I$110)^2)+((K114-$K$110)^2)+((M114-$M$110)^2+((O114-$O$110)^2)+((Q114-$Q$110)^2)+((S114-$S$110)^2)+((U114-$U$110)^2)+((W114-$W$110)^2)))</f>
        <v>2.7764618193620096</v>
      </c>
      <c r="Z114" s="118">
        <f>MIN(X114:Y114)</f>
        <v>2.7764618193620096</v>
      </c>
      <c r="AA114" s="121" t="str">
        <f>IF(X114&lt;Y114,"Layak","Tidak Layak")</f>
        <v>Tidak Layak</v>
      </c>
    </row>
    <row r="115" spans="1:27" x14ac:dyDescent="0.35">
      <c r="A115" s="1">
        <v>2</v>
      </c>
      <c r="B115" s="2" t="s">
        <v>24</v>
      </c>
      <c r="C115" s="11" t="s">
        <v>13</v>
      </c>
      <c r="D115" s="32" t="str">
        <f>'B.kriteria &amp; R.kecocokan'!$B$24</f>
        <v>Cukup</v>
      </c>
      <c r="E115" s="111">
        <f>_xlfn.IFS(D115="Banyak",'B.kriteria &amp; R.kecocokan'!$C$23,D115="Cukup",'B.kriteria &amp; R.kecocokan'!$C$24,D115="Sedikit",'B.kriteria &amp; R.kecocokan'!$C$25)</f>
        <v>5</v>
      </c>
      <c r="F115" s="9" t="str">
        <f>'B.kriteria &amp; R.kecocokan'!$B$34</f>
        <v>Tinggi</v>
      </c>
      <c r="G115" s="8">
        <f>_xlfn.IFS(F115="Tinggi",'B.kriteria &amp; R.kecocokan'!$C$34,F115="Sangat Tinggi",'B.kriteria &amp; R.kecocokan'!$C$35)</f>
        <v>7.5</v>
      </c>
      <c r="H115" s="8" t="str">
        <f>'B.kriteria &amp; R.kecocokan'!$B$41</f>
        <v>Rendah</v>
      </c>
      <c r="I115" s="8">
        <f>_xlfn.IFS(H115="Rendah",'B.kriteria &amp; R.kecocokan'!$C$41,H115="Sedang",'B.kriteria &amp; R.kecocokan'!$C$42,H115="Tinggi",'B.kriteria &amp; R.kecocokan'!$C$43)</f>
        <v>2.5</v>
      </c>
      <c r="J115" s="8" t="str">
        <f>'B.kriteria &amp; R.kecocokan'!$B$72</f>
        <v>Rendah</v>
      </c>
      <c r="K115" s="8">
        <f>_xlfn.IFS(J115="Rendah",'B.kriteria &amp; R.kecocokan'!$C$72,J115="Sedang",'B.kriteria &amp; R.kecocokan'!$C$73,J115="Tinggi",'B.kriteria &amp; R.kecocokan'!$C$74)</f>
        <v>2.5</v>
      </c>
      <c r="L115" s="8" t="str">
        <f>'B.kriteria &amp; R.kecocokan'!$B$95</f>
        <v>Rendah</v>
      </c>
      <c r="M115" s="8">
        <f>_xlfn.IFS(L115="Rendah",'B.kriteria &amp; R.kecocokan'!$C$95,L115="Tinggi",'B.kriteria &amp; R.kecocokan'!$C$96)</f>
        <v>2.5</v>
      </c>
      <c r="N115" s="9" t="str">
        <f>'B.kriteria &amp; R.kecocokan'!$B$81</f>
        <v>Tinggi</v>
      </c>
      <c r="O115" s="8">
        <f>_xlfn.IFS(N115="Rendah",'B.kriteria &amp; R.kecocokan'!$C$80,N115="Tinggi",'B.kriteria &amp; R.kecocokan'!$C$81)</f>
        <v>7.5</v>
      </c>
      <c r="P115" s="9" t="str">
        <f>'B.kriteria &amp; R.kecocokan'!$B$90</f>
        <v>Sangat Sedikit</v>
      </c>
      <c r="Q115" s="8">
        <f>_xlfn.IFS(P115="Sedikit",'B.kriteria &amp; R.kecocokan'!$C$89,P115="Sedang",'B.kriteria &amp; R.kecocokan'!$C$88,P115="Sangat Sedikit",'B.kriteria &amp; R.kecocokan'!$C$90)</f>
        <v>1</v>
      </c>
      <c r="R115" s="8" t="str">
        <f>'B.kriteria &amp; R.kecocokan'!$B$49</f>
        <v>Rendah</v>
      </c>
      <c r="S115" s="8">
        <f>_xlfn.IFS(R115="Rendah",'B.kriteria &amp; R.kecocokan'!$C$49,R115="Sedang",'B.kriteria &amp; R.kecocokan'!$C$50,R115="Tinggi",'B.kriteria &amp; R.kecocokan'!$C$51)</f>
        <v>2.5</v>
      </c>
      <c r="T115" s="8" t="str">
        <f>'B.kriteria &amp; R.kecocokan'!$B$57</f>
        <v>Rendah</v>
      </c>
      <c r="U115" s="51">
        <f>_xlfn.IFS(T115="Rendah",'B.kriteria &amp; R.kecocokan'!$C$57,T115="Sedang",'B.kriteria &amp; R.kecocokan'!$C$58,T115="Tinggi",'B.kriteria &amp; R.kecocokan'!$C$59)</f>
        <v>2.5</v>
      </c>
      <c r="V115" s="51" t="str">
        <f>'B.kriteria &amp; R.kecocokan'!$B$65</f>
        <v>Rendah</v>
      </c>
      <c r="W115" s="9">
        <f>_xlfn.IFS(V115="Rendah",'B.kriteria &amp; R.kecocokan'!$C$65,V115="Sedang",'B.kriteria &amp; R.kecocokan'!$C$66,V115="Tinggi",'B.kriteria &amp; R.kecocokan'!$C$67)</f>
        <v>1</v>
      </c>
      <c r="X115" s="117">
        <f>SQRT(((E115-$E$109)^2)+((G115-$G$109)^2)+((I115-$I$109)^2+((K115-$K$109)^2)+((M115-$M$109)^2)+((O115-$O$109)^2)+((Q115-$Q$109)^2)+((S115-$S$109)^2)+((U115-$U$109)^2)+((W115-$W$109)^2)))</f>
        <v>2.5116631997591665</v>
      </c>
      <c r="Y115" s="117">
        <f>SQRT(((E115-$E$4)^2)+((G115-$G$4)^2)+((I115-$I$4)^2)+((K115-$K$4)^2)+((M115-$M$4)^2+((O115-$O$4)^2)+((Q115-$Q$4)^2)+((S115-$S$4)^2)+((U115-$U$4)^2)+((W115-$W$4)^2)))</f>
        <v>6.8738635424337602</v>
      </c>
      <c r="Z115" s="119">
        <f>MIN(X115:Y115)</f>
        <v>2.5116631997591665</v>
      </c>
      <c r="AA115" s="55" t="str">
        <f>IF(X115&lt;Y115,"Layak","Tidak Layak")</f>
        <v>Layak</v>
      </c>
    </row>
    <row r="116" spans="1:27" x14ac:dyDescent="0.35">
      <c r="A116" s="5">
        <v>3</v>
      </c>
      <c r="B116" s="2" t="s">
        <v>26</v>
      </c>
      <c r="C116" s="11" t="s">
        <v>13</v>
      </c>
      <c r="D116" s="9" t="str">
        <f>'B.kriteria &amp; R.kecocokan'!$B$23</f>
        <v>Banyak</v>
      </c>
      <c r="E116" s="111">
        <f>_xlfn.IFS(D116="Banyak",'B.kriteria &amp; R.kecocokan'!$C$23,D116="Cukup",'B.kriteria &amp; R.kecocokan'!$C$24,D116="Sedikit",'B.kriteria &amp; R.kecocokan'!$C$25)</f>
        <v>2.5</v>
      </c>
      <c r="F116" s="9" t="str">
        <f>'B.kriteria &amp; R.kecocokan'!$B$34</f>
        <v>Tinggi</v>
      </c>
      <c r="G116" s="8">
        <f>_xlfn.IFS(F116="Tinggi",'B.kriteria &amp; R.kecocokan'!$C$34,F116="Sangat Tinggi",'B.kriteria &amp; R.kecocokan'!$C$35)</f>
        <v>7.5</v>
      </c>
      <c r="H116" s="8" t="str">
        <f>'B.kriteria &amp; R.kecocokan'!$B$41</f>
        <v>Rendah</v>
      </c>
      <c r="I116" s="8">
        <f>_xlfn.IFS(H116="Rendah",'B.kriteria &amp; R.kecocokan'!$C$41,H116="Sedang",'B.kriteria &amp; R.kecocokan'!$C$42,H116="Tinggi",'B.kriteria &amp; R.kecocokan'!$C$43)</f>
        <v>2.5</v>
      </c>
      <c r="J116" s="8" t="str">
        <f>'B.kriteria &amp; R.kecocokan'!$B$72</f>
        <v>Rendah</v>
      </c>
      <c r="K116" s="8">
        <f>_xlfn.IFS(J116="Rendah",'B.kriteria &amp; R.kecocokan'!$C$72,J116="Sedang",'B.kriteria &amp; R.kecocokan'!$C$73,J116="Tinggi",'B.kriteria &amp; R.kecocokan'!$C$74)</f>
        <v>2.5</v>
      </c>
      <c r="L116" s="8" t="str">
        <f>'B.kriteria &amp; R.kecocokan'!$B$95</f>
        <v>Rendah</v>
      </c>
      <c r="M116" s="8">
        <f>_xlfn.IFS(L116="Rendah",'B.kriteria &amp; R.kecocokan'!$C$95,L116="Tinggi",'B.kriteria &amp; R.kecocokan'!$C$96)</f>
        <v>2.5</v>
      </c>
      <c r="N116" s="8" t="str">
        <f>'B.kriteria &amp; R.kecocokan'!$B$80</f>
        <v>Rendah</v>
      </c>
      <c r="O116" s="8">
        <f>_xlfn.IFS(N116="Rendah",'B.kriteria &amp; R.kecocokan'!$C$80,N116="Tinggi",'B.kriteria &amp; R.kecocokan'!$C$81)</f>
        <v>2.5</v>
      </c>
      <c r="P116" s="9" t="str">
        <f>'B.kriteria &amp; R.kecocokan'!$B$90</f>
        <v>Sangat Sedikit</v>
      </c>
      <c r="Q116" s="8">
        <f>_xlfn.IFS(P116="Sedikit",'B.kriteria &amp; R.kecocokan'!$C$89,P116="Sedang",'B.kriteria &amp; R.kecocokan'!$C$88,P116="Sangat Sedikit",'B.kriteria &amp; R.kecocokan'!$C$90)</f>
        <v>1</v>
      </c>
      <c r="R116" s="8" t="str">
        <f>'B.kriteria &amp; R.kecocokan'!$B$49</f>
        <v>Rendah</v>
      </c>
      <c r="S116" s="8">
        <f>_xlfn.IFS(R116="Rendah",'B.kriteria &amp; R.kecocokan'!$C$49,R116="Sedang",'B.kriteria &amp; R.kecocokan'!$C$50,R116="Tinggi",'B.kriteria &amp; R.kecocokan'!$C$51)</f>
        <v>2.5</v>
      </c>
      <c r="T116" s="8" t="str">
        <f>'B.kriteria &amp; R.kecocokan'!$B$57</f>
        <v>Rendah</v>
      </c>
      <c r="U116" s="51">
        <f>_xlfn.IFS(T116="Rendah",'B.kriteria &amp; R.kecocokan'!$C$57,T116="Sedang",'B.kriteria &amp; R.kecocokan'!$C$58,T116="Tinggi",'B.kriteria &amp; R.kecocokan'!$C$59)</f>
        <v>2.5</v>
      </c>
      <c r="V116" s="51" t="str">
        <f>'B.kriteria &amp; R.kecocokan'!$B$65</f>
        <v>Rendah</v>
      </c>
      <c r="W116" s="9">
        <f>_xlfn.IFS(V116="Rendah",'B.kriteria &amp; R.kecocokan'!$C$65,V116="Sedang",'B.kriteria &amp; R.kecocokan'!$C$66,V116="Tinggi",'B.kriteria &amp; R.kecocokan'!$C$67)</f>
        <v>1</v>
      </c>
      <c r="X116" s="117">
        <f t="shared" ref="X116:X179" si="13">SQRT(((E116-$E$109)^2)+((G116-$G$109)^2)+((I116-$I$109)^2+((K116-$K$109)^2)+((M116-$M$109)^2)+((O116-$O$109)^2)+((Q116-$Q$109)^2)+((S116-$S$109)^2)+((U116-$U$109)^2)+((W116-$W$109)^2)))</f>
        <v>4.2533797049252913</v>
      </c>
      <c r="Y116" s="117">
        <f t="shared" ref="Y116:Y179" si="14">SQRT(((E116-$E$4)^2)+((G116-$G$4)^2)+((I116-$I$4)^2)+((K116-$K$4)^2)+((M116-$M$4)^2+((O116-$O$4)^2)+((Q116-$Q$4)^2)+((S116-$S$4)^2)+((U116-$U$4)^2)+((W116-$W$4)^2)))</f>
        <v>5.3385391260156556</v>
      </c>
      <c r="Z116" s="119">
        <f t="shared" ref="Z116:Z179" si="15">MIN(X116:Y116)</f>
        <v>4.2533797049252913</v>
      </c>
      <c r="AA116" s="55" t="str">
        <f t="shared" ref="AA116:AA179" si="16">IF(X116&lt;Y116,"Layak","Tidak Layak")</f>
        <v>Layak</v>
      </c>
    </row>
    <row r="117" spans="1:27" x14ac:dyDescent="0.35">
      <c r="A117" s="134">
        <v>4</v>
      </c>
      <c r="B117" s="135" t="s">
        <v>27</v>
      </c>
      <c r="C117" s="136" t="s">
        <v>13</v>
      </c>
      <c r="D117" s="137" t="str">
        <f>'B.kriteria &amp; R.kecocokan'!$B$24</f>
        <v>Cukup</v>
      </c>
      <c r="E117" s="138">
        <f>_xlfn.IFS(D117="Banyak",'B.kriteria &amp; R.kecocokan'!$C$23,D117="Cukup",'B.kriteria &amp; R.kecocokan'!$C$24,D117="Sedikit",'B.kriteria &amp; R.kecocokan'!$C$25)</f>
        <v>5</v>
      </c>
      <c r="F117" s="139" t="str">
        <f>'B.kriteria &amp; R.kecocokan'!$B$34</f>
        <v>Tinggi</v>
      </c>
      <c r="G117" s="140">
        <f>_xlfn.IFS(F117="Tinggi",'B.kriteria &amp; R.kecocokan'!$C$34,F117="Sangat Tinggi",'B.kriteria &amp; R.kecocokan'!$C$35)</f>
        <v>7.5</v>
      </c>
      <c r="H117" s="140" t="str">
        <f>'B.kriteria &amp; R.kecocokan'!$B$41</f>
        <v>Rendah</v>
      </c>
      <c r="I117" s="140">
        <f>_xlfn.IFS(H117="Rendah",'B.kriteria &amp; R.kecocokan'!$C$41,H117="Sedang",'B.kriteria &amp; R.kecocokan'!$C$42,H117="Tinggi",'B.kriteria &amp; R.kecocokan'!$C$43)</f>
        <v>2.5</v>
      </c>
      <c r="J117" s="140" t="str">
        <f>'B.kriteria &amp; R.kecocokan'!$B$72</f>
        <v>Rendah</v>
      </c>
      <c r="K117" s="140">
        <f>_xlfn.IFS(J117="Rendah",'B.kriteria &amp; R.kecocokan'!$C$72,J117="Sedang",'B.kriteria &amp; R.kecocokan'!$C$73,J117="Tinggi",'B.kriteria &amp; R.kecocokan'!$C$74)</f>
        <v>2.5</v>
      </c>
      <c r="L117" s="140" t="str">
        <f>'B.kriteria &amp; R.kecocokan'!$B$95</f>
        <v>Rendah</v>
      </c>
      <c r="M117" s="140">
        <f>_xlfn.IFS(L117="Rendah",'B.kriteria &amp; R.kecocokan'!$C$95,L117="Tinggi",'B.kriteria &amp; R.kecocokan'!$C$96)</f>
        <v>2.5</v>
      </c>
      <c r="N117" s="140" t="str">
        <f>'B.kriteria &amp; R.kecocokan'!$B$80</f>
        <v>Rendah</v>
      </c>
      <c r="O117" s="140">
        <f>_xlfn.IFS(N117="Rendah",'B.kriteria &amp; R.kecocokan'!$C$80,N117="Tinggi",'B.kriteria &amp; R.kecocokan'!$C$81)</f>
        <v>2.5</v>
      </c>
      <c r="P117" s="140" t="str">
        <f>'B.kriteria &amp; R.kecocokan'!$B$89</f>
        <v>Sedikit</v>
      </c>
      <c r="Q117" s="140">
        <f>_xlfn.IFS(P117="Sedikit",'B.kriteria &amp; R.kecocokan'!$C$89,P117="Sedang",'B.kriteria &amp; R.kecocokan'!$C$88,P117="Sangat Sedikit",'B.kriteria &amp; R.kecocokan'!$C$90)</f>
        <v>2.5</v>
      </c>
      <c r="R117" s="140" t="str">
        <f>'B.kriteria &amp; R.kecocokan'!$B$49</f>
        <v>Rendah</v>
      </c>
      <c r="S117" s="140">
        <f>_xlfn.IFS(R117="Rendah",'B.kriteria &amp; R.kecocokan'!$C$49,R117="Sedang",'B.kriteria &amp; R.kecocokan'!$C$50,R117="Tinggi",'B.kriteria &amp; R.kecocokan'!$C$51)</f>
        <v>2.5</v>
      </c>
      <c r="T117" s="140" t="str">
        <f>'B.kriteria &amp; R.kecocokan'!$B$57</f>
        <v>Rendah</v>
      </c>
      <c r="U117" s="141">
        <f>_xlfn.IFS(T117="Rendah",'B.kriteria &amp; R.kecocokan'!$C$57,T117="Sedang",'B.kriteria &amp; R.kecocokan'!$C$58,T117="Tinggi",'B.kriteria &amp; R.kecocokan'!$C$59)</f>
        <v>2.5</v>
      </c>
      <c r="V117" s="141" t="str">
        <f>'B.kriteria &amp; R.kecocokan'!$B$65</f>
        <v>Rendah</v>
      </c>
      <c r="W117" s="139">
        <f>_xlfn.IFS(V117="Rendah",'B.kriteria &amp; R.kecocokan'!$C$65,V117="Sedang",'B.kriteria &amp; R.kecocokan'!$C$66,V117="Tinggi",'B.kriteria &amp; R.kecocokan'!$C$67)</f>
        <v>1</v>
      </c>
      <c r="X117" s="142">
        <f t="shared" si="13"/>
        <v>3.1779609241747817</v>
      </c>
      <c r="Y117" s="142">
        <f t="shared" si="14"/>
        <v>3.5355339059327378</v>
      </c>
      <c r="Z117" s="143">
        <f t="shared" si="15"/>
        <v>3.1779609241747817</v>
      </c>
      <c r="AA117" s="144" t="str">
        <f t="shared" si="16"/>
        <v>Layak</v>
      </c>
    </row>
    <row r="118" spans="1:27" x14ac:dyDescent="0.35">
      <c r="A118" s="1">
        <v>5</v>
      </c>
      <c r="B118" s="2" t="s">
        <v>31</v>
      </c>
      <c r="C118" s="11" t="s">
        <v>95</v>
      </c>
      <c r="D118" s="32" t="str">
        <f>'B.kriteria &amp; R.kecocokan'!$B$24</f>
        <v>Cukup</v>
      </c>
      <c r="E118" s="111">
        <f>_xlfn.IFS(D118="Banyak",'B.kriteria &amp; R.kecocokan'!$C$23,D118="Cukup",'B.kriteria &amp; R.kecocokan'!$C$24,D118="Sedikit",'B.kriteria &amp; R.kecocokan'!$C$25)</f>
        <v>5</v>
      </c>
      <c r="F118" s="9" t="str">
        <f>'B.kriteria &amp; R.kecocokan'!$B$34</f>
        <v>Tinggi</v>
      </c>
      <c r="G118" s="8">
        <f>_xlfn.IFS(F118="Tinggi",'B.kriteria &amp; R.kecocokan'!$C$34,F118="Sangat Tinggi",'B.kriteria &amp; R.kecocokan'!$C$35)</f>
        <v>7.5</v>
      </c>
      <c r="H118" s="8" t="str">
        <f>'B.kriteria &amp; R.kecocokan'!$B$41</f>
        <v>Rendah</v>
      </c>
      <c r="I118" s="8">
        <f>_xlfn.IFS(H118="Rendah",'B.kriteria &amp; R.kecocokan'!$C$41,H118="Sedang",'B.kriteria &amp; R.kecocokan'!$C$42,H118="Tinggi",'B.kriteria &amp; R.kecocokan'!$C$43)</f>
        <v>2.5</v>
      </c>
      <c r="J118" s="8" t="str">
        <f>'B.kriteria &amp; R.kecocokan'!$B$72</f>
        <v>Rendah</v>
      </c>
      <c r="K118" s="8">
        <f>_xlfn.IFS(J118="Rendah",'B.kriteria &amp; R.kecocokan'!$C$72,J118="Sedang",'B.kriteria &amp; R.kecocokan'!$C$73,J118="Tinggi",'B.kriteria &amp; R.kecocokan'!$C$74)</f>
        <v>2.5</v>
      </c>
      <c r="L118" s="8" t="str">
        <f>'B.kriteria &amp; R.kecocokan'!$B$95</f>
        <v>Rendah</v>
      </c>
      <c r="M118" s="8">
        <f>_xlfn.IFS(L118="Rendah",'B.kriteria &amp; R.kecocokan'!$C$95,L118="Tinggi",'B.kriteria &amp; R.kecocokan'!$C$96)</f>
        <v>2.5</v>
      </c>
      <c r="N118" s="8" t="str">
        <f>'B.kriteria &amp; R.kecocokan'!$B$80</f>
        <v>Rendah</v>
      </c>
      <c r="O118" s="8">
        <f>_xlfn.IFS(N118="Rendah",'B.kriteria &amp; R.kecocokan'!$C$80,N118="Tinggi",'B.kriteria &amp; R.kecocokan'!$C$81)</f>
        <v>2.5</v>
      </c>
      <c r="P118" s="9" t="str">
        <f>'B.kriteria &amp; R.kecocokan'!$B$88</f>
        <v>Sedang</v>
      </c>
      <c r="Q118" s="8">
        <f>_xlfn.IFS(P118="Sedikit",'B.kriteria &amp; R.kecocokan'!$C$89,P118="Sedang",'B.kriteria &amp; R.kecocokan'!$C$88,P118="Sangat Sedikit",'B.kriteria &amp; R.kecocokan'!$C$90)</f>
        <v>5</v>
      </c>
      <c r="R118" s="8" t="str">
        <f>'B.kriteria &amp; R.kecocokan'!$B$49</f>
        <v>Rendah</v>
      </c>
      <c r="S118" s="8">
        <f>_xlfn.IFS(R118="Rendah",'B.kriteria &amp; R.kecocokan'!$C$49,R118="Sedang",'B.kriteria &amp; R.kecocokan'!$C$50,R118="Tinggi",'B.kriteria &amp; R.kecocokan'!$C$51)</f>
        <v>2.5</v>
      </c>
      <c r="T118" s="8" t="str">
        <f>'B.kriteria &amp; R.kecocokan'!$B$57</f>
        <v>Rendah</v>
      </c>
      <c r="U118" s="51">
        <f>_xlfn.IFS(T118="Rendah",'B.kriteria &amp; R.kecocokan'!$C$57,T118="Sedang",'B.kriteria &amp; R.kecocokan'!$C$58,T118="Tinggi",'B.kriteria &amp; R.kecocokan'!$C$59)</f>
        <v>2.5</v>
      </c>
      <c r="V118" s="51" t="str">
        <f>'B.kriteria &amp; R.kecocokan'!$B$65</f>
        <v>Rendah</v>
      </c>
      <c r="W118" s="9">
        <f>_xlfn.IFS(V118="Rendah",'B.kriteria &amp; R.kecocokan'!$C$65,V118="Sedang",'B.kriteria &amp; R.kecocokan'!$C$66,V118="Tinggi",'B.kriteria &amp; R.kecocokan'!$C$67)</f>
        <v>1</v>
      </c>
      <c r="X118" s="117">
        <f t="shared" si="13"/>
        <v>4.6514858788868185</v>
      </c>
      <c r="Y118" s="117">
        <f t="shared" si="14"/>
        <v>2.5</v>
      </c>
      <c r="Z118" s="119">
        <f t="shared" si="15"/>
        <v>2.5</v>
      </c>
      <c r="AA118" s="55" t="str">
        <f t="shared" si="16"/>
        <v>Tidak Layak</v>
      </c>
    </row>
    <row r="119" spans="1:27" x14ac:dyDescent="0.35">
      <c r="A119" s="5">
        <v>6</v>
      </c>
      <c r="B119" s="2" t="s">
        <v>32</v>
      </c>
      <c r="C119" s="11" t="s">
        <v>13</v>
      </c>
      <c r="D119" s="9" t="str">
        <f>'B.kriteria &amp; R.kecocokan'!$B$23</f>
        <v>Banyak</v>
      </c>
      <c r="E119" s="111">
        <f>_xlfn.IFS(D119="Banyak",'B.kriteria &amp; R.kecocokan'!$C$23,D119="Cukup",'B.kriteria &amp; R.kecocokan'!$C$24,D119="Sedikit",'B.kriteria &amp; R.kecocokan'!$C$25)</f>
        <v>2.5</v>
      </c>
      <c r="F119" s="9" t="str">
        <f>'B.kriteria &amp; R.kecocokan'!$B$34</f>
        <v>Tinggi</v>
      </c>
      <c r="G119" s="8">
        <f>_xlfn.IFS(F119="Tinggi",'B.kriteria &amp; R.kecocokan'!$C$34,F119="Sangat Tinggi",'B.kriteria &amp; R.kecocokan'!$C$35)</f>
        <v>7.5</v>
      </c>
      <c r="H119" s="8" t="str">
        <f>'B.kriteria &amp; R.kecocokan'!$B$41</f>
        <v>Rendah</v>
      </c>
      <c r="I119" s="8">
        <f>_xlfn.IFS(H119="Rendah",'B.kriteria &amp; R.kecocokan'!$C$41,H119="Sedang",'B.kriteria &amp; R.kecocokan'!$C$42,H119="Tinggi",'B.kriteria &amp; R.kecocokan'!$C$43)</f>
        <v>2.5</v>
      </c>
      <c r="J119" s="8" t="str">
        <f>'B.kriteria &amp; R.kecocokan'!$B$72</f>
        <v>Rendah</v>
      </c>
      <c r="K119" s="8">
        <f>_xlfn.IFS(J119="Rendah",'B.kriteria &amp; R.kecocokan'!$C$72,J119="Sedang",'B.kriteria &amp; R.kecocokan'!$C$73,J119="Tinggi",'B.kriteria &amp; R.kecocokan'!$C$74)</f>
        <v>2.5</v>
      </c>
      <c r="L119" s="8" t="str">
        <f>'B.kriteria &amp; R.kecocokan'!$B$95</f>
        <v>Rendah</v>
      </c>
      <c r="M119" s="8">
        <f>_xlfn.IFS(L119="Rendah",'B.kriteria &amp; R.kecocokan'!$C$95,L119="Tinggi",'B.kriteria &amp; R.kecocokan'!$C$96)</f>
        <v>2.5</v>
      </c>
      <c r="N119" s="8" t="str">
        <f>'B.kriteria &amp; R.kecocokan'!$B$80</f>
        <v>Rendah</v>
      </c>
      <c r="O119" s="8">
        <f>_xlfn.IFS(N119="Rendah",'B.kriteria &amp; R.kecocokan'!$C$80,N119="Tinggi",'B.kriteria &amp; R.kecocokan'!$C$81)</f>
        <v>2.5</v>
      </c>
      <c r="P119" s="8" t="str">
        <f>'B.kriteria &amp; R.kecocokan'!$B$89</f>
        <v>Sedikit</v>
      </c>
      <c r="Q119" s="8">
        <f>_xlfn.IFS(P119="Sedikit",'B.kriteria &amp; R.kecocokan'!$C$89,P119="Sedang",'B.kriteria &amp; R.kecocokan'!$C$88,P119="Sangat Sedikit",'B.kriteria &amp; R.kecocokan'!$C$90)</f>
        <v>2.5</v>
      </c>
      <c r="R119" s="8" t="str">
        <f>'B.kriteria &amp; R.kecocokan'!$B$49</f>
        <v>Rendah</v>
      </c>
      <c r="S119" s="8">
        <f>_xlfn.IFS(R119="Rendah",'B.kriteria &amp; R.kecocokan'!$C$49,R119="Sedang",'B.kriteria &amp; R.kecocokan'!$C$50,R119="Tinggi",'B.kriteria &amp; R.kecocokan'!$C$51)</f>
        <v>2.5</v>
      </c>
      <c r="T119" s="8" t="str">
        <f>'B.kriteria &amp; R.kecocokan'!$B$57</f>
        <v>Rendah</v>
      </c>
      <c r="U119" s="51">
        <f>_xlfn.IFS(T119="Rendah",'B.kriteria &amp; R.kecocokan'!$C$57,T119="Sedang",'B.kriteria &amp; R.kecocokan'!$C$58,T119="Tinggi",'B.kriteria &amp; R.kecocokan'!$C$59)</f>
        <v>2.5</v>
      </c>
      <c r="V119" s="51" t="str">
        <f>'B.kriteria &amp; R.kecocokan'!$B$65</f>
        <v>Rendah</v>
      </c>
      <c r="W119" s="9">
        <f>_xlfn.IFS(V119="Rendah",'B.kriteria &amp; R.kecocokan'!$C$65,V119="Sedang",'B.kriteria &amp; R.kecocokan'!$C$66,V119="Tinggi",'B.kriteria &amp; R.kecocokan'!$C$67)</f>
        <v>1</v>
      </c>
      <c r="X119" s="117">
        <f t="shared" si="13"/>
        <v>4.3604323251039379</v>
      </c>
      <c r="Y119" s="117">
        <f t="shared" si="14"/>
        <v>4.3301270189221936</v>
      </c>
      <c r="Z119" s="119">
        <f t="shared" si="15"/>
        <v>4.3301270189221936</v>
      </c>
      <c r="AA119" s="55" t="str">
        <f t="shared" si="16"/>
        <v>Tidak Layak</v>
      </c>
    </row>
    <row r="120" spans="1:27" x14ac:dyDescent="0.35">
      <c r="A120" s="5">
        <v>7</v>
      </c>
      <c r="B120" s="2" t="s">
        <v>34</v>
      </c>
      <c r="C120" s="11" t="s">
        <v>13</v>
      </c>
      <c r="D120" s="9" t="str">
        <f>'B.kriteria &amp; R.kecocokan'!$B$23</f>
        <v>Banyak</v>
      </c>
      <c r="E120" s="111">
        <f>_xlfn.IFS(D120="Banyak",'B.kriteria &amp; R.kecocokan'!$C$23,D120="Cukup",'B.kriteria &amp; R.kecocokan'!$C$24,D120="Sedikit",'B.kriteria &amp; R.kecocokan'!$C$25)</f>
        <v>2.5</v>
      </c>
      <c r="F120" s="9" t="str">
        <f>'B.kriteria &amp; R.kecocokan'!$B$34</f>
        <v>Tinggi</v>
      </c>
      <c r="G120" s="8">
        <f>_xlfn.IFS(F120="Tinggi",'B.kriteria &amp; R.kecocokan'!$C$34,F120="Sangat Tinggi",'B.kriteria &amp; R.kecocokan'!$C$35)</f>
        <v>7.5</v>
      </c>
      <c r="H120" s="8" t="str">
        <f>'B.kriteria &amp; R.kecocokan'!$B$41</f>
        <v>Rendah</v>
      </c>
      <c r="I120" s="8">
        <f>_xlfn.IFS(H120="Rendah",'B.kriteria &amp; R.kecocokan'!$C$41,H120="Sedang",'B.kriteria &amp; R.kecocokan'!$C$42,H120="Tinggi",'B.kriteria &amp; R.kecocokan'!$C$43)</f>
        <v>2.5</v>
      </c>
      <c r="J120" s="8" t="str">
        <f>'B.kriteria &amp; R.kecocokan'!$B$72</f>
        <v>Rendah</v>
      </c>
      <c r="K120" s="8">
        <f>_xlfn.IFS(J120="Rendah",'B.kriteria &amp; R.kecocokan'!$C$72,J120="Sedang",'B.kriteria &amp; R.kecocokan'!$C$73,J120="Tinggi",'B.kriteria &amp; R.kecocokan'!$C$74)</f>
        <v>2.5</v>
      </c>
      <c r="L120" s="8" t="str">
        <f>'B.kriteria &amp; R.kecocokan'!$B$95</f>
        <v>Rendah</v>
      </c>
      <c r="M120" s="8">
        <f>_xlfn.IFS(L120="Rendah",'B.kriteria &amp; R.kecocokan'!$C$95,L120="Tinggi",'B.kriteria &amp; R.kecocokan'!$C$96)</f>
        <v>2.5</v>
      </c>
      <c r="N120" s="9" t="str">
        <f>'B.kriteria &amp; R.kecocokan'!$B$81</f>
        <v>Tinggi</v>
      </c>
      <c r="O120" s="8">
        <f>_xlfn.IFS(N120="Rendah",'B.kriteria &amp; R.kecocokan'!$C$80,N120="Tinggi",'B.kriteria &amp; R.kecocokan'!$C$81)</f>
        <v>7.5</v>
      </c>
      <c r="P120" s="9" t="str">
        <f>'B.kriteria &amp; R.kecocokan'!$B$88</f>
        <v>Sedang</v>
      </c>
      <c r="Q120" s="8">
        <f>_xlfn.IFS(P120="Sedikit",'B.kriteria &amp; R.kecocokan'!$C$89,P120="Sedang",'B.kriteria &amp; R.kecocokan'!$C$88,P120="Sangat Sedikit",'B.kriteria &amp; R.kecocokan'!$C$90)</f>
        <v>5</v>
      </c>
      <c r="R120" s="8" t="str">
        <f>'B.kriteria &amp; R.kecocokan'!$B$49</f>
        <v>Rendah</v>
      </c>
      <c r="S120" s="8">
        <f>_xlfn.IFS(R120="Rendah",'B.kriteria &amp; R.kecocokan'!$C$49,R120="Sedang",'B.kriteria &amp; R.kecocokan'!$C$50,R120="Tinggi",'B.kriteria &amp; R.kecocokan'!$C$51)</f>
        <v>2.5</v>
      </c>
      <c r="T120" s="8" t="str">
        <f>'B.kriteria &amp; R.kecocokan'!$B$57</f>
        <v>Rendah</v>
      </c>
      <c r="U120" s="51">
        <f>_xlfn.IFS(T120="Rendah",'B.kriteria &amp; R.kecocokan'!$C$57,T120="Sedang",'B.kriteria &amp; R.kecocokan'!$C$58,T120="Tinggi",'B.kriteria &amp; R.kecocokan'!$C$59)</f>
        <v>2.5</v>
      </c>
      <c r="V120" s="51" t="str">
        <f>'B.kriteria &amp; R.kecocokan'!$B$65</f>
        <v>Rendah</v>
      </c>
      <c r="W120" s="9">
        <f>_xlfn.IFS(V120="Rendah",'B.kriteria &amp; R.kecocokan'!$C$65,V120="Sedang",'B.kriteria &amp; R.kecocokan'!$C$66,V120="Tinggi",'B.kriteria &amp; R.kecocokan'!$C$67)</f>
        <v>1</v>
      </c>
      <c r="X120" s="117">
        <f t="shared" si="13"/>
        <v>5.2613118942614108</v>
      </c>
      <c r="Y120" s="117">
        <f t="shared" si="14"/>
        <v>6.1237243569579451</v>
      </c>
      <c r="Z120" s="119">
        <f t="shared" si="15"/>
        <v>5.2613118942614108</v>
      </c>
      <c r="AA120" s="55" t="str">
        <f t="shared" si="16"/>
        <v>Layak</v>
      </c>
    </row>
    <row r="121" spans="1:27" x14ac:dyDescent="0.35">
      <c r="A121" s="1">
        <v>8</v>
      </c>
      <c r="B121" s="2" t="s">
        <v>35</v>
      </c>
      <c r="C121" s="12" t="s">
        <v>13</v>
      </c>
      <c r="D121" s="32" t="str">
        <f>'B.kriteria &amp; R.kecocokan'!$B$24</f>
        <v>Cukup</v>
      </c>
      <c r="E121" s="111">
        <f>_xlfn.IFS(D121="Banyak",'B.kriteria &amp; R.kecocokan'!$C$23,D121="Cukup",'B.kriteria &amp; R.kecocokan'!$C$24,D121="Sedikit",'B.kriteria &amp; R.kecocokan'!$C$25)</f>
        <v>5</v>
      </c>
      <c r="F121" s="9" t="str">
        <f>'B.kriteria &amp; R.kecocokan'!$B$34</f>
        <v>Tinggi</v>
      </c>
      <c r="G121" s="8">
        <f>_xlfn.IFS(F121="Tinggi",'B.kriteria &amp; R.kecocokan'!$C$34,F121="Sangat Tinggi",'B.kriteria &amp; R.kecocokan'!$C$35)</f>
        <v>7.5</v>
      </c>
      <c r="H121" s="8" t="str">
        <f>'B.kriteria &amp; R.kecocokan'!$B$41</f>
        <v>Rendah</v>
      </c>
      <c r="I121" s="8">
        <f>_xlfn.IFS(H121="Rendah",'B.kriteria &amp; R.kecocokan'!$C$41,H121="Sedang",'B.kriteria &amp; R.kecocokan'!$C$42,H121="Tinggi",'B.kriteria &amp; R.kecocokan'!$C$43)</f>
        <v>2.5</v>
      </c>
      <c r="J121" s="8" t="str">
        <f>'B.kriteria &amp; R.kecocokan'!$B$72</f>
        <v>Rendah</v>
      </c>
      <c r="K121" s="8">
        <f>_xlfn.IFS(J121="Rendah",'B.kriteria &amp; R.kecocokan'!$C$72,J121="Sedang",'B.kriteria &amp; R.kecocokan'!$C$73,J121="Tinggi",'B.kriteria &amp; R.kecocokan'!$C$74)</f>
        <v>2.5</v>
      </c>
      <c r="L121" s="8" t="str">
        <f>'B.kriteria &amp; R.kecocokan'!$B$95</f>
        <v>Rendah</v>
      </c>
      <c r="M121" s="8">
        <f>_xlfn.IFS(L121="Rendah",'B.kriteria &amp; R.kecocokan'!$C$95,L121="Tinggi",'B.kriteria &amp; R.kecocokan'!$C$96)</f>
        <v>2.5</v>
      </c>
      <c r="N121" s="8" t="str">
        <f>'B.kriteria &amp; R.kecocokan'!$B$80</f>
        <v>Rendah</v>
      </c>
      <c r="O121" s="8">
        <f>_xlfn.IFS(N121="Rendah",'B.kriteria &amp; R.kecocokan'!$C$80,N121="Tinggi",'B.kriteria &amp; R.kecocokan'!$C$81)</f>
        <v>2.5</v>
      </c>
      <c r="P121" s="8" t="str">
        <f>'B.kriteria &amp; R.kecocokan'!$B$89</f>
        <v>Sedikit</v>
      </c>
      <c r="Q121" s="8">
        <f>_xlfn.IFS(P121="Sedikit",'B.kriteria &amp; R.kecocokan'!$C$89,P121="Sedang",'B.kriteria &amp; R.kecocokan'!$C$88,P121="Sangat Sedikit",'B.kriteria &amp; R.kecocokan'!$C$90)</f>
        <v>2.5</v>
      </c>
      <c r="R121" s="8" t="str">
        <f>'B.kriteria &amp; R.kecocokan'!$B$49</f>
        <v>Rendah</v>
      </c>
      <c r="S121" s="8">
        <f>_xlfn.IFS(R121="Rendah",'B.kriteria &amp; R.kecocokan'!$C$49,R121="Sedang",'B.kriteria &amp; R.kecocokan'!$C$50,R121="Tinggi",'B.kriteria &amp; R.kecocokan'!$C$51)</f>
        <v>2.5</v>
      </c>
      <c r="T121" s="8" t="str">
        <f>'B.kriteria &amp; R.kecocokan'!$B$57</f>
        <v>Rendah</v>
      </c>
      <c r="U121" s="51">
        <f>_xlfn.IFS(T121="Rendah",'B.kriteria &amp; R.kecocokan'!$C$57,T121="Sedang",'B.kriteria &amp; R.kecocokan'!$C$58,T121="Tinggi",'B.kriteria &amp; R.kecocokan'!$C$59)</f>
        <v>2.5</v>
      </c>
      <c r="V121" s="51" t="str">
        <f>'B.kriteria &amp; R.kecocokan'!$B$65</f>
        <v>Rendah</v>
      </c>
      <c r="W121" s="9">
        <f>_xlfn.IFS(V121="Rendah",'B.kriteria &amp; R.kecocokan'!$C$65,V121="Sedang",'B.kriteria &amp; R.kecocokan'!$C$66,V121="Tinggi",'B.kriteria &amp; R.kecocokan'!$C$67)</f>
        <v>1</v>
      </c>
      <c r="X121" s="117">
        <f t="shared" si="13"/>
        <v>3.1779609241747817</v>
      </c>
      <c r="Y121" s="117">
        <f t="shared" si="14"/>
        <v>3.5355339059327378</v>
      </c>
      <c r="Z121" s="119">
        <f t="shared" si="15"/>
        <v>3.1779609241747817</v>
      </c>
      <c r="AA121" s="55" t="str">
        <f t="shared" si="16"/>
        <v>Layak</v>
      </c>
    </row>
    <row r="122" spans="1:27" x14ac:dyDescent="0.35">
      <c r="A122" s="5">
        <v>9</v>
      </c>
      <c r="B122" s="2" t="s">
        <v>36</v>
      </c>
      <c r="C122" s="11" t="s">
        <v>13</v>
      </c>
      <c r="D122" s="32" t="str">
        <f>'B.kriteria &amp; R.kecocokan'!$B$24</f>
        <v>Cukup</v>
      </c>
      <c r="E122" s="111">
        <f>_xlfn.IFS(D122="Banyak",'B.kriteria &amp; R.kecocokan'!$C$23,D122="Cukup",'B.kriteria &amp; R.kecocokan'!$C$24,D122="Sedikit",'B.kriteria &amp; R.kecocokan'!$C$25)</f>
        <v>5</v>
      </c>
      <c r="F122" s="9" t="str">
        <f>'B.kriteria &amp; R.kecocokan'!$B$34</f>
        <v>Tinggi</v>
      </c>
      <c r="G122" s="8">
        <f>_xlfn.IFS(F122="Tinggi",'B.kriteria &amp; R.kecocokan'!$C$34,F122="Sangat Tinggi",'B.kriteria &amp; R.kecocokan'!$C$35)</f>
        <v>7.5</v>
      </c>
      <c r="H122" s="9" t="str">
        <f>'B.kriteria &amp; R.kecocokan'!$B$43</f>
        <v>Tinggi</v>
      </c>
      <c r="I122" s="8">
        <f>_xlfn.IFS(H122="Rendah",'B.kriteria &amp; R.kecocokan'!$C$41,H122="Sedang",'B.kriteria &amp; R.kecocokan'!$C$42,H122="Tinggi",'B.kriteria &amp; R.kecocokan'!$C$43)</f>
        <v>7.5</v>
      </c>
      <c r="J122" s="8" t="str">
        <f>'B.kriteria &amp; R.kecocokan'!$B$72</f>
        <v>Rendah</v>
      </c>
      <c r="K122" s="8">
        <f>_xlfn.IFS(J122="Rendah",'B.kriteria &amp; R.kecocokan'!$C$72,J122="Sedang",'B.kriteria &amp; R.kecocokan'!$C$73,J122="Tinggi",'B.kriteria &amp; R.kecocokan'!$C$74)</f>
        <v>2.5</v>
      </c>
      <c r="L122" s="8" t="str">
        <f>'B.kriteria &amp; R.kecocokan'!$B$95</f>
        <v>Rendah</v>
      </c>
      <c r="M122" s="8">
        <f>_xlfn.IFS(L122="Rendah",'B.kriteria &amp; R.kecocokan'!$C$95,L122="Tinggi",'B.kriteria &amp; R.kecocokan'!$C$96)</f>
        <v>2.5</v>
      </c>
      <c r="N122" s="8" t="str">
        <f>'B.kriteria &amp; R.kecocokan'!$B$80</f>
        <v>Rendah</v>
      </c>
      <c r="O122" s="8">
        <f>_xlfn.IFS(N122="Rendah",'B.kriteria &amp; R.kecocokan'!$C$80,N122="Tinggi",'B.kriteria &amp; R.kecocokan'!$C$81)</f>
        <v>2.5</v>
      </c>
      <c r="P122" s="9" t="str">
        <f>'B.kriteria &amp; R.kecocokan'!$B$88</f>
        <v>Sedang</v>
      </c>
      <c r="Q122" s="8">
        <f>_xlfn.IFS(P122="Sedikit",'B.kriteria &amp; R.kecocokan'!$C$89,P122="Sedang",'B.kriteria &amp; R.kecocokan'!$C$88,P122="Sangat Sedikit",'B.kriteria &amp; R.kecocokan'!$C$90)</f>
        <v>5</v>
      </c>
      <c r="R122" s="8" t="str">
        <f>'B.kriteria &amp; R.kecocokan'!$B$49</f>
        <v>Rendah</v>
      </c>
      <c r="S122" s="8">
        <f>_xlfn.IFS(R122="Rendah",'B.kriteria &amp; R.kecocokan'!$C$49,R122="Sedang",'B.kriteria &amp; R.kecocokan'!$C$50,R122="Tinggi",'B.kriteria &amp; R.kecocokan'!$C$51)</f>
        <v>2.5</v>
      </c>
      <c r="T122" s="8" t="str">
        <f>'B.kriteria &amp; R.kecocokan'!$B$57</f>
        <v>Rendah</v>
      </c>
      <c r="U122" s="51">
        <f>_xlfn.IFS(T122="Rendah",'B.kriteria &amp; R.kecocokan'!$C$57,T122="Sedang",'B.kriteria &amp; R.kecocokan'!$C$58,T122="Tinggi",'B.kriteria &amp; R.kecocokan'!$C$59)</f>
        <v>2.5</v>
      </c>
      <c r="V122" s="51" t="str">
        <f>'B.kriteria &amp; R.kecocokan'!$B$65</f>
        <v>Rendah</v>
      </c>
      <c r="W122" s="9">
        <f>_xlfn.IFS(V122="Rendah",'B.kriteria &amp; R.kecocokan'!$C$65,V122="Sedang",'B.kriteria &amp; R.kecocokan'!$C$66,V122="Tinggi",'B.kriteria &amp; R.kecocokan'!$C$67)</f>
        <v>1</v>
      </c>
      <c r="X122" s="117">
        <f t="shared" si="13"/>
        <v>6.5221131717983667</v>
      </c>
      <c r="Y122" s="117">
        <f t="shared" si="14"/>
        <v>5.5901699437494745</v>
      </c>
      <c r="Z122" s="119">
        <f t="shared" si="15"/>
        <v>5.5901699437494745</v>
      </c>
      <c r="AA122" s="55" t="str">
        <f t="shared" si="16"/>
        <v>Tidak Layak</v>
      </c>
    </row>
    <row r="123" spans="1:27" x14ac:dyDescent="0.35">
      <c r="A123" s="5">
        <v>10</v>
      </c>
      <c r="B123" s="2" t="s">
        <v>39</v>
      </c>
      <c r="C123" s="12" t="s">
        <v>13</v>
      </c>
      <c r="D123" s="32" t="str">
        <f>'B.kriteria &amp; R.kecocokan'!$B$24</f>
        <v>Cukup</v>
      </c>
      <c r="E123" s="111">
        <f>_xlfn.IFS(D123="Banyak",'B.kriteria &amp; R.kecocokan'!$C$23,D123="Cukup",'B.kriteria &amp; R.kecocokan'!$C$24,D123="Sedikit",'B.kriteria &amp; R.kecocokan'!$C$25)</f>
        <v>5</v>
      </c>
      <c r="F123" s="9" t="str">
        <f>'B.kriteria &amp; R.kecocokan'!$B$34</f>
        <v>Tinggi</v>
      </c>
      <c r="G123" s="8">
        <f>_xlfn.IFS(F123="Tinggi",'B.kriteria &amp; R.kecocokan'!$C$34,F123="Sangat Tinggi",'B.kriteria &amp; R.kecocokan'!$C$35)</f>
        <v>7.5</v>
      </c>
      <c r="H123" s="8" t="str">
        <f>'B.kriteria &amp; R.kecocokan'!$B$41</f>
        <v>Rendah</v>
      </c>
      <c r="I123" s="8">
        <f>_xlfn.IFS(H123="Rendah",'B.kriteria &amp; R.kecocokan'!$C$41,H123="Sedang",'B.kriteria &amp; R.kecocokan'!$C$42,H123="Tinggi",'B.kriteria &amp; R.kecocokan'!$C$43)</f>
        <v>2.5</v>
      </c>
      <c r="J123" s="8" t="str">
        <f>'B.kriteria &amp; R.kecocokan'!$B$72</f>
        <v>Rendah</v>
      </c>
      <c r="K123" s="8">
        <f>_xlfn.IFS(J123="Rendah",'B.kriteria &amp; R.kecocokan'!$C$72,J123="Sedang",'B.kriteria &amp; R.kecocokan'!$C$73,J123="Tinggi",'B.kriteria &amp; R.kecocokan'!$C$74)</f>
        <v>2.5</v>
      </c>
      <c r="L123" s="8" t="str">
        <f>'B.kriteria &amp; R.kecocokan'!$B$95</f>
        <v>Rendah</v>
      </c>
      <c r="M123" s="8">
        <f>_xlfn.IFS(L123="Rendah",'B.kriteria &amp; R.kecocokan'!$C$95,L123="Tinggi",'B.kriteria &amp; R.kecocokan'!$C$96)</f>
        <v>2.5</v>
      </c>
      <c r="N123" s="9" t="str">
        <f>'B.kriteria &amp; R.kecocokan'!$B$81</f>
        <v>Tinggi</v>
      </c>
      <c r="O123" s="8">
        <f>_xlfn.IFS(N123="Rendah",'B.kriteria &amp; R.kecocokan'!$C$80,N123="Tinggi",'B.kriteria &amp; R.kecocokan'!$C$81)</f>
        <v>7.5</v>
      </c>
      <c r="P123" s="9" t="str">
        <f>'B.kriteria &amp; R.kecocokan'!$B$90</f>
        <v>Sangat Sedikit</v>
      </c>
      <c r="Q123" s="8">
        <f>_xlfn.IFS(P123="Sedikit",'B.kriteria &amp; R.kecocokan'!$C$89,P123="Sedang",'B.kriteria &amp; R.kecocokan'!$C$88,P123="Sangat Sedikit",'B.kriteria &amp; R.kecocokan'!$C$90)</f>
        <v>1</v>
      </c>
      <c r="R123" s="8" t="str">
        <f>'B.kriteria &amp; R.kecocokan'!$B$49</f>
        <v>Rendah</v>
      </c>
      <c r="S123" s="8">
        <f>_xlfn.IFS(R123="Rendah",'B.kriteria &amp; R.kecocokan'!$C$49,R123="Sedang",'B.kriteria &amp; R.kecocokan'!$C$50,R123="Tinggi",'B.kriteria &amp; R.kecocokan'!$C$51)</f>
        <v>2.5</v>
      </c>
      <c r="T123" s="8" t="str">
        <f>'B.kriteria &amp; R.kecocokan'!$B$57</f>
        <v>Rendah</v>
      </c>
      <c r="U123" s="51">
        <f>_xlfn.IFS(T123="Rendah",'B.kriteria &amp; R.kecocokan'!$C$57,T123="Sedang",'B.kriteria &amp; R.kecocokan'!$C$58,T123="Tinggi",'B.kriteria &amp; R.kecocokan'!$C$59)</f>
        <v>2.5</v>
      </c>
      <c r="V123" s="51" t="str">
        <f>'B.kriteria &amp; R.kecocokan'!$B$65</f>
        <v>Rendah</v>
      </c>
      <c r="W123" s="9">
        <f>_xlfn.IFS(V123="Rendah",'B.kriteria &amp; R.kecocokan'!$C$65,V123="Sedang",'B.kriteria &amp; R.kecocokan'!$C$66,V123="Tinggi",'B.kriteria &amp; R.kecocokan'!$C$67)</f>
        <v>1</v>
      </c>
      <c r="X123" s="117">
        <f t="shared" si="13"/>
        <v>2.5116631997591665</v>
      </c>
      <c r="Y123" s="117">
        <f t="shared" si="14"/>
        <v>6.8738635424337602</v>
      </c>
      <c r="Z123" s="119">
        <f t="shared" si="15"/>
        <v>2.5116631997591665</v>
      </c>
      <c r="AA123" s="55" t="str">
        <f t="shared" si="16"/>
        <v>Layak</v>
      </c>
    </row>
    <row r="124" spans="1:27" x14ac:dyDescent="0.35">
      <c r="A124" s="1">
        <v>11</v>
      </c>
      <c r="B124" s="2" t="s">
        <v>40</v>
      </c>
      <c r="C124" s="11" t="s">
        <v>13</v>
      </c>
      <c r="D124" s="9" t="str">
        <f>'B.kriteria &amp; R.kecocokan'!$B$25</f>
        <v>Sedikit</v>
      </c>
      <c r="E124" s="111">
        <f>_xlfn.IFS(D124="Banyak",'B.kriteria &amp; R.kecocokan'!$C$23,D124="Cukup",'B.kriteria &amp; R.kecocokan'!$C$24,D124="Sedikit",'B.kriteria &amp; R.kecocokan'!$C$25)</f>
        <v>7.5</v>
      </c>
      <c r="F124" s="9" t="str">
        <f>'B.kriteria &amp; R.kecocokan'!$B$34</f>
        <v>Tinggi</v>
      </c>
      <c r="G124" s="8">
        <f>_xlfn.IFS(F124="Tinggi",'B.kriteria &amp; R.kecocokan'!$C$34,F124="Sangat Tinggi",'B.kriteria &amp; R.kecocokan'!$C$35)</f>
        <v>7.5</v>
      </c>
      <c r="H124" s="8" t="str">
        <f>'B.kriteria &amp; R.kecocokan'!$B$41</f>
        <v>Rendah</v>
      </c>
      <c r="I124" s="8">
        <f>_xlfn.IFS(H124="Rendah",'B.kriteria &amp; R.kecocokan'!$C$41,H124="Sedang",'B.kriteria &amp; R.kecocokan'!$C$42,H124="Tinggi",'B.kriteria &amp; R.kecocokan'!$C$43)</f>
        <v>2.5</v>
      </c>
      <c r="J124" s="8" t="str">
        <f>'B.kriteria &amp; R.kecocokan'!$B$72</f>
        <v>Rendah</v>
      </c>
      <c r="K124" s="8">
        <f>_xlfn.IFS(J124="Rendah",'B.kriteria &amp; R.kecocokan'!$C$72,J124="Sedang",'B.kriteria &amp; R.kecocokan'!$C$73,J124="Tinggi",'B.kriteria &amp; R.kecocokan'!$C$74)</f>
        <v>2.5</v>
      </c>
      <c r="L124" s="8" t="str">
        <f>'B.kriteria &amp; R.kecocokan'!$B$95</f>
        <v>Rendah</v>
      </c>
      <c r="M124" s="8">
        <f>_xlfn.IFS(L124="Rendah",'B.kriteria &amp; R.kecocokan'!$C$95,L124="Tinggi",'B.kriteria &amp; R.kecocokan'!$C$96)</f>
        <v>2.5</v>
      </c>
      <c r="N124" s="9" t="str">
        <f>'B.kriteria &amp; R.kecocokan'!$B$81</f>
        <v>Tinggi</v>
      </c>
      <c r="O124" s="8">
        <f>_xlfn.IFS(N124="Rendah",'B.kriteria &amp; R.kecocokan'!$C$80,N124="Tinggi",'B.kriteria &amp; R.kecocokan'!$C$81)</f>
        <v>7.5</v>
      </c>
      <c r="P124" s="9" t="str">
        <f>'B.kriteria &amp; R.kecocokan'!$B$90</f>
        <v>Sangat Sedikit</v>
      </c>
      <c r="Q124" s="8">
        <f>_xlfn.IFS(P124="Sedikit",'B.kriteria &amp; R.kecocokan'!$C$89,P124="Sedang",'B.kriteria &amp; R.kecocokan'!$C$88,P124="Sangat Sedikit",'B.kriteria &amp; R.kecocokan'!$C$90)</f>
        <v>1</v>
      </c>
      <c r="R124" s="9" t="str">
        <f>'B.kriteria &amp; R.kecocokan'!$B$50</f>
        <v>Sedang</v>
      </c>
      <c r="S124" s="8">
        <f>_xlfn.IFS(R124="Rendah",'B.kriteria &amp; R.kecocokan'!$C$49,R124="Sedang",'B.kriteria &amp; R.kecocokan'!$C$50,R124="Tinggi",'B.kriteria &amp; R.kecocokan'!$C$51)</f>
        <v>5</v>
      </c>
      <c r="T124" s="9" t="str">
        <f>'B.kriteria &amp; R.kecocokan'!$B$58</f>
        <v>Sedang</v>
      </c>
      <c r="U124" s="51">
        <f>_xlfn.IFS(T124="Rendah",'B.kriteria &amp; R.kecocokan'!$C$57,T124="Sedang",'B.kriteria &amp; R.kecocokan'!$C$58,T124="Tinggi",'B.kriteria &amp; R.kecocokan'!$C$59)</f>
        <v>5</v>
      </c>
      <c r="V124" s="52" t="str">
        <f>'B.kriteria &amp; R.kecocokan'!$B$66</f>
        <v>Sedang</v>
      </c>
      <c r="W124" s="9">
        <f>_xlfn.IFS(V124="Rendah",'B.kriteria &amp; R.kecocokan'!$C$65,V124="Sedang",'B.kriteria &amp; R.kecocokan'!$C$66,V124="Tinggi",'B.kriteria &amp; R.kecocokan'!$C$67)</f>
        <v>2</v>
      </c>
      <c r="X124" s="117">
        <f t="shared" si="13"/>
        <v>4.2466294711323744</v>
      </c>
      <c r="Y124" s="117">
        <f t="shared" si="14"/>
        <v>8.1853527718724504</v>
      </c>
      <c r="Z124" s="119">
        <f t="shared" si="15"/>
        <v>4.2466294711323744</v>
      </c>
      <c r="AA124" s="55" t="str">
        <f t="shared" si="16"/>
        <v>Layak</v>
      </c>
    </row>
    <row r="125" spans="1:27" x14ac:dyDescent="0.35">
      <c r="A125" s="5">
        <v>12</v>
      </c>
      <c r="B125" s="2" t="s">
        <v>44</v>
      </c>
      <c r="C125" s="11" t="s">
        <v>13</v>
      </c>
      <c r="D125" s="32" t="str">
        <f>'B.kriteria &amp; R.kecocokan'!$B$24</f>
        <v>Cukup</v>
      </c>
      <c r="E125" s="111">
        <f>_xlfn.IFS(D125="Banyak",'B.kriteria &amp; R.kecocokan'!$C$23,D125="Cukup",'B.kriteria &amp; R.kecocokan'!$C$24,D125="Sedikit",'B.kriteria &amp; R.kecocokan'!$C$25)</f>
        <v>5</v>
      </c>
      <c r="F125" s="9" t="str">
        <f>'B.kriteria &amp; R.kecocokan'!$B$34</f>
        <v>Tinggi</v>
      </c>
      <c r="G125" s="8">
        <f>_xlfn.IFS(F125="Tinggi",'B.kriteria &amp; R.kecocokan'!$C$34,F125="Sangat Tinggi",'B.kriteria &amp; R.kecocokan'!$C$35)</f>
        <v>7.5</v>
      </c>
      <c r="H125" s="8" t="str">
        <f>'B.kriteria &amp; R.kecocokan'!$B$41</f>
        <v>Rendah</v>
      </c>
      <c r="I125" s="8">
        <f>_xlfn.IFS(H125="Rendah",'B.kriteria &amp; R.kecocokan'!$C$41,H125="Sedang",'B.kriteria &amp; R.kecocokan'!$C$42,H125="Tinggi",'B.kriteria &amp; R.kecocokan'!$C$43)</f>
        <v>2.5</v>
      </c>
      <c r="J125" s="8" t="str">
        <f>'B.kriteria &amp; R.kecocokan'!$B$72</f>
        <v>Rendah</v>
      </c>
      <c r="K125" s="8">
        <f>_xlfn.IFS(J125="Rendah",'B.kriteria &amp; R.kecocokan'!$C$72,J125="Sedang",'B.kriteria &amp; R.kecocokan'!$C$73,J125="Tinggi",'B.kriteria &amp; R.kecocokan'!$C$74)</f>
        <v>2.5</v>
      </c>
      <c r="L125" s="8" t="str">
        <f>'B.kriteria &amp; R.kecocokan'!$B$95</f>
        <v>Rendah</v>
      </c>
      <c r="M125" s="8">
        <f>_xlfn.IFS(L125="Rendah",'B.kriteria &amp; R.kecocokan'!$C$95,L125="Tinggi",'B.kriteria &amp; R.kecocokan'!$C$96)</f>
        <v>2.5</v>
      </c>
      <c r="N125" s="9" t="str">
        <f>'B.kriteria &amp; R.kecocokan'!$B$81</f>
        <v>Tinggi</v>
      </c>
      <c r="O125" s="8">
        <f>_xlfn.IFS(N125="Rendah",'B.kriteria &amp; R.kecocokan'!$C$80,N125="Tinggi",'B.kriteria &amp; R.kecocokan'!$C$81)</f>
        <v>7.5</v>
      </c>
      <c r="P125" s="9" t="str">
        <f>'B.kriteria &amp; R.kecocokan'!$B$90</f>
        <v>Sangat Sedikit</v>
      </c>
      <c r="Q125" s="8">
        <f>_xlfn.IFS(P125="Sedikit",'B.kriteria &amp; R.kecocokan'!$C$89,P125="Sedang",'B.kriteria &amp; R.kecocokan'!$C$88,P125="Sangat Sedikit",'B.kriteria &amp; R.kecocokan'!$C$90)</f>
        <v>1</v>
      </c>
      <c r="R125" s="8" t="str">
        <f>'B.kriteria &amp; R.kecocokan'!$B$49</f>
        <v>Rendah</v>
      </c>
      <c r="S125" s="8">
        <f>_xlfn.IFS(R125="Rendah",'B.kriteria &amp; R.kecocokan'!$C$49,R125="Sedang",'B.kriteria &amp; R.kecocokan'!$C$50,R125="Tinggi",'B.kriteria &amp; R.kecocokan'!$C$51)</f>
        <v>2.5</v>
      </c>
      <c r="T125" s="8" t="str">
        <f>'B.kriteria &amp; R.kecocokan'!$B$57</f>
        <v>Rendah</v>
      </c>
      <c r="U125" s="51">
        <f>_xlfn.IFS(T125="Rendah",'B.kriteria &amp; R.kecocokan'!$C$57,T125="Sedang",'B.kriteria &amp; R.kecocokan'!$C$58,T125="Tinggi",'B.kriteria &amp; R.kecocokan'!$C$59)</f>
        <v>2.5</v>
      </c>
      <c r="V125" s="51" t="str">
        <f>'B.kriteria &amp; R.kecocokan'!$B$65</f>
        <v>Rendah</v>
      </c>
      <c r="W125" s="9">
        <f>_xlfn.IFS(V125="Rendah",'B.kriteria &amp; R.kecocokan'!$C$65,V125="Sedang",'B.kriteria &amp; R.kecocokan'!$C$66,V125="Tinggi",'B.kriteria &amp; R.kecocokan'!$C$67)</f>
        <v>1</v>
      </c>
      <c r="X125" s="117">
        <f t="shared" si="13"/>
        <v>2.5116631997591665</v>
      </c>
      <c r="Y125" s="117">
        <f t="shared" si="14"/>
        <v>6.8738635424337602</v>
      </c>
      <c r="Z125" s="119">
        <f t="shared" si="15"/>
        <v>2.5116631997591665</v>
      </c>
      <c r="AA125" s="55" t="str">
        <f t="shared" si="16"/>
        <v>Layak</v>
      </c>
    </row>
    <row r="126" spans="1:27" x14ac:dyDescent="0.35">
      <c r="A126" s="5">
        <v>13</v>
      </c>
      <c r="B126" s="2" t="s">
        <v>45</v>
      </c>
      <c r="C126" s="11" t="s">
        <v>13</v>
      </c>
      <c r="D126" s="32" t="str">
        <f>'B.kriteria &amp; R.kecocokan'!$B$24</f>
        <v>Cukup</v>
      </c>
      <c r="E126" s="111">
        <f>_xlfn.IFS(D126="Banyak",'B.kriteria &amp; R.kecocokan'!$C$23,D126="Cukup",'B.kriteria &amp; R.kecocokan'!$C$24,D126="Sedikit",'B.kriteria &amp; R.kecocokan'!$C$25)</f>
        <v>5</v>
      </c>
      <c r="F126" s="9" t="str">
        <f>'B.kriteria &amp; R.kecocokan'!$B$34</f>
        <v>Tinggi</v>
      </c>
      <c r="G126" s="8">
        <f>_xlfn.IFS(F126="Tinggi",'B.kriteria &amp; R.kecocokan'!$C$34,F126="Sangat Tinggi",'B.kriteria &amp; R.kecocokan'!$C$35)</f>
        <v>7.5</v>
      </c>
      <c r="H126" s="9" t="str">
        <f>'B.kriteria &amp; R.kecocokan'!$B$43</f>
        <v>Tinggi</v>
      </c>
      <c r="I126" s="8">
        <f>_xlfn.IFS(H126="Rendah",'B.kriteria &amp; R.kecocokan'!$C$41,H126="Sedang",'B.kriteria &amp; R.kecocokan'!$C$42,H126="Tinggi",'B.kriteria &amp; R.kecocokan'!$C$43)</f>
        <v>7.5</v>
      </c>
      <c r="J126" s="8" t="str">
        <f>'B.kriteria &amp; R.kecocokan'!$B$72</f>
        <v>Rendah</v>
      </c>
      <c r="K126" s="8">
        <f>_xlfn.IFS(J126="Rendah",'B.kriteria &amp; R.kecocokan'!$C$72,J126="Sedang",'B.kriteria &amp; R.kecocokan'!$C$73,J126="Tinggi",'B.kriteria &amp; R.kecocokan'!$C$74)</f>
        <v>2.5</v>
      </c>
      <c r="L126" s="8" t="str">
        <f>'B.kriteria &amp; R.kecocokan'!$B$95</f>
        <v>Rendah</v>
      </c>
      <c r="M126" s="8">
        <f>_xlfn.IFS(L126="Rendah",'B.kriteria &amp; R.kecocokan'!$C$95,L126="Tinggi",'B.kriteria &amp; R.kecocokan'!$C$96)</f>
        <v>2.5</v>
      </c>
      <c r="N126" s="8" t="str">
        <f>'B.kriteria &amp; R.kecocokan'!$B$80</f>
        <v>Rendah</v>
      </c>
      <c r="O126" s="8">
        <f>_xlfn.IFS(N126="Rendah",'B.kriteria &amp; R.kecocokan'!$C$80,N126="Tinggi",'B.kriteria &amp; R.kecocokan'!$C$81)</f>
        <v>2.5</v>
      </c>
      <c r="P126" s="9" t="str">
        <f>'B.kriteria &amp; R.kecocokan'!$B$88</f>
        <v>Sedang</v>
      </c>
      <c r="Q126" s="8">
        <f>_xlfn.IFS(P126="Sedikit",'B.kriteria &amp; R.kecocokan'!$C$89,P126="Sedang",'B.kriteria &amp; R.kecocokan'!$C$88,P126="Sangat Sedikit",'B.kriteria &amp; R.kecocokan'!$C$90)</f>
        <v>5</v>
      </c>
      <c r="R126" s="8" t="str">
        <f>'B.kriteria &amp; R.kecocokan'!$B$49</f>
        <v>Rendah</v>
      </c>
      <c r="S126" s="8">
        <f>_xlfn.IFS(R126="Rendah",'B.kriteria &amp; R.kecocokan'!$C$49,R126="Sedang",'B.kriteria &amp; R.kecocokan'!$C$50,R126="Tinggi",'B.kriteria &amp; R.kecocokan'!$C$51)</f>
        <v>2.5</v>
      </c>
      <c r="T126" s="8" t="str">
        <f>'B.kriteria &amp; R.kecocokan'!$B$57</f>
        <v>Rendah</v>
      </c>
      <c r="U126" s="51">
        <f>_xlfn.IFS(T126="Rendah",'B.kriteria &amp; R.kecocokan'!$C$57,T126="Sedang",'B.kriteria &amp; R.kecocokan'!$C$58,T126="Tinggi",'B.kriteria &amp; R.kecocokan'!$C$59)</f>
        <v>2.5</v>
      </c>
      <c r="V126" s="51" t="str">
        <f>'B.kriteria &amp; R.kecocokan'!$B$65</f>
        <v>Rendah</v>
      </c>
      <c r="W126" s="9">
        <f>_xlfn.IFS(V126="Rendah",'B.kriteria &amp; R.kecocokan'!$C$65,V126="Sedang",'B.kriteria &amp; R.kecocokan'!$C$66,V126="Tinggi",'B.kriteria &amp; R.kecocokan'!$C$67)</f>
        <v>1</v>
      </c>
      <c r="X126" s="117">
        <f t="shared" si="13"/>
        <v>6.5221131717983667</v>
      </c>
      <c r="Y126" s="117">
        <f t="shared" si="14"/>
        <v>5.5901699437494745</v>
      </c>
      <c r="Z126" s="119">
        <f t="shared" si="15"/>
        <v>5.5901699437494745</v>
      </c>
      <c r="AA126" s="55" t="str">
        <f t="shared" si="16"/>
        <v>Tidak Layak</v>
      </c>
    </row>
    <row r="127" spans="1:27" x14ac:dyDescent="0.35">
      <c r="A127" s="1">
        <v>14</v>
      </c>
      <c r="B127" s="2" t="s">
        <v>46</v>
      </c>
      <c r="C127" s="11" t="s">
        <v>13</v>
      </c>
      <c r="D127" s="32" t="str">
        <f>'B.kriteria &amp; R.kecocokan'!$B$24</f>
        <v>Cukup</v>
      </c>
      <c r="E127" s="111">
        <f>_xlfn.IFS(D127="Banyak",'B.kriteria &amp; R.kecocokan'!$C$23,D127="Cukup",'B.kriteria &amp; R.kecocokan'!$C$24,D127="Sedikit",'B.kriteria &amp; R.kecocokan'!$C$25)</f>
        <v>5</v>
      </c>
      <c r="F127" s="9" t="str">
        <f>'B.kriteria &amp; R.kecocokan'!$B$35</f>
        <v>Sangat Tinggi</v>
      </c>
      <c r="G127" s="8">
        <f>_xlfn.IFS(F127="Tinggi",'B.kriteria &amp; R.kecocokan'!$C$34,F127="Sangat Tinggi",'B.kriteria &amp; R.kecocokan'!$C$35)</f>
        <v>10</v>
      </c>
      <c r="H127" s="8" t="str">
        <f>'B.kriteria &amp; R.kecocokan'!$B$41</f>
        <v>Rendah</v>
      </c>
      <c r="I127" s="8">
        <f>_xlfn.IFS(H127="Rendah",'B.kriteria &amp; R.kecocokan'!$C$41,H127="Sedang",'B.kriteria &amp; R.kecocokan'!$C$42,H127="Tinggi",'B.kriteria &amp; R.kecocokan'!$C$43)</f>
        <v>2.5</v>
      </c>
      <c r="J127" s="8" t="str">
        <f>'B.kriteria &amp; R.kecocokan'!$B$72</f>
        <v>Rendah</v>
      </c>
      <c r="K127" s="8">
        <f>_xlfn.IFS(J127="Rendah",'B.kriteria &amp; R.kecocokan'!$C$72,J127="Sedang",'B.kriteria &amp; R.kecocokan'!$C$73,J127="Tinggi",'B.kriteria &amp; R.kecocokan'!$C$74)</f>
        <v>2.5</v>
      </c>
      <c r="L127" s="8" t="str">
        <f>'B.kriteria &amp; R.kecocokan'!$B$95</f>
        <v>Rendah</v>
      </c>
      <c r="M127" s="8">
        <f>_xlfn.IFS(L127="Rendah",'B.kriteria &amp; R.kecocokan'!$C$95,L127="Tinggi",'B.kriteria &amp; R.kecocokan'!$C$96)</f>
        <v>2.5</v>
      </c>
      <c r="N127" s="8" t="str">
        <f>'B.kriteria &amp; R.kecocokan'!$B$80</f>
        <v>Rendah</v>
      </c>
      <c r="O127" s="8">
        <f>_xlfn.IFS(N127="Rendah",'B.kriteria &amp; R.kecocokan'!$C$80,N127="Tinggi",'B.kriteria &amp; R.kecocokan'!$C$81)</f>
        <v>2.5</v>
      </c>
      <c r="P127" s="8" t="str">
        <f>'B.kriteria &amp; R.kecocokan'!$B$89</f>
        <v>Sedikit</v>
      </c>
      <c r="Q127" s="8">
        <f>_xlfn.IFS(P127="Sedikit",'B.kriteria &amp; R.kecocokan'!$C$89,P127="Sedang",'B.kriteria &amp; R.kecocokan'!$C$88,P127="Sangat Sedikit",'B.kriteria &amp; R.kecocokan'!$C$90)</f>
        <v>2.5</v>
      </c>
      <c r="R127" s="8" t="str">
        <f>'B.kriteria &amp; R.kecocokan'!$B$49</f>
        <v>Rendah</v>
      </c>
      <c r="S127" s="8">
        <f>_xlfn.IFS(R127="Rendah",'B.kriteria &amp; R.kecocokan'!$C$49,R127="Sedang",'B.kriteria &amp; R.kecocokan'!$C$50,R127="Tinggi",'B.kriteria &amp; R.kecocokan'!$C$51)</f>
        <v>2.5</v>
      </c>
      <c r="T127" s="9" t="str">
        <f>'B.kriteria &amp; R.kecocokan'!$B$58</f>
        <v>Sedang</v>
      </c>
      <c r="U127" s="51">
        <f>_xlfn.IFS(T127="Rendah",'B.kriteria &amp; R.kecocokan'!$C$57,T127="Sedang",'B.kriteria &amp; R.kecocokan'!$C$58,T127="Tinggi",'B.kriteria &amp; R.kecocokan'!$C$59)</f>
        <v>5</v>
      </c>
      <c r="V127" s="51" t="str">
        <f>'B.kriteria &amp; R.kecocokan'!$B$65</f>
        <v>Rendah</v>
      </c>
      <c r="W127" s="9">
        <f>_xlfn.IFS(V127="Rendah",'B.kriteria &amp; R.kecocokan'!$C$65,V127="Sedang",'B.kriteria &amp; R.kecocokan'!$C$66,V127="Tinggi",'B.kriteria &amp; R.kecocokan'!$C$67)</f>
        <v>1</v>
      </c>
      <c r="X127" s="117">
        <f t="shared" si="13"/>
        <v>4.1804885857887113</v>
      </c>
      <c r="Y127" s="117">
        <f t="shared" si="14"/>
        <v>3.5355339059327378</v>
      </c>
      <c r="Z127" s="119">
        <f t="shared" si="15"/>
        <v>3.5355339059327378</v>
      </c>
      <c r="AA127" s="55" t="str">
        <f t="shared" si="16"/>
        <v>Tidak Layak</v>
      </c>
    </row>
    <row r="128" spans="1:27" x14ac:dyDescent="0.35">
      <c r="A128" s="5">
        <v>15</v>
      </c>
      <c r="B128" s="2" t="s">
        <v>48</v>
      </c>
      <c r="C128" s="11" t="s">
        <v>13</v>
      </c>
      <c r="D128" s="9" t="str">
        <f>'B.kriteria &amp; R.kecocokan'!$B$23</f>
        <v>Banyak</v>
      </c>
      <c r="E128" s="111">
        <f>_xlfn.IFS(D128="Banyak",'B.kriteria &amp; R.kecocokan'!$C$23,D128="Cukup",'B.kriteria &amp; R.kecocokan'!$C$24,D128="Sedikit",'B.kriteria &amp; R.kecocokan'!$C$25)</f>
        <v>2.5</v>
      </c>
      <c r="F128" s="9" t="str">
        <f>'B.kriteria &amp; R.kecocokan'!$B$35</f>
        <v>Sangat Tinggi</v>
      </c>
      <c r="G128" s="8">
        <f>_xlfn.IFS(F128="Tinggi",'B.kriteria &amp; R.kecocokan'!$C$34,F128="Sangat Tinggi",'B.kriteria &amp; R.kecocokan'!$C$35)</f>
        <v>10</v>
      </c>
      <c r="H128" s="8" t="str">
        <f>'B.kriteria &amp; R.kecocokan'!$B$41</f>
        <v>Rendah</v>
      </c>
      <c r="I128" s="8">
        <f>_xlfn.IFS(H128="Rendah",'B.kriteria &amp; R.kecocokan'!$C$41,H128="Sedang",'B.kriteria &amp; R.kecocokan'!$C$42,H128="Tinggi",'B.kriteria &amp; R.kecocokan'!$C$43)</f>
        <v>2.5</v>
      </c>
      <c r="J128" s="8" t="str">
        <f>'B.kriteria &amp; R.kecocokan'!$B$72</f>
        <v>Rendah</v>
      </c>
      <c r="K128" s="8">
        <f>_xlfn.IFS(J128="Rendah",'B.kriteria &amp; R.kecocokan'!$C$72,J128="Sedang",'B.kriteria &amp; R.kecocokan'!$C$73,J128="Tinggi",'B.kriteria &amp; R.kecocokan'!$C$74)</f>
        <v>2.5</v>
      </c>
      <c r="L128" s="8" t="str">
        <f>'B.kriteria &amp; R.kecocokan'!$B$95</f>
        <v>Rendah</v>
      </c>
      <c r="M128" s="8">
        <f>_xlfn.IFS(L128="Rendah",'B.kriteria &amp; R.kecocokan'!$C$95,L128="Tinggi",'B.kriteria &amp; R.kecocokan'!$C$96)</f>
        <v>2.5</v>
      </c>
      <c r="N128" s="8" t="str">
        <f>'B.kriteria &amp; R.kecocokan'!$B$80</f>
        <v>Rendah</v>
      </c>
      <c r="O128" s="8">
        <f>_xlfn.IFS(N128="Rendah",'B.kriteria &amp; R.kecocokan'!$C$80,N128="Tinggi",'B.kriteria &amp; R.kecocokan'!$C$81)</f>
        <v>2.5</v>
      </c>
      <c r="P128" s="9" t="str">
        <f>'B.kriteria &amp; R.kecocokan'!$B$88</f>
        <v>Sedang</v>
      </c>
      <c r="Q128" s="8">
        <f>_xlfn.IFS(P128="Sedikit",'B.kriteria &amp; R.kecocokan'!$C$89,P128="Sedang",'B.kriteria &amp; R.kecocokan'!$C$88,P128="Sangat Sedikit",'B.kriteria &amp; R.kecocokan'!$C$90)</f>
        <v>5</v>
      </c>
      <c r="R128" s="8" t="str">
        <f>'B.kriteria &amp; R.kecocokan'!$B$49</f>
        <v>Rendah</v>
      </c>
      <c r="S128" s="8">
        <f>_xlfn.IFS(R128="Rendah",'B.kriteria &amp; R.kecocokan'!$C$49,R128="Sedang",'B.kriteria &amp; R.kecocokan'!$C$50,R128="Tinggi",'B.kriteria &amp; R.kecocokan'!$C$51)</f>
        <v>2.5</v>
      </c>
      <c r="T128" s="8" t="str">
        <f>'B.kriteria &amp; R.kecocokan'!$B$57</f>
        <v>Rendah</v>
      </c>
      <c r="U128" s="51">
        <f>_xlfn.IFS(T128="Rendah",'B.kriteria &amp; R.kecocokan'!$C$57,T128="Sedang",'B.kriteria &amp; R.kecocokan'!$C$58,T128="Tinggi",'B.kriteria &amp; R.kecocokan'!$C$59)</f>
        <v>2.5</v>
      </c>
      <c r="V128" s="51" t="str">
        <f>'B.kriteria &amp; R.kecocokan'!$B$65</f>
        <v>Rendah</v>
      </c>
      <c r="W128" s="9">
        <f>_xlfn.IFS(V128="Rendah",'B.kriteria &amp; R.kecocokan'!$C$65,V128="Sedang",'B.kriteria &amp; R.kecocokan'!$C$66,V128="Tinggi",'B.kriteria &amp; R.kecocokan'!$C$67)</f>
        <v>1</v>
      </c>
      <c r="X128" s="117">
        <f t="shared" si="13"/>
        <v>5.9296636536500023</v>
      </c>
      <c r="Y128" s="117">
        <f t="shared" si="14"/>
        <v>2.5</v>
      </c>
      <c r="Z128" s="119">
        <f t="shared" si="15"/>
        <v>2.5</v>
      </c>
      <c r="AA128" s="55" t="str">
        <f t="shared" si="16"/>
        <v>Tidak Layak</v>
      </c>
    </row>
    <row r="129" spans="1:27" x14ac:dyDescent="0.35">
      <c r="A129" s="5">
        <v>16</v>
      </c>
      <c r="B129" s="2" t="s">
        <v>49</v>
      </c>
      <c r="C129" s="11" t="s">
        <v>13</v>
      </c>
      <c r="D129" s="32" t="str">
        <f>'B.kriteria &amp; R.kecocokan'!$B$24</f>
        <v>Cukup</v>
      </c>
      <c r="E129" s="111">
        <f>_xlfn.IFS(D129="Banyak",'B.kriteria &amp; R.kecocokan'!$C$23,D129="Cukup",'B.kriteria &amp; R.kecocokan'!$C$24,D129="Sedikit",'B.kriteria &amp; R.kecocokan'!$C$25)</f>
        <v>5</v>
      </c>
      <c r="F129" s="9" t="str">
        <f>'B.kriteria &amp; R.kecocokan'!$B$34</f>
        <v>Tinggi</v>
      </c>
      <c r="G129" s="8">
        <f>_xlfn.IFS(F129="Tinggi",'B.kriteria &amp; R.kecocokan'!$C$34,F129="Sangat Tinggi",'B.kriteria &amp; R.kecocokan'!$C$35)</f>
        <v>7.5</v>
      </c>
      <c r="H129" s="8" t="str">
        <f>'B.kriteria &amp; R.kecocokan'!$B$41</f>
        <v>Rendah</v>
      </c>
      <c r="I129" s="8">
        <f>_xlfn.IFS(H129="Rendah",'B.kriteria &amp; R.kecocokan'!$C$41,H129="Sedang",'B.kriteria &amp; R.kecocokan'!$C$42,H129="Tinggi",'B.kriteria &amp; R.kecocokan'!$C$43)</f>
        <v>2.5</v>
      </c>
      <c r="J129" s="8" t="str">
        <f>'B.kriteria &amp; R.kecocokan'!$B$72</f>
        <v>Rendah</v>
      </c>
      <c r="K129" s="8">
        <f>_xlfn.IFS(J129="Rendah",'B.kriteria &amp; R.kecocokan'!$C$72,J129="Sedang",'B.kriteria &amp; R.kecocokan'!$C$73,J129="Tinggi",'B.kriteria &amp; R.kecocokan'!$C$74)</f>
        <v>2.5</v>
      </c>
      <c r="L129" s="8" t="str">
        <f>'B.kriteria &amp; R.kecocokan'!$B$95</f>
        <v>Rendah</v>
      </c>
      <c r="M129" s="8">
        <f>_xlfn.IFS(L129="Rendah",'B.kriteria &amp; R.kecocokan'!$C$95,L129="Tinggi",'B.kriteria &amp; R.kecocokan'!$C$96)</f>
        <v>2.5</v>
      </c>
      <c r="N129" s="9" t="str">
        <f>'B.kriteria &amp; R.kecocokan'!$B$81</f>
        <v>Tinggi</v>
      </c>
      <c r="O129" s="8">
        <f>_xlfn.IFS(N129="Rendah",'B.kriteria &amp; R.kecocokan'!$C$80,N129="Tinggi",'B.kriteria &amp; R.kecocokan'!$C$81)</f>
        <v>7.5</v>
      </c>
      <c r="P129" s="9" t="str">
        <f>'B.kriteria &amp; R.kecocokan'!$B$90</f>
        <v>Sangat Sedikit</v>
      </c>
      <c r="Q129" s="8">
        <f>_xlfn.IFS(P129="Sedikit",'B.kriteria &amp; R.kecocokan'!$C$89,P129="Sedang",'B.kriteria &amp; R.kecocokan'!$C$88,P129="Sangat Sedikit",'B.kriteria &amp; R.kecocokan'!$C$90)</f>
        <v>1</v>
      </c>
      <c r="R129" s="8" t="str">
        <f>'B.kriteria &amp; R.kecocokan'!$B$49</f>
        <v>Rendah</v>
      </c>
      <c r="S129" s="8">
        <f>_xlfn.IFS(R129="Rendah",'B.kriteria &amp; R.kecocokan'!$C$49,R129="Sedang",'B.kriteria &amp; R.kecocokan'!$C$50,R129="Tinggi",'B.kriteria &amp; R.kecocokan'!$C$51)</f>
        <v>2.5</v>
      </c>
      <c r="T129" s="8" t="str">
        <f>'B.kriteria &amp; R.kecocokan'!$B$57</f>
        <v>Rendah</v>
      </c>
      <c r="U129" s="51">
        <f>_xlfn.IFS(T129="Rendah",'B.kriteria &amp; R.kecocokan'!$C$57,T129="Sedang",'B.kriteria &amp; R.kecocokan'!$C$58,T129="Tinggi",'B.kriteria &amp; R.kecocokan'!$C$59)</f>
        <v>2.5</v>
      </c>
      <c r="V129" s="51" t="str">
        <f>'B.kriteria &amp; R.kecocokan'!$B$65</f>
        <v>Rendah</v>
      </c>
      <c r="W129" s="9">
        <f>_xlfn.IFS(V129="Rendah",'B.kriteria &amp; R.kecocokan'!$C$65,V129="Sedang",'B.kriteria &amp; R.kecocokan'!$C$66,V129="Tinggi",'B.kriteria &amp; R.kecocokan'!$C$67)</f>
        <v>1</v>
      </c>
      <c r="X129" s="117">
        <f t="shared" si="13"/>
        <v>2.5116631997591665</v>
      </c>
      <c r="Y129" s="117">
        <f t="shared" si="14"/>
        <v>6.8738635424337602</v>
      </c>
      <c r="Z129" s="119">
        <f t="shared" si="15"/>
        <v>2.5116631997591665</v>
      </c>
      <c r="AA129" s="55" t="str">
        <f t="shared" si="16"/>
        <v>Layak</v>
      </c>
    </row>
    <row r="130" spans="1:27" x14ac:dyDescent="0.35">
      <c r="A130" s="1">
        <v>17</v>
      </c>
      <c r="B130" s="2" t="s">
        <v>257</v>
      </c>
      <c r="C130" s="11" t="s">
        <v>13</v>
      </c>
      <c r="D130" s="32" t="str">
        <f>'B.kriteria &amp; R.kecocokan'!$B$24</f>
        <v>Cukup</v>
      </c>
      <c r="E130" s="111">
        <f>_xlfn.IFS(D130="Banyak",'B.kriteria &amp; R.kecocokan'!$C$23,D130="Cukup",'B.kriteria &amp; R.kecocokan'!$C$24,D130="Sedikit",'B.kriteria &amp; R.kecocokan'!$C$25)</f>
        <v>5</v>
      </c>
      <c r="F130" s="9" t="str">
        <f>'B.kriteria &amp; R.kecocokan'!$B$35</f>
        <v>Sangat Tinggi</v>
      </c>
      <c r="G130" s="8">
        <f>_xlfn.IFS(F130="Tinggi",'B.kriteria &amp; R.kecocokan'!$C$34,F130="Sangat Tinggi",'B.kriteria &amp; R.kecocokan'!$C$35)</f>
        <v>10</v>
      </c>
      <c r="H130" s="8" t="str">
        <f>'B.kriteria &amp; R.kecocokan'!$B$41</f>
        <v>Rendah</v>
      </c>
      <c r="I130" s="8">
        <f>_xlfn.IFS(H130="Rendah",'B.kriteria &amp; R.kecocokan'!$C$41,H130="Sedang",'B.kriteria &amp; R.kecocokan'!$C$42,H130="Tinggi",'B.kriteria &amp; R.kecocokan'!$C$43)</f>
        <v>2.5</v>
      </c>
      <c r="J130" s="8" t="str">
        <f>'B.kriteria &amp; R.kecocokan'!$B$72</f>
        <v>Rendah</v>
      </c>
      <c r="K130" s="8">
        <f>_xlfn.IFS(J130="Rendah",'B.kriteria &amp; R.kecocokan'!$C$72,J130="Sedang",'B.kriteria &amp; R.kecocokan'!$C$73,J130="Tinggi",'B.kriteria &amp; R.kecocokan'!$C$74)</f>
        <v>2.5</v>
      </c>
      <c r="L130" s="8" t="str">
        <f>'B.kriteria &amp; R.kecocokan'!$B$95</f>
        <v>Rendah</v>
      </c>
      <c r="M130" s="8">
        <f>_xlfn.IFS(L130="Rendah",'B.kriteria &amp; R.kecocokan'!$C$95,L130="Tinggi",'B.kriteria &amp; R.kecocokan'!$C$96)</f>
        <v>2.5</v>
      </c>
      <c r="N130" s="8" t="str">
        <f>'B.kriteria &amp; R.kecocokan'!$B$80</f>
        <v>Rendah</v>
      </c>
      <c r="O130" s="8">
        <f>_xlfn.IFS(N130="Rendah",'B.kriteria &amp; R.kecocokan'!$C$80,N130="Tinggi",'B.kriteria &amp; R.kecocokan'!$C$81)</f>
        <v>2.5</v>
      </c>
      <c r="P130" s="9" t="str">
        <f>'B.kriteria &amp; R.kecocokan'!$B$88</f>
        <v>Sedang</v>
      </c>
      <c r="Q130" s="8">
        <f>_xlfn.IFS(P130="Sedikit",'B.kriteria &amp; R.kecocokan'!$C$89,P130="Sedang",'B.kriteria &amp; R.kecocokan'!$C$88,P130="Sangat Sedikit",'B.kriteria &amp; R.kecocokan'!$C$90)</f>
        <v>5</v>
      </c>
      <c r="R130" s="9" t="str">
        <f>'B.kriteria &amp; R.kecocokan'!$B$51</f>
        <v>Tinggi</v>
      </c>
      <c r="S130" s="8">
        <f>_xlfn.IFS(R130="Rendah",'B.kriteria &amp; R.kecocokan'!$C$49,R130="Sedang",'B.kriteria &amp; R.kecocokan'!$C$50,R130="Tinggi",'B.kriteria &amp; R.kecocokan'!$C$51)</f>
        <v>7.5</v>
      </c>
      <c r="T130" s="9" t="str">
        <f>'B.kriteria &amp; R.kecocokan'!$B$58</f>
        <v>Sedang</v>
      </c>
      <c r="U130" s="51">
        <f>_xlfn.IFS(T130="Rendah",'B.kriteria &amp; R.kecocokan'!$C$57,T130="Sedang",'B.kriteria &amp; R.kecocokan'!$C$58,T130="Tinggi",'B.kriteria &amp; R.kecocokan'!$C$59)</f>
        <v>5</v>
      </c>
      <c r="V130" s="51" t="str">
        <f>'B.kriteria &amp; R.kecocokan'!$B$65</f>
        <v>Rendah</v>
      </c>
      <c r="W130" s="9">
        <f>_xlfn.IFS(V130="Rendah",'B.kriteria &amp; R.kecocokan'!$C$65,V130="Sedang",'B.kriteria &amp; R.kecocokan'!$C$66,V130="Tinggi",'B.kriteria &amp; R.kecocokan'!$C$67)</f>
        <v>1</v>
      </c>
      <c r="X130" s="117">
        <f t="shared" si="13"/>
        <v>7.094000667581545</v>
      </c>
      <c r="Y130" s="117">
        <f t="shared" si="14"/>
        <v>5.5901699437494745</v>
      </c>
      <c r="Z130" s="119">
        <f t="shared" si="15"/>
        <v>5.5901699437494745</v>
      </c>
      <c r="AA130" s="55" t="str">
        <f t="shared" si="16"/>
        <v>Tidak Layak</v>
      </c>
    </row>
    <row r="131" spans="1:27" x14ac:dyDescent="0.35">
      <c r="A131" s="5">
        <v>18</v>
      </c>
      <c r="B131" s="2" t="s">
        <v>52</v>
      </c>
      <c r="C131" s="11" t="s">
        <v>13</v>
      </c>
      <c r="D131" s="32" t="str">
        <f>'B.kriteria &amp; R.kecocokan'!$B$24</f>
        <v>Cukup</v>
      </c>
      <c r="E131" s="111">
        <f>_xlfn.IFS(D131="Banyak",'B.kriteria &amp; R.kecocokan'!$C$23,D131="Cukup",'B.kriteria &amp; R.kecocokan'!$C$24,D131="Sedikit",'B.kriteria &amp; R.kecocokan'!$C$25)</f>
        <v>5</v>
      </c>
      <c r="F131" s="9" t="str">
        <f>'B.kriteria &amp; R.kecocokan'!$B$35</f>
        <v>Sangat Tinggi</v>
      </c>
      <c r="G131" s="8">
        <f>_xlfn.IFS(F131="Tinggi",'B.kriteria &amp; R.kecocokan'!$C$34,F131="Sangat Tinggi",'B.kriteria &amp; R.kecocokan'!$C$35)</f>
        <v>10</v>
      </c>
      <c r="H131" s="8" t="str">
        <f>'B.kriteria &amp; R.kecocokan'!$B$41</f>
        <v>Rendah</v>
      </c>
      <c r="I131" s="8">
        <f>_xlfn.IFS(H131="Rendah",'B.kriteria &amp; R.kecocokan'!$C$41,H131="Sedang",'B.kriteria &amp; R.kecocokan'!$C$42,H131="Tinggi",'B.kriteria &amp; R.kecocokan'!$C$43)</f>
        <v>2.5</v>
      </c>
      <c r="J131" s="8" t="str">
        <f>'B.kriteria &amp; R.kecocokan'!$B$72</f>
        <v>Rendah</v>
      </c>
      <c r="K131" s="8">
        <f>_xlfn.IFS(J131="Rendah",'B.kriteria &amp; R.kecocokan'!$C$72,J131="Sedang",'B.kriteria &amp; R.kecocokan'!$C$73,J131="Tinggi",'B.kriteria &amp; R.kecocokan'!$C$74)</f>
        <v>2.5</v>
      </c>
      <c r="L131" s="8" t="str">
        <f>'B.kriteria &amp; R.kecocokan'!$B$95</f>
        <v>Rendah</v>
      </c>
      <c r="M131" s="8">
        <f>_xlfn.IFS(L131="Rendah",'B.kriteria &amp; R.kecocokan'!$C$95,L131="Tinggi",'B.kriteria &amp; R.kecocokan'!$C$96)</f>
        <v>2.5</v>
      </c>
      <c r="N131" s="8" t="str">
        <f>'B.kriteria &amp; R.kecocokan'!$B$80</f>
        <v>Rendah</v>
      </c>
      <c r="O131" s="8">
        <f>_xlfn.IFS(N131="Rendah",'B.kriteria &amp; R.kecocokan'!$C$80,N131="Tinggi",'B.kriteria &amp; R.kecocokan'!$C$81)</f>
        <v>2.5</v>
      </c>
      <c r="P131" s="9" t="str">
        <f>'B.kriteria &amp; R.kecocokan'!$B$88</f>
        <v>Sedang</v>
      </c>
      <c r="Q131" s="8">
        <f>_xlfn.IFS(P131="Sedikit",'B.kriteria &amp; R.kecocokan'!$C$89,P131="Sedang",'B.kriteria &amp; R.kecocokan'!$C$88,P131="Sangat Sedikit",'B.kriteria &amp; R.kecocokan'!$C$90)</f>
        <v>5</v>
      </c>
      <c r="R131" s="9" t="str">
        <f>'B.kriteria &amp; R.kecocokan'!$B$50</f>
        <v>Sedang</v>
      </c>
      <c r="S131" s="8">
        <f>_xlfn.IFS(R131="Rendah",'B.kriteria &amp; R.kecocokan'!$C$49,R131="Sedang",'B.kriteria &amp; R.kecocokan'!$C$50,R131="Tinggi",'B.kriteria &amp; R.kecocokan'!$C$51)</f>
        <v>5</v>
      </c>
      <c r="T131" s="9" t="str">
        <f>'B.kriteria &amp; R.kecocokan'!$B$58</f>
        <v>Sedang</v>
      </c>
      <c r="U131" s="51">
        <f>_xlfn.IFS(T131="Rendah",'B.kriteria &amp; R.kecocokan'!$C$57,T131="Sedang",'B.kriteria &amp; R.kecocokan'!$C$58,T131="Tinggi",'B.kriteria &amp; R.kecocokan'!$C$59)</f>
        <v>5</v>
      </c>
      <c r="V131" s="51" t="str">
        <f>'B.kriteria &amp; R.kecocokan'!$B$65</f>
        <v>Rendah</v>
      </c>
      <c r="W131" s="9">
        <f>_xlfn.IFS(V131="Rendah",'B.kriteria &amp; R.kecocokan'!$C$65,V131="Sedang",'B.kriteria &amp; R.kecocokan'!$C$66,V131="Tinggi",'B.kriteria &amp; R.kecocokan'!$C$67)</f>
        <v>1</v>
      </c>
      <c r="X131" s="117">
        <f t="shared" si="13"/>
        <v>5.7809262031900541</v>
      </c>
      <c r="Y131" s="117">
        <f t="shared" si="14"/>
        <v>3.5355339059327378</v>
      </c>
      <c r="Z131" s="119">
        <f t="shared" si="15"/>
        <v>3.5355339059327378</v>
      </c>
      <c r="AA131" s="55" t="str">
        <f t="shared" si="16"/>
        <v>Tidak Layak</v>
      </c>
    </row>
    <row r="132" spans="1:27" x14ac:dyDescent="0.35">
      <c r="A132" s="5">
        <v>19</v>
      </c>
      <c r="B132" s="2" t="s">
        <v>55</v>
      </c>
      <c r="C132" s="11" t="s">
        <v>13</v>
      </c>
      <c r="D132" s="9" t="str">
        <f>'B.kriteria &amp; R.kecocokan'!$B$25</f>
        <v>Sedikit</v>
      </c>
      <c r="E132" s="111">
        <f>_xlfn.IFS(D132="Banyak",'B.kriteria &amp; R.kecocokan'!$C$23,D132="Cukup",'B.kriteria &amp; R.kecocokan'!$C$24,D132="Sedikit",'B.kriteria &amp; R.kecocokan'!$C$25)</f>
        <v>7.5</v>
      </c>
      <c r="F132" s="9" t="str">
        <f>'B.kriteria &amp; R.kecocokan'!$B$34</f>
        <v>Tinggi</v>
      </c>
      <c r="G132" s="8">
        <f>_xlfn.IFS(F132="Tinggi",'B.kriteria &amp; R.kecocokan'!$C$34,F132="Sangat Tinggi",'B.kriteria &amp; R.kecocokan'!$C$35)</f>
        <v>7.5</v>
      </c>
      <c r="H132" s="8" t="str">
        <f>'B.kriteria &amp; R.kecocokan'!$B$41</f>
        <v>Rendah</v>
      </c>
      <c r="I132" s="8">
        <f>_xlfn.IFS(H132="Rendah",'B.kriteria &amp; R.kecocokan'!$C$41,H132="Sedang",'B.kriteria &amp; R.kecocokan'!$C$42,H132="Tinggi",'B.kriteria &amp; R.kecocokan'!$C$43)</f>
        <v>2.5</v>
      </c>
      <c r="J132" s="8" t="str">
        <f>'B.kriteria &amp; R.kecocokan'!$B$72</f>
        <v>Rendah</v>
      </c>
      <c r="K132" s="8">
        <f>_xlfn.IFS(J132="Rendah",'B.kriteria &amp; R.kecocokan'!$C$72,J132="Sedang",'B.kriteria &amp; R.kecocokan'!$C$73,J132="Tinggi",'B.kriteria &amp; R.kecocokan'!$C$74)</f>
        <v>2.5</v>
      </c>
      <c r="L132" s="8" t="str">
        <f>'B.kriteria &amp; R.kecocokan'!$B$95</f>
        <v>Rendah</v>
      </c>
      <c r="M132" s="8">
        <f>_xlfn.IFS(L132="Rendah",'B.kriteria &amp; R.kecocokan'!$C$95,L132="Tinggi",'B.kriteria &amp; R.kecocokan'!$C$96)</f>
        <v>2.5</v>
      </c>
      <c r="N132" s="9" t="str">
        <f>'B.kriteria &amp; R.kecocokan'!$B$81</f>
        <v>Tinggi</v>
      </c>
      <c r="O132" s="8">
        <f>_xlfn.IFS(N132="Rendah",'B.kriteria &amp; R.kecocokan'!$C$80,N132="Tinggi",'B.kriteria &amp; R.kecocokan'!$C$81)</f>
        <v>7.5</v>
      </c>
      <c r="P132" s="9" t="str">
        <f>'B.kriteria &amp; R.kecocokan'!$B$90</f>
        <v>Sangat Sedikit</v>
      </c>
      <c r="Q132" s="8">
        <f>_xlfn.IFS(P132="Sedikit",'B.kriteria &amp; R.kecocokan'!$C$89,P132="Sedang",'B.kriteria &amp; R.kecocokan'!$C$88,P132="Sangat Sedikit",'B.kriteria &amp; R.kecocokan'!$C$90)</f>
        <v>1</v>
      </c>
      <c r="R132" s="8" t="str">
        <f>'B.kriteria &amp; R.kecocokan'!$B$49</f>
        <v>Rendah</v>
      </c>
      <c r="S132" s="8">
        <f>_xlfn.IFS(R132="Rendah",'B.kriteria &amp; R.kecocokan'!$C$49,R132="Sedang",'B.kriteria &amp; R.kecocokan'!$C$50,R132="Tinggi",'B.kriteria &amp; R.kecocokan'!$C$51)</f>
        <v>2.5</v>
      </c>
      <c r="T132" s="9" t="str">
        <f>'B.kriteria &amp; R.kecocokan'!$B$58</f>
        <v>Sedang</v>
      </c>
      <c r="U132" s="51">
        <f>_xlfn.IFS(T132="Rendah",'B.kriteria &amp; R.kecocokan'!$C$57,T132="Sedang",'B.kriteria &amp; R.kecocokan'!$C$58,T132="Tinggi",'B.kriteria &amp; R.kecocokan'!$C$59)</f>
        <v>5</v>
      </c>
      <c r="V132" s="51" t="str">
        <f>'B.kriteria &amp; R.kecocokan'!$B$65</f>
        <v>Rendah</v>
      </c>
      <c r="W132" s="9">
        <f>_xlfn.IFS(V132="Rendah",'B.kriteria &amp; R.kecocokan'!$C$65,V132="Sedang",'B.kriteria &amp; R.kecocokan'!$C$66,V132="Tinggi",'B.kriteria &amp; R.kecocokan'!$C$67)</f>
        <v>1</v>
      </c>
      <c r="X132" s="117">
        <f t="shared" si="13"/>
        <v>3.5582173971551962</v>
      </c>
      <c r="Y132" s="117">
        <f t="shared" si="14"/>
        <v>7.7298124168701534</v>
      </c>
      <c r="Z132" s="119">
        <f t="shared" si="15"/>
        <v>3.5582173971551962</v>
      </c>
      <c r="AA132" s="55" t="str">
        <f t="shared" si="16"/>
        <v>Layak</v>
      </c>
    </row>
    <row r="133" spans="1:27" x14ac:dyDescent="0.35">
      <c r="A133" s="1">
        <v>20</v>
      </c>
      <c r="B133" s="2" t="s">
        <v>56</v>
      </c>
      <c r="C133" s="11" t="s">
        <v>13</v>
      </c>
      <c r="D133" s="32" t="str">
        <f>'B.kriteria &amp; R.kecocokan'!$B$24</f>
        <v>Cukup</v>
      </c>
      <c r="E133" s="111">
        <f>_xlfn.IFS(D133="Banyak",'B.kriteria &amp; R.kecocokan'!$C$23,D133="Cukup",'B.kriteria &amp; R.kecocokan'!$C$24,D133="Sedikit",'B.kriteria &amp; R.kecocokan'!$C$25)</f>
        <v>5</v>
      </c>
      <c r="F133" s="9" t="str">
        <f>'B.kriteria &amp; R.kecocokan'!$B$34</f>
        <v>Tinggi</v>
      </c>
      <c r="G133" s="8">
        <f>_xlfn.IFS(F133="Tinggi",'B.kriteria &amp; R.kecocokan'!$C$34,F133="Sangat Tinggi",'B.kriteria &amp; R.kecocokan'!$C$35)</f>
        <v>7.5</v>
      </c>
      <c r="H133" s="8" t="str">
        <f>'B.kriteria &amp; R.kecocokan'!$B$41</f>
        <v>Rendah</v>
      </c>
      <c r="I133" s="8">
        <f>_xlfn.IFS(H133="Rendah",'B.kriteria &amp; R.kecocokan'!$C$41,H133="Sedang",'B.kriteria &amp; R.kecocokan'!$C$42,H133="Tinggi",'B.kriteria &amp; R.kecocokan'!$C$43)</f>
        <v>2.5</v>
      </c>
      <c r="J133" s="8" t="str">
        <f>'B.kriteria &amp; R.kecocokan'!$B$72</f>
        <v>Rendah</v>
      </c>
      <c r="K133" s="8">
        <f>_xlfn.IFS(J133="Rendah",'B.kriteria &amp; R.kecocokan'!$C$72,J133="Sedang",'B.kriteria &amp; R.kecocokan'!$C$73,J133="Tinggi",'B.kriteria &amp; R.kecocokan'!$C$74)</f>
        <v>2.5</v>
      </c>
      <c r="L133" s="8" t="str">
        <f>'B.kriteria &amp; R.kecocokan'!$B$95</f>
        <v>Rendah</v>
      </c>
      <c r="M133" s="8">
        <f>_xlfn.IFS(L133="Rendah",'B.kriteria &amp; R.kecocokan'!$C$95,L133="Tinggi",'B.kriteria &amp; R.kecocokan'!$C$96)</f>
        <v>2.5</v>
      </c>
      <c r="N133" s="8" t="str">
        <f>'B.kriteria &amp; R.kecocokan'!$B$80</f>
        <v>Rendah</v>
      </c>
      <c r="O133" s="8">
        <f>_xlfn.IFS(N133="Rendah",'B.kriteria &amp; R.kecocokan'!$C$80,N133="Tinggi",'B.kriteria &amp; R.kecocokan'!$C$81)</f>
        <v>2.5</v>
      </c>
      <c r="P133" s="8" t="str">
        <f>'B.kriteria &amp; R.kecocokan'!$B$89</f>
        <v>Sedikit</v>
      </c>
      <c r="Q133" s="8">
        <f>_xlfn.IFS(P133="Sedikit",'B.kriteria &amp; R.kecocokan'!$C$89,P133="Sedang",'B.kriteria &amp; R.kecocokan'!$C$88,P133="Sangat Sedikit",'B.kriteria &amp; R.kecocokan'!$C$90)</f>
        <v>2.5</v>
      </c>
      <c r="R133" s="8" t="str">
        <f>'B.kriteria &amp; R.kecocokan'!$B$49</f>
        <v>Rendah</v>
      </c>
      <c r="S133" s="8">
        <f>_xlfn.IFS(R133="Rendah",'B.kriteria &amp; R.kecocokan'!$C$49,R133="Sedang",'B.kriteria &amp; R.kecocokan'!$C$50,R133="Tinggi",'B.kriteria &amp; R.kecocokan'!$C$51)</f>
        <v>2.5</v>
      </c>
      <c r="T133" s="9" t="str">
        <f>'B.kriteria &amp; R.kecocokan'!$B$58</f>
        <v>Sedang</v>
      </c>
      <c r="U133" s="51">
        <f>_xlfn.IFS(T133="Rendah",'B.kriteria &amp; R.kecocokan'!$C$57,T133="Sedang",'B.kriteria &amp; R.kecocokan'!$C$58,T133="Tinggi",'B.kriteria &amp; R.kecocokan'!$C$59)</f>
        <v>5</v>
      </c>
      <c r="V133" s="51" t="str">
        <f>'B.kriteria &amp; R.kecocokan'!$B$65</f>
        <v>Rendah</v>
      </c>
      <c r="W133" s="9">
        <f>_xlfn.IFS(V133="Rendah",'B.kriteria &amp; R.kecocokan'!$C$65,V133="Sedang",'B.kriteria &amp; R.kecocokan'!$C$66,V133="Tinggi",'B.kriteria &amp; R.kecocokan'!$C$67)</f>
        <v>1</v>
      </c>
      <c r="X133" s="117">
        <f t="shared" si="13"/>
        <v>3.5868968591534358</v>
      </c>
      <c r="Y133" s="117">
        <f t="shared" si="14"/>
        <v>4.3301270189221936</v>
      </c>
      <c r="Z133" s="119">
        <f t="shared" si="15"/>
        <v>3.5868968591534358</v>
      </c>
      <c r="AA133" s="55" t="str">
        <f t="shared" si="16"/>
        <v>Layak</v>
      </c>
    </row>
    <row r="134" spans="1:27" x14ac:dyDescent="0.35">
      <c r="A134" s="5">
        <v>21</v>
      </c>
      <c r="B134" s="2" t="s">
        <v>57</v>
      </c>
      <c r="C134" s="11" t="s">
        <v>13</v>
      </c>
      <c r="D134" s="9" t="str">
        <f>'B.kriteria &amp; R.kecocokan'!$B$25</f>
        <v>Sedikit</v>
      </c>
      <c r="E134" s="111">
        <f>_xlfn.IFS(D134="Banyak",'B.kriteria &amp; R.kecocokan'!$C$23,D134="Cukup",'B.kriteria &amp; R.kecocokan'!$C$24,D134="Sedikit",'B.kriteria &amp; R.kecocokan'!$C$25)</f>
        <v>7.5</v>
      </c>
      <c r="F134" s="9" t="str">
        <f>'B.kriteria &amp; R.kecocokan'!$B$35</f>
        <v>Sangat Tinggi</v>
      </c>
      <c r="G134" s="8">
        <f>_xlfn.IFS(F134="Tinggi",'B.kriteria &amp; R.kecocokan'!$C$34,F134="Sangat Tinggi",'B.kriteria &amp; R.kecocokan'!$C$35)</f>
        <v>10</v>
      </c>
      <c r="H134" s="8" t="str">
        <f>'B.kriteria &amp; R.kecocokan'!$B$41</f>
        <v>Rendah</v>
      </c>
      <c r="I134" s="8">
        <f>_xlfn.IFS(H134="Rendah",'B.kriteria &amp; R.kecocokan'!$C$41,H134="Sedang",'B.kriteria &amp; R.kecocokan'!$C$42,H134="Tinggi",'B.kriteria &amp; R.kecocokan'!$C$43)</f>
        <v>2.5</v>
      </c>
      <c r="J134" s="8" t="str">
        <f>'B.kriteria &amp; R.kecocokan'!$B$72</f>
        <v>Rendah</v>
      </c>
      <c r="K134" s="8">
        <f>_xlfn.IFS(J134="Rendah",'B.kriteria &amp; R.kecocokan'!$C$72,J134="Sedang",'B.kriteria &amp; R.kecocokan'!$C$73,J134="Tinggi",'B.kriteria &amp; R.kecocokan'!$C$74)</f>
        <v>2.5</v>
      </c>
      <c r="L134" s="8" t="str">
        <f>'B.kriteria &amp; R.kecocokan'!$B$95</f>
        <v>Rendah</v>
      </c>
      <c r="M134" s="8">
        <f>_xlfn.IFS(L134="Rendah",'B.kriteria &amp; R.kecocokan'!$C$95,L134="Tinggi",'B.kriteria &amp; R.kecocokan'!$C$96)</f>
        <v>2.5</v>
      </c>
      <c r="N134" s="9" t="str">
        <f>'B.kriteria &amp; R.kecocokan'!$B$81</f>
        <v>Tinggi</v>
      </c>
      <c r="O134" s="8">
        <f>_xlfn.IFS(N134="Rendah",'B.kriteria &amp; R.kecocokan'!$C$80,N134="Tinggi",'B.kriteria &amp; R.kecocokan'!$C$81)</f>
        <v>7.5</v>
      </c>
      <c r="P134" s="9" t="str">
        <f>'B.kriteria &amp; R.kecocokan'!$B$90</f>
        <v>Sangat Sedikit</v>
      </c>
      <c r="Q134" s="8">
        <f>_xlfn.IFS(P134="Sedikit",'B.kriteria &amp; R.kecocokan'!$C$89,P134="Sedang",'B.kriteria &amp; R.kecocokan'!$C$88,P134="Sangat Sedikit",'B.kriteria &amp; R.kecocokan'!$C$90)</f>
        <v>1</v>
      </c>
      <c r="R134" s="8" t="str">
        <f>'B.kriteria &amp; R.kecocokan'!$B$49</f>
        <v>Rendah</v>
      </c>
      <c r="S134" s="8">
        <f>_xlfn.IFS(R134="Rendah",'B.kriteria &amp; R.kecocokan'!$C$49,R134="Sedang",'B.kriteria &amp; R.kecocokan'!$C$50,R134="Tinggi",'B.kriteria &amp; R.kecocokan'!$C$51)</f>
        <v>2.5</v>
      </c>
      <c r="T134" s="9" t="str">
        <f>'B.kriteria &amp; R.kecocokan'!$B$58</f>
        <v>Sedang</v>
      </c>
      <c r="U134" s="51">
        <f>_xlfn.IFS(T134="Rendah",'B.kriteria &amp; R.kecocokan'!$C$57,T134="Sedang",'B.kriteria &amp; R.kecocokan'!$C$58,T134="Tinggi",'B.kriteria &amp; R.kecocokan'!$C$59)</f>
        <v>5</v>
      </c>
      <c r="V134" s="51" t="str">
        <f>'B.kriteria &amp; R.kecocokan'!$B$65</f>
        <v>Rendah</v>
      </c>
      <c r="W134" s="9">
        <f>_xlfn.IFS(V134="Rendah",'B.kriteria &amp; R.kecocokan'!$C$65,V134="Sedang",'B.kriteria &amp; R.kecocokan'!$C$66,V134="Tinggi",'B.kriteria &amp; R.kecocokan'!$C$67)</f>
        <v>1</v>
      </c>
      <c r="X134" s="117">
        <f t="shared" si="13"/>
        <v>4.15590745603446</v>
      </c>
      <c r="Y134" s="117">
        <f t="shared" si="14"/>
        <v>7.3143694191638966</v>
      </c>
      <c r="Z134" s="119">
        <f t="shared" si="15"/>
        <v>4.15590745603446</v>
      </c>
      <c r="AA134" s="55" t="str">
        <f t="shared" si="16"/>
        <v>Layak</v>
      </c>
    </row>
    <row r="135" spans="1:27" x14ac:dyDescent="0.35">
      <c r="A135" s="5">
        <v>22</v>
      </c>
      <c r="B135" s="2" t="s">
        <v>59</v>
      </c>
      <c r="C135" s="11" t="s">
        <v>13</v>
      </c>
      <c r="D135" s="9" t="str">
        <f>'B.kriteria &amp; R.kecocokan'!$B$23</f>
        <v>Banyak</v>
      </c>
      <c r="E135" s="111">
        <f>_xlfn.IFS(D135="Banyak",'B.kriteria &amp; R.kecocokan'!$C$23,D135="Cukup",'B.kriteria &amp; R.kecocokan'!$C$24,D135="Sedikit",'B.kriteria &amp; R.kecocokan'!$C$25)</f>
        <v>2.5</v>
      </c>
      <c r="F135" s="9" t="str">
        <f>'B.kriteria &amp; R.kecocokan'!$B$34</f>
        <v>Tinggi</v>
      </c>
      <c r="G135" s="8">
        <f>_xlfn.IFS(F135="Tinggi",'B.kriteria &amp; R.kecocokan'!$C$34,F135="Sangat Tinggi",'B.kriteria &amp; R.kecocokan'!$C$35)</f>
        <v>7.5</v>
      </c>
      <c r="H135" s="8" t="str">
        <f>'B.kriteria &amp; R.kecocokan'!$B$41</f>
        <v>Rendah</v>
      </c>
      <c r="I135" s="8">
        <f>_xlfn.IFS(H135="Rendah",'B.kriteria &amp; R.kecocokan'!$C$41,H135="Sedang",'B.kriteria &amp; R.kecocokan'!$C$42,H135="Tinggi",'B.kriteria &amp; R.kecocokan'!$C$43)</f>
        <v>2.5</v>
      </c>
      <c r="J135" s="8" t="str">
        <f>'B.kriteria &amp; R.kecocokan'!$B$72</f>
        <v>Rendah</v>
      </c>
      <c r="K135" s="8">
        <f>_xlfn.IFS(J135="Rendah",'B.kriteria &amp; R.kecocokan'!$C$72,J135="Sedang",'B.kriteria &amp; R.kecocokan'!$C$73,J135="Tinggi",'B.kriteria &amp; R.kecocokan'!$C$74)</f>
        <v>2.5</v>
      </c>
      <c r="L135" s="8" t="str">
        <f>'B.kriteria &amp; R.kecocokan'!$B$95</f>
        <v>Rendah</v>
      </c>
      <c r="M135" s="8">
        <f>_xlfn.IFS(L135="Rendah",'B.kriteria &amp; R.kecocokan'!$C$95,L135="Tinggi",'B.kriteria &amp; R.kecocokan'!$C$96)</f>
        <v>2.5</v>
      </c>
      <c r="N135" s="8" t="str">
        <f>'B.kriteria &amp; R.kecocokan'!$B$80</f>
        <v>Rendah</v>
      </c>
      <c r="O135" s="8">
        <f>_xlfn.IFS(N135="Rendah",'B.kriteria &amp; R.kecocokan'!$C$80,N135="Tinggi",'B.kriteria &amp; R.kecocokan'!$C$81)</f>
        <v>2.5</v>
      </c>
      <c r="P135" s="9" t="str">
        <f>'B.kriteria &amp; R.kecocokan'!$B$88</f>
        <v>Sedang</v>
      </c>
      <c r="Q135" s="8">
        <f>_xlfn.IFS(P135="Sedikit",'B.kriteria &amp; R.kecocokan'!$C$89,P135="Sedang",'B.kriteria &amp; R.kecocokan'!$C$88,P135="Sangat Sedikit",'B.kriteria &amp; R.kecocokan'!$C$90)</f>
        <v>5</v>
      </c>
      <c r="R135" s="8" t="str">
        <f>'B.kriteria &amp; R.kecocokan'!$B$49</f>
        <v>Rendah</v>
      </c>
      <c r="S135" s="8">
        <f>_xlfn.IFS(R135="Rendah",'B.kriteria &amp; R.kecocokan'!$C$49,R135="Sedang",'B.kriteria &amp; R.kecocokan'!$C$50,R135="Tinggi",'B.kriteria &amp; R.kecocokan'!$C$51)</f>
        <v>2.5</v>
      </c>
      <c r="T135" s="8" t="str">
        <f>'B.kriteria &amp; R.kecocokan'!$B$57</f>
        <v>Rendah</v>
      </c>
      <c r="U135" s="51">
        <f>_xlfn.IFS(T135="Rendah",'B.kriteria &amp; R.kecocokan'!$C$57,T135="Sedang",'B.kriteria &amp; R.kecocokan'!$C$58,T135="Tinggi",'B.kriteria &amp; R.kecocokan'!$C$59)</f>
        <v>2.5</v>
      </c>
      <c r="V135" s="51" t="str">
        <f>'B.kriteria &amp; R.kecocokan'!$B$65</f>
        <v>Rendah</v>
      </c>
      <c r="W135" s="9">
        <f>_xlfn.IFS(V135="Rendah",'B.kriteria &amp; R.kecocokan'!$C$65,V135="Sedang",'B.kriteria &amp; R.kecocokan'!$C$66,V135="Tinggi",'B.kriteria &amp; R.kecocokan'!$C$67)</f>
        <v>1</v>
      </c>
      <c r="X135" s="117">
        <f t="shared" si="13"/>
        <v>5.5272285376771766</v>
      </c>
      <c r="Y135" s="117">
        <f t="shared" si="14"/>
        <v>3.5355339059327378</v>
      </c>
      <c r="Z135" s="119">
        <f t="shared" si="15"/>
        <v>3.5355339059327378</v>
      </c>
      <c r="AA135" s="55" t="str">
        <f t="shared" si="16"/>
        <v>Tidak Layak</v>
      </c>
    </row>
    <row r="136" spans="1:27" x14ac:dyDescent="0.35">
      <c r="A136" s="1">
        <v>23</v>
      </c>
      <c r="B136" s="2" t="s">
        <v>61</v>
      </c>
      <c r="C136" s="11" t="s">
        <v>13</v>
      </c>
      <c r="D136" s="32" t="str">
        <f>'B.kriteria &amp; R.kecocokan'!$B$24</f>
        <v>Cukup</v>
      </c>
      <c r="E136" s="111">
        <f>_xlfn.IFS(D136="Banyak",'B.kriteria &amp; R.kecocokan'!$C$23,D136="Cukup",'B.kriteria &amp; R.kecocokan'!$C$24,D136="Sedikit",'B.kriteria &amp; R.kecocokan'!$C$25)</f>
        <v>5</v>
      </c>
      <c r="F136" s="9" t="str">
        <f>'B.kriteria &amp; R.kecocokan'!$B$34</f>
        <v>Tinggi</v>
      </c>
      <c r="G136" s="8">
        <f>_xlfn.IFS(F136="Tinggi",'B.kriteria &amp; R.kecocokan'!$C$34,F136="Sangat Tinggi",'B.kriteria &amp; R.kecocokan'!$C$35)</f>
        <v>7.5</v>
      </c>
      <c r="H136" s="8" t="str">
        <f>'B.kriteria &amp; R.kecocokan'!$B$41</f>
        <v>Rendah</v>
      </c>
      <c r="I136" s="8">
        <f>_xlfn.IFS(H136="Rendah",'B.kriteria &amp; R.kecocokan'!$C$41,H136="Sedang",'B.kriteria &amp; R.kecocokan'!$C$42,H136="Tinggi",'B.kriteria &amp; R.kecocokan'!$C$43)</f>
        <v>2.5</v>
      </c>
      <c r="J136" s="8" t="str">
        <f>'B.kriteria &amp; R.kecocokan'!$B$72</f>
        <v>Rendah</v>
      </c>
      <c r="K136" s="8">
        <f>_xlfn.IFS(J136="Rendah",'B.kriteria &amp; R.kecocokan'!$C$72,J136="Sedang",'B.kriteria &amp; R.kecocokan'!$C$73,J136="Tinggi",'B.kriteria &amp; R.kecocokan'!$C$74)</f>
        <v>2.5</v>
      </c>
      <c r="L136" s="8" t="str">
        <f>'B.kriteria &amp; R.kecocokan'!$B$95</f>
        <v>Rendah</v>
      </c>
      <c r="M136" s="8">
        <f>_xlfn.IFS(L136="Rendah",'B.kriteria &amp; R.kecocokan'!$C$95,L136="Tinggi",'B.kriteria &amp; R.kecocokan'!$C$96)</f>
        <v>2.5</v>
      </c>
      <c r="N136" s="8" t="str">
        <f>'B.kriteria &amp; R.kecocokan'!$B$80</f>
        <v>Rendah</v>
      </c>
      <c r="O136" s="8">
        <f>_xlfn.IFS(N136="Rendah",'B.kriteria &amp; R.kecocokan'!$C$80,N136="Tinggi",'B.kriteria &amp; R.kecocokan'!$C$81)</f>
        <v>2.5</v>
      </c>
      <c r="P136" s="9" t="str">
        <f>'B.kriteria &amp; R.kecocokan'!$B$88</f>
        <v>Sedang</v>
      </c>
      <c r="Q136" s="8">
        <f>_xlfn.IFS(P136="Sedikit",'B.kriteria &amp; R.kecocokan'!$C$89,P136="Sedang",'B.kriteria &amp; R.kecocokan'!$C$88,P136="Sangat Sedikit",'B.kriteria &amp; R.kecocokan'!$C$90)</f>
        <v>5</v>
      </c>
      <c r="R136" s="8" t="str">
        <f>'B.kriteria &amp; R.kecocokan'!$B$49</f>
        <v>Rendah</v>
      </c>
      <c r="S136" s="8">
        <f>_xlfn.IFS(R136="Rendah",'B.kriteria &amp; R.kecocokan'!$C$49,R136="Sedang",'B.kriteria &amp; R.kecocokan'!$C$50,R136="Tinggi",'B.kriteria &amp; R.kecocokan'!$C$51)</f>
        <v>2.5</v>
      </c>
      <c r="T136" s="8" t="str">
        <f>'B.kriteria &amp; R.kecocokan'!$B$57</f>
        <v>Rendah</v>
      </c>
      <c r="U136" s="51">
        <f>_xlfn.IFS(T136="Rendah",'B.kriteria &amp; R.kecocokan'!$C$57,T136="Sedang",'B.kriteria &amp; R.kecocokan'!$C$58,T136="Tinggi",'B.kriteria &amp; R.kecocokan'!$C$59)</f>
        <v>2.5</v>
      </c>
      <c r="V136" s="51" t="str">
        <f>'B.kriteria &amp; R.kecocokan'!$B$65</f>
        <v>Rendah</v>
      </c>
      <c r="W136" s="9">
        <f>_xlfn.IFS(V136="Rendah",'B.kriteria &amp; R.kecocokan'!$C$65,V136="Sedang",'B.kriteria &amp; R.kecocokan'!$C$66,V136="Tinggi",'B.kriteria &amp; R.kecocokan'!$C$67)</f>
        <v>1</v>
      </c>
      <c r="X136" s="117">
        <f t="shared" si="13"/>
        <v>4.6514858788868185</v>
      </c>
      <c r="Y136" s="117">
        <f t="shared" si="14"/>
        <v>2.5</v>
      </c>
      <c r="Z136" s="119">
        <f t="shared" si="15"/>
        <v>2.5</v>
      </c>
      <c r="AA136" s="55" t="str">
        <f t="shared" si="16"/>
        <v>Tidak Layak</v>
      </c>
    </row>
    <row r="137" spans="1:27" x14ac:dyDescent="0.35">
      <c r="A137" s="122">
        <v>24</v>
      </c>
      <c r="B137" s="88" t="s">
        <v>62</v>
      </c>
      <c r="C137" s="123" t="s">
        <v>13</v>
      </c>
      <c r="D137" s="124" t="str">
        <f>'B.kriteria &amp; R.kecocokan'!$B$24</f>
        <v>Cukup</v>
      </c>
      <c r="E137" s="125">
        <f>_xlfn.IFS(D137="Banyak",'B.kriteria &amp; R.kecocokan'!$C$23,D137="Cukup",'B.kriteria &amp; R.kecocokan'!$C$24,D137="Sedikit",'B.kriteria &amp; R.kecocokan'!$C$25)</f>
        <v>5</v>
      </c>
      <c r="F137" s="126" t="str">
        <f>'B.kriteria &amp; R.kecocokan'!$B$35</f>
        <v>Sangat Tinggi</v>
      </c>
      <c r="G137" s="127">
        <f>_xlfn.IFS(F137="Tinggi",'B.kriteria &amp; R.kecocokan'!$C$34,F137="Sangat Tinggi",'B.kriteria &amp; R.kecocokan'!$C$35)</f>
        <v>10</v>
      </c>
      <c r="H137" s="127" t="str">
        <f>'B.kriteria &amp; R.kecocokan'!$B$41</f>
        <v>Rendah</v>
      </c>
      <c r="I137" s="127">
        <f>_xlfn.IFS(H137="Rendah",'B.kriteria &amp; R.kecocokan'!$C$41,H137="Sedang",'B.kriteria &amp; R.kecocokan'!$C$42,H137="Tinggi",'B.kriteria &amp; R.kecocokan'!$C$43)</f>
        <v>2.5</v>
      </c>
      <c r="J137" s="127" t="str">
        <f>'B.kriteria &amp; R.kecocokan'!$B$72</f>
        <v>Rendah</v>
      </c>
      <c r="K137" s="127">
        <f>_xlfn.IFS(J137="Rendah",'B.kriteria &amp; R.kecocokan'!$C$72,J137="Sedang",'B.kriteria &amp; R.kecocokan'!$C$73,J137="Tinggi",'B.kriteria &amp; R.kecocokan'!$C$74)</f>
        <v>2.5</v>
      </c>
      <c r="L137" s="127" t="str">
        <f>'B.kriteria &amp; R.kecocokan'!$B$95</f>
        <v>Rendah</v>
      </c>
      <c r="M137" s="127">
        <f>_xlfn.IFS(L137="Rendah",'B.kriteria &amp; R.kecocokan'!$C$95,L137="Tinggi",'B.kriteria &amp; R.kecocokan'!$C$96)</f>
        <v>2.5</v>
      </c>
      <c r="N137" s="127" t="str">
        <f>'B.kriteria &amp; R.kecocokan'!$B$80</f>
        <v>Rendah</v>
      </c>
      <c r="O137" s="127">
        <f>_xlfn.IFS(N137="Rendah",'B.kriteria &amp; R.kecocokan'!$C$80,N137="Tinggi",'B.kriteria &amp; R.kecocokan'!$C$81)</f>
        <v>2.5</v>
      </c>
      <c r="P137" s="126" t="str">
        <f>'B.kriteria &amp; R.kecocokan'!$B$88</f>
        <v>Sedang</v>
      </c>
      <c r="Q137" s="127">
        <f>_xlfn.IFS(P137="Sedikit",'B.kriteria &amp; R.kecocokan'!$C$89,P137="Sedang",'B.kriteria &amp; R.kecocokan'!$C$88,P137="Sangat Sedikit",'B.kriteria &amp; R.kecocokan'!$C$90)</f>
        <v>5</v>
      </c>
      <c r="R137" s="127" t="str">
        <f>'B.kriteria &amp; R.kecocokan'!$B$49</f>
        <v>Rendah</v>
      </c>
      <c r="S137" s="127">
        <f>_xlfn.IFS(R137="Rendah",'B.kriteria &amp; R.kecocokan'!$C$49,R137="Sedang",'B.kriteria &amp; R.kecocokan'!$C$50,R137="Tinggi",'B.kriteria &amp; R.kecocokan'!$C$51)</f>
        <v>2.5</v>
      </c>
      <c r="T137" s="127" t="str">
        <f>'B.kriteria &amp; R.kecocokan'!$B$57</f>
        <v>Rendah</v>
      </c>
      <c r="U137" s="128">
        <f>_xlfn.IFS(T137="Rendah",'B.kriteria &amp; R.kecocokan'!$C$57,T137="Sedang",'B.kriteria &amp; R.kecocokan'!$C$58,T137="Tinggi",'B.kriteria &amp; R.kecocokan'!$C$59)</f>
        <v>2.5</v>
      </c>
      <c r="V137" s="128" t="str">
        <f>'B.kriteria &amp; R.kecocokan'!$B$65</f>
        <v>Rendah</v>
      </c>
      <c r="W137" s="126">
        <f>_xlfn.IFS(V137="Rendah",'B.kriteria &amp; R.kecocokan'!$C$65,V137="Sedang",'B.kriteria &amp; R.kecocokan'!$C$66,V137="Tinggi",'B.kriteria &amp; R.kecocokan'!$C$67)</f>
        <v>1</v>
      </c>
      <c r="X137" s="129">
        <f t="shared" si="13"/>
        <v>5.123180322728099</v>
      </c>
      <c r="Y137" s="129">
        <f t="shared" si="14"/>
        <v>0</v>
      </c>
      <c r="Z137" s="130">
        <f t="shared" si="15"/>
        <v>0</v>
      </c>
      <c r="AA137" s="131" t="str">
        <f t="shared" si="16"/>
        <v>Tidak Layak</v>
      </c>
    </row>
    <row r="138" spans="1:27" x14ac:dyDescent="0.35">
      <c r="A138" s="5">
        <v>25</v>
      </c>
      <c r="B138" s="2" t="s">
        <v>64</v>
      </c>
      <c r="C138" s="11" t="s">
        <v>13</v>
      </c>
      <c r="D138" s="9" t="str">
        <f>'B.kriteria &amp; R.kecocokan'!$B$25</f>
        <v>Sedikit</v>
      </c>
      <c r="E138" s="111">
        <f>_xlfn.IFS(D138="Banyak",'B.kriteria &amp; R.kecocokan'!$C$23,D138="Cukup",'B.kriteria &amp; R.kecocokan'!$C$24,D138="Sedikit",'B.kriteria &amp; R.kecocokan'!$C$25)</f>
        <v>7.5</v>
      </c>
      <c r="F138" s="9" t="str">
        <f>'B.kriteria &amp; R.kecocokan'!$B$35</f>
        <v>Sangat Tinggi</v>
      </c>
      <c r="G138" s="8">
        <f>_xlfn.IFS(F138="Tinggi",'B.kriteria &amp; R.kecocokan'!$C$34,F138="Sangat Tinggi",'B.kriteria &amp; R.kecocokan'!$C$35)</f>
        <v>10</v>
      </c>
      <c r="H138" s="8" t="str">
        <f>'B.kriteria &amp; R.kecocokan'!$B$41</f>
        <v>Rendah</v>
      </c>
      <c r="I138" s="8">
        <f>_xlfn.IFS(H138="Rendah",'B.kriteria &amp; R.kecocokan'!$C$41,H138="Sedang",'B.kriteria &amp; R.kecocokan'!$C$42,H138="Tinggi",'B.kriteria &amp; R.kecocokan'!$C$43)</f>
        <v>2.5</v>
      </c>
      <c r="J138" s="8" t="str">
        <f>'B.kriteria &amp; R.kecocokan'!$B$72</f>
        <v>Rendah</v>
      </c>
      <c r="K138" s="8">
        <f>_xlfn.IFS(J138="Rendah",'B.kriteria &amp; R.kecocokan'!$C$72,J138="Sedang",'B.kriteria &amp; R.kecocokan'!$C$73,J138="Tinggi",'B.kriteria &amp; R.kecocokan'!$C$74)</f>
        <v>2.5</v>
      </c>
      <c r="L138" s="8" t="str">
        <f>'B.kriteria &amp; R.kecocokan'!$B$95</f>
        <v>Rendah</v>
      </c>
      <c r="M138" s="8">
        <f>_xlfn.IFS(L138="Rendah",'B.kriteria &amp; R.kecocokan'!$C$95,L138="Tinggi",'B.kriteria &amp; R.kecocokan'!$C$96)</f>
        <v>2.5</v>
      </c>
      <c r="N138" s="9" t="str">
        <f>'B.kriteria &amp; R.kecocokan'!$B$81</f>
        <v>Tinggi</v>
      </c>
      <c r="O138" s="8">
        <f>_xlfn.IFS(N138="Rendah",'B.kriteria &amp; R.kecocokan'!$C$80,N138="Tinggi",'B.kriteria &amp; R.kecocokan'!$C$81)</f>
        <v>7.5</v>
      </c>
      <c r="P138" s="9" t="str">
        <f>'B.kriteria &amp; R.kecocokan'!$B$90</f>
        <v>Sangat Sedikit</v>
      </c>
      <c r="Q138" s="8">
        <f>_xlfn.IFS(P138="Sedikit",'B.kriteria &amp; R.kecocokan'!$C$89,P138="Sedang",'B.kriteria &amp; R.kecocokan'!$C$88,P138="Sangat Sedikit",'B.kriteria &amp; R.kecocokan'!$C$90)</f>
        <v>1</v>
      </c>
      <c r="R138" s="8" t="str">
        <f>'B.kriteria &amp; R.kecocokan'!$B$49</f>
        <v>Rendah</v>
      </c>
      <c r="S138" s="8">
        <f>_xlfn.IFS(R138="Rendah",'B.kriteria &amp; R.kecocokan'!$C$49,R138="Sedang",'B.kriteria &amp; R.kecocokan'!$C$50,R138="Tinggi",'B.kriteria &amp; R.kecocokan'!$C$51)</f>
        <v>2.5</v>
      </c>
      <c r="T138" s="9" t="str">
        <f>'B.kriteria &amp; R.kecocokan'!$B$58</f>
        <v>Sedang</v>
      </c>
      <c r="U138" s="51">
        <f>_xlfn.IFS(T138="Rendah",'B.kriteria &amp; R.kecocokan'!$C$57,T138="Sedang",'B.kriteria &amp; R.kecocokan'!$C$58,T138="Tinggi",'B.kriteria &amp; R.kecocokan'!$C$59)</f>
        <v>5</v>
      </c>
      <c r="V138" s="51" t="str">
        <f>'B.kriteria &amp; R.kecocokan'!$B$65</f>
        <v>Rendah</v>
      </c>
      <c r="W138" s="9">
        <f>_xlfn.IFS(V138="Rendah",'B.kriteria &amp; R.kecocokan'!$C$65,V138="Sedang",'B.kriteria &amp; R.kecocokan'!$C$66,V138="Tinggi",'B.kriteria &amp; R.kecocokan'!$C$67)</f>
        <v>1</v>
      </c>
      <c r="X138" s="117">
        <f t="shared" si="13"/>
        <v>4.15590745603446</v>
      </c>
      <c r="Y138" s="117">
        <f t="shared" si="14"/>
        <v>7.3143694191638966</v>
      </c>
      <c r="Z138" s="119">
        <f t="shared" si="15"/>
        <v>4.15590745603446</v>
      </c>
      <c r="AA138" s="55" t="str">
        <f t="shared" si="16"/>
        <v>Layak</v>
      </c>
    </row>
    <row r="139" spans="1:27" x14ac:dyDescent="0.35">
      <c r="A139" s="1">
        <v>26</v>
      </c>
      <c r="B139" s="2" t="s">
        <v>66</v>
      </c>
      <c r="C139" s="11" t="s">
        <v>13</v>
      </c>
      <c r="D139" s="9" t="str">
        <f>'B.kriteria &amp; R.kecocokan'!$B$25</f>
        <v>Sedikit</v>
      </c>
      <c r="E139" s="111">
        <f>_xlfn.IFS(D139="Banyak",'B.kriteria &amp; R.kecocokan'!$C$23,D139="Cukup",'B.kriteria &amp; R.kecocokan'!$C$24,D139="Sedikit",'B.kriteria &amp; R.kecocokan'!$C$25)</f>
        <v>7.5</v>
      </c>
      <c r="F139" s="9" t="str">
        <f>'B.kriteria &amp; R.kecocokan'!$B$34</f>
        <v>Tinggi</v>
      </c>
      <c r="G139" s="8">
        <f>_xlfn.IFS(F139="Tinggi",'B.kriteria &amp; R.kecocokan'!$C$34,F139="Sangat Tinggi",'B.kriteria &amp; R.kecocokan'!$C$35)</f>
        <v>7.5</v>
      </c>
      <c r="H139" s="8" t="str">
        <f>'B.kriteria &amp; R.kecocokan'!$B$41</f>
        <v>Rendah</v>
      </c>
      <c r="I139" s="8">
        <f>_xlfn.IFS(H139="Rendah",'B.kriteria &amp; R.kecocokan'!$C$41,H139="Sedang",'B.kriteria &amp; R.kecocokan'!$C$42,H139="Tinggi",'B.kriteria &amp; R.kecocokan'!$C$43)</f>
        <v>2.5</v>
      </c>
      <c r="J139" s="8" t="str">
        <f>'B.kriteria &amp; R.kecocokan'!$B$72</f>
        <v>Rendah</v>
      </c>
      <c r="K139" s="8">
        <f>_xlfn.IFS(J139="Rendah",'B.kriteria &amp; R.kecocokan'!$C$72,J139="Sedang",'B.kriteria &amp; R.kecocokan'!$C$73,J139="Tinggi",'B.kriteria &amp; R.kecocokan'!$C$74)</f>
        <v>2.5</v>
      </c>
      <c r="L139" s="8" t="str">
        <f>'B.kriteria &amp; R.kecocokan'!$B$95</f>
        <v>Rendah</v>
      </c>
      <c r="M139" s="8">
        <f>_xlfn.IFS(L139="Rendah",'B.kriteria &amp; R.kecocokan'!$C$95,L139="Tinggi",'B.kriteria &amp; R.kecocokan'!$C$96)</f>
        <v>2.5</v>
      </c>
      <c r="N139" s="9" t="str">
        <f>'B.kriteria &amp; R.kecocokan'!$B$81</f>
        <v>Tinggi</v>
      </c>
      <c r="O139" s="8">
        <f>_xlfn.IFS(N139="Rendah",'B.kriteria &amp; R.kecocokan'!$C$80,N139="Tinggi",'B.kriteria &amp; R.kecocokan'!$C$81)</f>
        <v>7.5</v>
      </c>
      <c r="P139" s="9" t="str">
        <f>'B.kriteria &amp; R.kecocokan'!$B$90</f>
        <v>Sangat Sedikit</v>
      </c>
      <c r="Q139" s="8">
        <f>_xlfn.IFS(P139="Sedikit",'B.kriteria &amp; R.kecocokan'!$C$89,P139="Sedang",'B.kriteria &amp; R.kecocokan'!$C$88,P139="Sangat Sedikit",'B.kriteria &amp; R.kecocokan'!$C$90)</f>
        <v>1</v>
      </c>
      <c r="R139" s="8" t="str">
        <f>'B.kriteria &amp; R.kecocokan'!$B$49</f>
        <v>Rendah</v>
      </c>
      <c r="S139" s="8">
        <f>_xlfn.IFS(R139="Rendah",'B.kriteria &amp; R.kecocokan'!$C$49,R139="Sedang",'B.kriteria &amp; R.kecocokan'!$C$50,R139="Tinggi",'B.kriteria &amp; R.kecocokan'!$C$51)</f>
        <v>2.5</v>
      </c>
      <c r="T139" s="8" t="str">
        <f>'B.kriteria &amp; R.kecocokan'!$B$57</f>
        <v>Rendah</v>
      </c>
      <c r="U139" s="51">
        <f>_xlfn.IFS(T139="Rendah",'B.kriteria &amp; R.kecocokan'!$C$57,T139="Sedang",'B.kriteria &amp; R.kecocokan'!$C$58,T139="Tinggi",'B.kriteria &amp; R.kecocokan'!$C$59)</f>
        <v>2.5</v>
      </c>
      <c r="V139" s="51" t="str">
        <f>'B.kriteria &amp; R.kecocokan'!$B$65</f>
        <v>Rendah</v>
      </c>
      <c r="W139" s="9">
        <f>_xlfn.IFS(V139="Rendah",'B.kriteria &amp; R.kecocokan'!$C$65,V139="Sedang",'B.kriteria &amp; R.kecocokan'!$C$66,V139="Tinggi",'B.kriteria &amp; R.kecocokan'!$C$67)</f>
        <v>1</v>
      </c>
      <c r="X139" s="117">
        <f t="shared" si="13"/>
        <v>3.1455552137571754</v>
      </c>
      <c r="Y139" s="117">
        <f t="shared" si="14"/>
        <v>7.3143694191638966</v>
      </c>
      <c r="Z139" s="119">
        <f t="shared" si="15"/>
        <v>3.1455552137571754</v>
      </c>
      <c r="AA139" s="55" t="str">
        <f t="shared" si="16"/>
        <v>Layak</v>
      </c>
    </row>
    <row r="140" spans="1:27" x14ac:dyDescent="0.35">
      <c r="A140" s="5">
        <v>27</v>
      </c>
      <c r="B140" s="2" t="s">
        <v>68</v>
      </c>
      <c r="C140" s="11" t="s">
        <v>13</v>
      </c>
      <c r="D140" s="32" t="str">
        <f>'B.kriteria &amp; R.kecocokan'!$B$24</f>
        <v>Cukup</v>
      </c>
      <c r="E140" s="111">
        <f>_xlfn.IFS(D140="Banyak",'B.kriteria &amp; R.kecocokan'!$C$23,D140="Cukup",'B.kriteria &amp; R.kecocokan'!$C$24,D140="Sedikit",'B.kriteria &amp; R.kecocokan'!$C$25)</f>
        <v>5</v>
      </c>
      <c r="F140" s="9" t="str">
        <f>'B.kriteria &amp; R.kecocokan'!$B$34</f>
        <v>Tinggi</v>
      </c>
      <c r="G140" s="8">
        <f>_xlfn.IFS(F140="Tinggi",'B.kriteria &amp; R.kecocokan'!$C$34,F140="Sangat Tinggi",'B.kriteria &amp; R.kecocokan'!$C$35)</f>
        <v>7.5</v>
      </c>
      <c r="H140" s="9" t="str">
        <f>'B.kriteria &amp; R.kecocokan'!$B$43</f>
        <v>Tinggi</v>
      </c>
      <c r="I140" s="8">
        <f>_xlfn.IFS(H140="Rendah",'B.kriteria &amp; R.kecocokan'!$C$41,H140="Sedang",'B.kriteria &amp; R.kecocokan'!$C$42,H140="Tinggi",'B.kriteria &amp; R.kecocokan'!$C$43)</f>
        <v>7.5</v>
      </c>
      <c r="J140" s="8" t="str">
        <f>'B.kriteria &amp; R.kecocokan'!$B$72</f>
        <v>Rendah</v>
      </c>
      <c r="K140" s="8">
        <f>_xlfn.IFS(J140="Rendah",'B.kriteria &amp; R.kecocokan'!$C$72,J140="Sedang",'B.kriteria &amp; R.kecocokan'!$C$73,J140="Tinggi",'B.kriteria &amp; R.kecocokan'!$C$74)</f>
        <v>2.5</v>
      </c>
      <c r="L140" s="8" t="str">
        <f>'B.kriteria &amp; R.kecocokan'!$B$95</f>
        <v>Rendah</v>
      </c>
      <c r="M140" s="8">
        <f>_xlfn.IFS(L140="Rendah",'B.kriteria &amp; R.kecocokan'!$C$95,L140="Tinggi",'B.kriteria &amp; R.kecocokan'!$C$96)</f>
        <v>2.5</v>
      </c>
      <c r="N140" s="8" t="str">
        <f>'B.kriteria &amp; R.kecocokan'!$B$80</f>
        <v>Rendah</v>
      </c>
      <c r="O140" s="8">
        <f>_xlfn.IFS(N140="Rendah",'B.kriteria &amp; R.kecocokan'!$C$80,N140="Tinggi",'B.kriteria &amp; R.kecocokan'!$C$81)</f>
        <v>2.5</v>
      </c>
      <c r="P140" s="9" t="str">
        <f>'B.kriteria &amp; R.kecocokan'!$B$88</f>
        <v>Sedang</v>
      </c>
      <c r="Q140" s="8">
        <f>_xlfn.IFS(P140="Sedikit",'B.kriteria &amp; R.kecocokan'!$C$89,P140="Sedang",'B.kriteria &amp; R.kecocokan'!$C$88,P140="Sangat Sedikit",'B.kriteria &amp; R.kecocokan'!$C$90)</f>
        <v>5</v>
      </c>
      <c r="R140" s="8" t="str">
        <f>'B.kriteria &amp; R.kecocokan'!$B$49</f>
        <v>Rendah</v>
      </c>
      <c r="S140" s="8">
        <f>_xlfn.IFS(R140="Rendah",'B.kriteria &amp; R.kecocokan'!$C$49,R140="Sedang",'B.kriteria &amp; R.kecocokan'!$C$50,R140="Tinggi",'B.kriteria &amp; R.kecocokan'!$C$51)</f>
        <v>2.5</v>
      </c>
      <c r="T140" s="8" t="str">
        <f>'B.kriteria &amp; R.kecocokan'!$B$57</f>
        <v>Rendah</v>
      </c>
      <c r="U140" s="51">
        <f>_xlfn.IFS(T140="Rendah",'B.kriteria &amp; R.kecocokan'!$C$57,T140="Sedang",'B.kriteria &amp; R.kecocokan'!$C$58,T140="Tinggi",'B.kriteria &amp; R.kecocokan'!$C$59)</f>
        <v>2.5</v>
      </c>
      <c r="V140" s="51" t="str">
        <f>'B.kriteria &amp; R.kecocokan'!$B$65</f>
        <v>Rendah</v>
      </c>
      <c r="W140" s="9">
        <f>_xlfn.IFS(V140="Rendah",'B.kriteria &amp; R.kecocokan'!$C$65,V140="Sedang",'B.kriteria &amp; R.kecocokan'!$C$66,V140="Tinggi",'B.kriteria &amp; R.kecocokan'!$C$67)</f>
        <v>1</v>
      </c>
      <c r="X140" s="117">
        <f t="shared" si="13"/>
        <v>6.5221131717983667</v>
      </c>
      <c r="Y140" s="117">
        <f t="shared" si="14"/>
        <v>5.5901699437494745</v>
      </c>
      <c r="Z140" s="119">
        <f t="shared" si="15"/>
        <v>5.5901699437494745</v>
      </c>
      <c r="AA140" s="55" t="str">
        <f t="shared" si="16"/>
        <v>Tidak Layak</v>
      </c>
    </row>
    <row r="141" spans="1:27" x14ac:dyDescent="0.35">
      <c r="A141" s="5">
        <v>28</v>
      </c>
      <c r="B141" s="2" t="s">
        <v>69</v>
      </c>
      <c r="C141" s="11" t="s">
        <v>13</v>
      </c>
      <c r="D141" s="32" t="str">
        <f>'B.kriteria &amp; R.kecocokan'!$B$24</f>
        <v>Cukup</v>
      </c>
      <c r="E141" s="111">
        <f>_xlfn.IFS(D141="Banyak",'B.kriteria &amp; R.kecocokan'!$C$23,D141="Cukup",'B.kriteria &amp; R.kecocokan'!$C$24,D141="Sedikit",'B.kriteria &amp; R.kecocokan'!$C$25)</f>
        <v>5</v>
      </c>
      <c r="F141" s="9" t="str">
        <f>'B.kriteria &amp; R.kecocokan'!$B$34</f>
        <v>Tinggi</v>
      </c>
      <c r="G141" s="8">
        <f>_xlfn.IFS(F141="Tinggi",'B.kriteria &amp; R.kecocokan'!$C$34,F141="Sangat Tinggi",'B.kriteria &amp; R.kecocokan'!$C$35)</f>
        <v>7.5</v>
      </c>
      <c r="H141" s="8" t="str">
        <f>'B.kriteria &amp; R.kecocokan'!$B$41</f>
        <v>Rendah</v>
      </c>
      <c r="I141" s="8">
        <f>_xlfn.IFS(H141="Rendah",'B.kriteria &amp; R.kecocokan'!$C$41,H141="Sedang",'B.kriteria &amp; R.kecocokan'!$C$42,H141="Tinggi",'B.kriteria &amp; R.kecocokan'!$C$43)</f>
        <v>2.5</v>
      </c>
      <c r="J141" s="8" t="str">
        <f>'B.kriteria &amp; R.kecocokan'!$B$72</f>
        <v>Rendah</v>
      </c>
      <c r="K141" s="8">
        <f>_xlfn.IFS(J141="Rendah",'B.kriteria &amp; R.kecocokan'!$C$72,J141="Sedang",'B.kriteria &amp; R.kecocokan'!$C$73,J141="Tinggi",'B.kriteria &amp; R.kecocokan'!$C$74)</f>
        <v>2.5</v>
      </c>
      <c r="L141" s="8" t="str">
        <f>'B.kriteria &amp; R.kecocokan'!$B$95</f>
        <v>Rendah</v>
      </c>
      <c r="M141" s="8">
        <f>_xlfn.IFS(L141="Rendah",'B.kriteria &amp; R.kecocokan'!$C$95,L141="Tinggi",'B.kriteria &amp; R.kecocokan'!$C$96)</f>
        <v>2.5</v>
      </c>
      <c r="N141" s="8" t="str">
        <f>'B.kriteria &amp; R.kecocokan'!$B$80</f>
        <v>Rendah</v>
      </c>
      <c r="O141" s="8">
        <f>_xlfn.IFS(N141="Rendah",'B.kriteria &amp; R.kecocokan'!$C$80,N141="Tinggi",'B.kriteria &amp; R.kecocokan'!$C$81)</f>
        <v>2.5</v>
      </c>
      <c r="P141" s="8" t="str">
        <f>'B.kriteria &amp; R.kecocokan'!$B$89</f>
        <v>Sedikit</v>
      </c>
      <c r="Q141" s="8">
        <f>_xlfn.IFS(P141="Sedikit",'B.kriteria &amp; R.kecocokan'!$C$89,P141="Sedang",'B.kriteria &amp; R.kecocokan'!$C$88,P141="Sangat Sedikit",'B.kriteria &amp; R.kecocokan'!$C$90)</f>
        <v>2.5</v>
      </c>
      <c r="R141" s="8" t="str">
        <f>'B.kriteria &amp; R.kecocokan'!$B$49</f>
        <v>Rendah</v>
      </c>
      <c r="S141" s="8">
        <f>_xlfn.IFS(R141="Rendah",'B.kriteria &amp; R.kecocokan'!$C$49,R141="Sedang",'B.kriteria &amp; R.kecocokan'!$C$50,R141="Tinggi",'B.kriteria &amp; R.kecocokan'!$C$51)</f>
        <v>2.5</v>
      </c>
      <c r="T141" s="9" t="str">
        <f>'B.kriteria &amp; R.kecocokan'!$B$58</f>
        <v>Sedang</v>
      </c>
      <c r="U141" s="51">
        <f>_xlfn.IFS(T141="Rendah",'B.kriteria &amp; R.kecocokan'!$C$57,T141="Sedang",'B.kriteria &amp; R.kecocokan'!$C$58,T141="Tinggi",'B.kriteria &amp; R.kecocokan'!$C$59)</f>
        <v>5</v>
      </c>
      <c r="V141" s="51" t="str">
        <f>'B.kriteria &amp; R.kecocokan'!$B$65</f>
        <v>Rendah</v>
      </c>
      <c r="W141" s="9">
        <f>_xlfn.IFS(V141="Rendah",'B.kriteria &amp; R.kecocokan'!$C$65,V141="Sedang",'B.kriteria &amp; R.kecocokan'!$C$66,V141="Tinggi",'B.kriteria &amp; R.kecocokan'!$C$67)</f>
        <v>1</v>
      </c>
      <c r="X141" s="117">
        <f t="shared" si="13"/>
        <v>3.5868968591534358</v>
      </c>
      <c r="Y141" s="117">
        <f t="shared" si="14"/>
        <v>4.3301270189221936</v>
      </c>
      <c r="Z141" s="119">
        <f t="shared" si="15"/>
        <v>3.5868968591534358</v>
      </c>
      <c r="AA141" s="55" t="str">
        <f t="shared" si="16"/>
        <v>Layak</v>
      </c>
    </row>
    <row r="142" spans="1:27" x14ac:dyDescent="0.35">
      <c r="A142" s="1">
        <v>29</v>
      </c>
      <c r="B142" s="2" t="s">
        <v>70</v>
      </c>
      <c r="C142" s="11" t="s">
        <v>13</v>
      </c>
      <c r="D142" s="9" t="str">
        <f>'B.kriteria &amp; R.kecocokan'!$B$23</f>
        <v>Banyak</v>
      </c>
      <c r="E142" s="111">
        <f>_xlfn.IFS(D142="Banyak",'B.kriteria &amp; R.kecocokan'!$C$23,D142="Cukup",'B.kriteria &amp; R.kecocokan'!$C$24,D142="Sedikit",'B.kriteria &amp; R.kecocokan'!$C$25)</f>
        <v>2.5</v>
      </c>
      <c r="F142" s="9" t="str">
        <f>'B.kriteria &amp; R.kecocokan'!$B$35</f>
        <v>Sangat Tinggi</v>
      </c>
      <c r="G142" s="8">
        <f>_xlfn.IFS(F142="Tinggi",'B.kriteria &amp; R.kecocokan'!$C$34,F142="Sangat Tinggi",'B.kriteria &amp; R.kecocokan'!$C$35)</f>
        <v>10</v>
      </c>
      <c r="H142" s="8" t="str">
        <f>'B.kriteria &amp; R.kecocokan'!$B$41</f>
        <v>Rendah</v>
      </c>
      <c r="I142" s="8">
        <f>_xlfn.IFS(H142="Rendah",'B.kriteria &amp; R.kecocokan'!$C$41,H142="Sedang",'B.kriteria &amp; R.kecocokan'!$C$42,H142="Tinggi",'B.kriteria &amp; R.kecocokan'!$C$43)</f>
        <v>2.5</v>
      </c>
      <c r="J142" s="8" t="str">
        <f>'B.kriteria &amp; R.kecocokan'!$B$72</f>
        <v>Rendah</v>
      </c>
      <c r="K142" s="8">
        <f>_xlfn.IFS(J142="Rendah",'B.kriteria &amp; R.kecocokan'!$C$72,J142="Sedang",'B.kriteria &amp; R.kecocokan'!$C$73,J142="Tinggi",'B.kriteria &amp; R.kecocokan'!$C$74)</f>
        <v>2.5</v>
      </c>
      <c r="L142" s="8" t="str">
        <f>'B.kriteria &amp; R.kecocokan'!$B$95</f>
        <v>Rendah</v>
      </c>
      <c r="M142" s="8">
        <f>_xlfn.IFS(L142="Rendah",'B.kriteria &amp; R.kecocokan'!$C$95,L142="Tinggi",'B.kriteria &amp; R.kecocokan'!$C$96)</f>
        <v>2.5</v>
      </c>
      <c r="N142" s="8" t="str">
        <f>'B.kriteria &amp; R.kecocokan'!$B$80</f>
        <v>Rendah</v>
      </c>
      <c r="O142" s="8">
        <f>_xlfn.IFS(N142="Rendah",'B.kriteria &amp; R.kecocokan'!$C$80,N142="Tinggi",'B.kriteria &amp; R.kecocokan'!$C$81)</f>
        <v>2.5</v>
      </c>
      <c r="P142" s="9" t="str">
        <f>'B.kriteria &amp; R.kecocokan'!$B$90</f>
        <v>Sangat Sedikit</v>
      </c>
      <c r="Q142" s="8">
        <f>_xlfn.IFS(P142="Sedikit",'B.kriteria &amp; R.kecocokan'!$C$89,P142="Sedang",'B.kriteria &amp; R.kecocokan'!$C$88,P142="Sangat Sedikit",'B.kriteria &amp; R.kecocokan'!$C$90)</f>
        <v>1</v>
      </c>
      <c r="R142" s="8" t="str">
        <f>'B.kriteria &amp; R.kecocokan'!$B$49</f>
        <v>Rendah</v>
      </c>
      <c r="S142" s="8">
        <f>_xlfn.IFS(R142="Rendah",'B.kriteria &amp; R.kecocokan'!$C$49,R142="Sedang",'B.kriteria &amp; R.kecocokan'!$C$50,R142="Tinggi",'B.kriteria &amp; R.kecocokan'!$C$51)</f>
        <v>2.5</v>
      </c>
      <c r="T142" s="8" t="str">
        <f>'B.kriteria &amp; R.kecocokan'!$B$57</f>
        <v>Rendah</v>
      </c>
      <c r="U142" s="51">
        <f>_xlfn.IFS(T142="Rendah",'B.kriteria &amp; R.kecocokan'!$C$57,T142="Sedang",'B.kriteria &amp; R.kecocokan'!$C$58,T142="Tinggi",'B.kriteria &amp; R.kecocokan'!$C$59)</f>
        <v>2.5</v>
      </c>
      <c r="V142" s="51" t="str">
        <f>'B.kriteria &amp; R.kecocokan'!$B$65</f>
        <v>Rendah</v>
      </c>
      <c r="W142" s="9">
        <f>_xlfn.IFS(V142="Rendah",'B.kriteria &amp; R.kecocokan'!$C$65,V142="Sedang",'B.kriteria &amp; R.kecocokan'!$C$66,V142="Tinggi",'B.kriteria &amp; R.kecocokan'!$C$67)</f>
        <v>1</v>
      </c>
      <c r="X142" s="117">
        <f t="shared" si="13"/>
        <v>4.7646505277906028</v>
      </c>
      <c r="Y142" s="117">
        <f t="shared" si="14"/>
        <v>4.7169905660283016</v>
      </c>
      <c r="Z142" s="119">
        <f t="shared" si="15"/>
        <v>4.7169905660283016</v>
      </c>
      <c r="AA142" s="55" t="str">
        <f t="shared" si="16"/>
        <v>Tidak Layak</v>
      </c>
    </row>
    <row r="143" spans="1:27" x14ac:dyDescent="0.35">
      <c r="A143" s="5">
        <v>30</v>
      </c>
      <c r="B143" s="2" t="s">
        <v>71</v>
      </c>
      <c r="C143" s="11" t="s">
        <v>13</v>
      </c>
      <c r="D143" s="9" t="str">
        <f>'B.kriteria &amp; R.kecocokan'!$B$25</f>
        <v>Sedikit</v>
      </c>
      <c r="E143" s="111">
        <f>_xlfn.IFS(D143="Banyak",'B.kriteria &amp; R.kecocokan'!$C$23,D143="Cukup",'B.kriteria &amp; R.kecocokan'!$C$24,D143="Sedikit",'B.kriteria &amp; R.kecocokan'!$C$25)</f>
        <v>7.5</v>
      </c>
      <c r="F143" s="9" t="str">
        <f>'B.kriteria &amp; R.kecocokan'!$B$35</f>
        <v>Sangat Tinggi</v>
      </c>
      <c r="G143" s="8">
        <f>_xlfn.IFS(F143="Tinggi",'B.kriteria &amp; R.kecocokan'!$C$34,F143="Sangat Tinggi",'B.kriteria &amp; R.kecocokan'!$C$35)</f>
        <v>10</v>
      </c>
      <c r="H143" s="8" t="str">
        <f>'B.kriteria &amp; R.kecocokan'!$B$41</f>
        <v>Rendah</v>
      </c>
      <c r="I143" s="8">
        <f>_xlfn.IFS(H143="Rendah",'B.kriteria &amp; R.kecocokan'!$C$41,H143="Sedang",'B.kriteria &amp; R.kecocokan'!$C$42,H143="Tinggi",'B.kriteria &amp; R.kecocokan'!$C$43)</f>
        <v>2.5</v>
      </c>
      <c r="J143" s="8" t="str">
        <f>'B.kriteria &amp; R.kecocokan'!$B$72</f>
        <v>Rendah</v>
      </c>
      <c r="K143" s="8">
        <f>_xlfn.IFS(J143="Rendah",'B.kriteria &amp; R.kecocokan'!$C$72,J143="Sedang",'B.kriteria &amp; R.kecocokan'!$C$73,J143="Tinggi",'B.kriteria &amp; R.kecocokan'!$C$74)</f>
        <v>2.5</v>
      </c>
      <c r="L143" s="8" t="str">
        <f>'B.kriteria &amp; R.kecocokan'!$B$95</f>
        <v>Rendah</v>
      </c>
      <c r="M143" s="8">
        <f>_xlfn.IFS(L143="Rendah",'B.kriteria &amp; R.kecocokan'!$C$95,L143="Tinggi",'B.kriteria &amp; R.kecocokan'!$C$96)</f>
        <v>2.5</v>
      </c>
      <c r="N143" s="9" t="str">
        <f>'B.kriteria &amp; R.kecocokan'!$B$81</f>
        <v>Tinggi</v>
      </c>
      <c r="O143" s="8">
        <f>_xlfn.IFS(N143="Rendah",'B.kriteria &amp; R.kecocokan'!$C$80,N143="Tinggi",'B.kriteria &amp; R.kecocokan'!$C$81)</f>
        <v>7.5</v>
      </c>
      <c r="P143" s="9" t="str">
        <f>'B.kriteria &amp; R.kecocokan'!$B$88</f>
        <v>Sedang</v>
      </c>
      <c r="Q143" s="8">
        <f>_xlfn.IFS(P143="Sedikit",'B.kriteria &amp; R.kecocokan'!$C$89,P143="Sedang",'B.kriteria &amp; R.kecocokan'!$C$88,P143="Sangat Sedikit",'B.kriteria &amp; R.kecocokan'!$C$90)</f>
        <v>5</v>
      </c>
      <c r="R143" s="9" t="str">
        <f>'B.kriteria &amp; R.kecocokan'!$B$51</f>
        <v>Tinggi</v>
      </c>
      <c r="S143" s="8">
        <f>_xlfn.IFS(R143="Rendah",'B.kriteria &amp; R.kecocokan'!$C$49,R143="Sedang",'B.kriteria &amp; R.kecocokan'!$C$50,R143="Tinggi",'B.kriteria &amp; R.kecocokan'!$C$51)</f>
        <v>7.5</v>
      </c>
      <c r="T143" s="9" t="str">
        <f>'B.kriteria &amp; R.kecocokan'!$B$59</f>
        <v>Tinggi</v>
      </c>
      <c r="U143" s="51">
        <f>_xlfn.IFS(T143="Rendah",'B.kriteria &amp; R.kecocokan'!$C$57,T143="Sedang",'B.kriteria &amp; R.kecocokan'!$C$58,T143="Tinggi",'B.kriteria &amp; R.kecocokan'!$C$59)</f>
        <v>7.5</v>
      </c>
      <c r="V143" s="51" t="str">
        <f>'B.kriteria &amp; R.kecocokan'!$B$65</f>
        <v>Rendah</v>
      </c>
      <c r="W143" s="9">
        <f>_xlfn.IFS(V143="Rendah",'B.kriteria &amp; R.kecocokan'!$C$65,V143="Sedang",'B.kriteria &amp; R.kecocokan'!$C$66,V143="Tinggi",'B.kriteria &amp; R.kecocokan'!$C$67)</f>
        <v>1</v>
      </c>
      <c r="X143" s="117">
        <f t="shared" si="13"/>
        <v>8.1430001859894645</v>
      </c>
      <c r="Y143" s="117">
        <f t="shared" si="14"/>
        <v>9.013878188659973</v>
      </c>
      <c r="Z143" s="119">
        <f t="shared" si="15"/>
        <v>8.1430001859894645</v>
      </c>
      <c r="AA143" s="55" t="str">
        <f t="shared" si="16"/>
        <v>Layak</v>
      </c>
    </row>
    <row r="144" spans="1:27" x14ac:dyDescent="0.35">
      <c r="A144" s="5">
        <v>31</v>
      </c>
      <c r="B144" s="2" t="s">
        <v>74</v>
      </c>
      <c r="C144" s="11" t="s">
        <v>13</v>
      </c>
      <c r="D144" s="32" t="str">
        <f>'B.kriteria &amp; R.kecocokan'!$B$24</f>
        <v>Cukup</v>
      </c>
      <c r="E144" s="111">
        <f>_xlfn.IFS(D144="Banyak",'B.kriteria &amp; R.kecocokan'!$C$23,D144="Cukup",'B.kriteria &amp; R.kecocokan'!$C$24,D144="Sedikit",'B.kriteria &amp; R.kecocokan'!$C$25)</f>
        <v>5</v>
      </c>
      <c r="F144" s="9" t="str">
        <f>'B.kriteria &amp; R.kecocokan'!$B$35</f>
        <v>Sangat Tinggi</v>
      </c>
      <c r="G144" s="8">
        <f>_xlfn.IFS(F144="Tinggi",'B.kriteria &amp; R.kecocokan'!$C$34,F144="Sangat Tinggi",'B.kriteria &amp; R.kecocokan'!$C$35)</f>
        <v>10</v>
      </c>
      <c r="H144" s="8" t="str">
        <f>'B.kriteria &amp; R.kecocokan'!$B$41</f>
        <v>Rendah</v>
      </c>
      <c r="I144" s="8">
        <f>_xlfn.IFS(H144="Rendah",'B.kriteria &amp; R.kecocokan'!$C$41,H144="Sedang",'B.kriteria &amp; R.kecocokan'!$C$42,H144="Tinggi",'B.kriteria &amp; R.kecocokan'!$C$43)</f>
        <v>2.5</v>
      </c>
      <c r="J144" s="8" t="str">
        <f>'B.kriteria &amp; R.kecocokan'!$B$72</f>
        <v>Rendah</v>
      </c>
      <c r="K144" s="8">
        <f>_xlfn.IFS(J144="Rendah",'B.kriteria &amp; R.kecocokan'!$C$72,J144="Sedang",'B.kriteria &amp; R.kecocokan'!$C$73,J144="Tinggi",'B.kriteria &amp; R.kecocokan'!$C$74)</f>
        <v>2.5</v>
      </c>
      <c r="L144" s="8" t="str">
        <f>'B.kriteria &amp; R.kecocokan'!$B$95</f>
        <v>Rendah</v>
      </c>
      <c r="M144" s="8">
        <f>_xlfn.IFS(L144="Rendah",'B.kriteria &amp; R.kecocokan'!$C$95,L144="Tinggi",'B.kriteria &amp; R.kecocokan'!$C$96)</f>
        <v>2.5</v>
      </c>
      <c r="N144" s="8" t="str">
        <f>'B.kriteria &amp; R.kecocokan'!$B$80</f>
        <v>Rendah</v>
      </c>
      <c r="O144" s="8">
        <f>_xlfn.IFS(N144="Rendah",'B.kriteria &amp; R.kecocokan'!$C$80,N144="Tinggi",'B.kriteria &amp; R.kecocokan'!$C$81)</f>
        <v>2.5</v>
      </c>
      <c r="P144" s="8" t="str">
        <f>'B.kriteria &amp; R.kecocokan'!$B$89</f>
        <v>Sedikit</v>
      </c>
      <c r="Q144" s="8">
        <f>_xlfn.IFS(P144="Sedikit",'B.kriteria &amp; R.kecocokan'!$C$89,P144="Sedang",'B.kriteria &amp; R.kecocokan'!$C$88,P144="Sangat Sedikit",'B.kriteria &amp; R.kecocokan'!$C$90)</f>
        <v>2.5</v>
      </c>
      <c r="R144" s="8" t="str">
        <f>'B.kriteria &amp; R.kecocokan'!$B$49</f>
        <v>Rendah</v>
      </c>
      <c r="S144" s="8">
        <f>_xlfn.IFS(R144="Rendah",'B.kriteria &amp; R.kecocokan'!$C$49,R144="Sedang",'B.kriteria &amp; R.kecocokan'!$C$50,R144="Tinggi",'B.kriteria &amp; R.kecocokan'!$C$51)</f>
        <v>2.5</v>
      </c>
      <c r="T144" s="9" t="str">
        <f>'B.kriteria &amp; R.kecocokan'!$B$58</f>
        <v>Sedang</v>
      </c>
      <c r="U144" s="51">
        <f>_xlfn.IFS(T144="Rendah",'B.kriteria &amp; R.kecocokan'!$C$57,T144="Sedang",'B.kriteria &amp; R.kecocokan'!$C$58,T144="Tinggi",'B.kriteria &amp; R.kecocokan'!$C$59)</f>
        <v>5</v>
      </c>
      <c r="V144" s="51" t="str">
        <f>'B.kriteria &amp; R.kecocokan'!$B$65</f>
        <v>Rendah</v>
      </c>
      <c r="W144" s="9">
        <f>_xlfn.IFS(V144="Rendah",'B.kriteria &amp; R.kecocokan'!$C$65,V144="Sedang",'B.kriteria &amp; R.kecocokan'!$C$66,V144="Tinggi",'B.kriteria &amp; R.kecocokan'!$C$67)</f>
        <v>1</v>
      </c>
      <c r="X144" s="117">
        <f t="shared" si="13"/>
        <v>4.1804885857887113</v>
      </c>
      <c r="Y144" s="117">
        <f t="shared" si="14"/>
        <v>3.5355339059327378</v>
      </c>
      <c r="Z144" s="119">
        <f t="shared" si="15"/>
        <v>3.5355339059327378</v>
      </c>
      <c r="AA144" s="55" t="str">
        <f t="shared" si="16"/>
        <v>Tidak Layak</v>
      </c>
    </row>
    <row r="145" spans="1:27" x14ac:dyDescent="0.35">
      <c r="A145" s="1">
        <v>32</v>
      </c>
      <c r="B145" s="2" t="s">
        <v>76</v>
      </c>
      <c r="C145" s="11" t="s">
        <v>13</v>
      </c>
      <c r="D145" s="32" t="str">
        <f>'B.kriteria &amp; R.kecocokan'!$B$24</f>
        <v>Cukup</v>
      </c>
      <c r="E145" s="111">
        <f>_xlfn.IFS(D145="Banyak",'B.kriteria &amp; R.kecocokan'!$C$23,D145="Cukup",'B.kriteria &amp; R.kecocokan'!$C$24,D145="Sedikit",'B.kriteria &amp; R.kecocokan'!$C$25)</f>
        <v>5</v>
      </c>
      <c r="F145" s="9" t="str">
        <f>'B.kriteria &amp; R.kecocokan'!$B$34</f>
        <v>Tinggi</v>
      </c>
      <c r="G145" s="8">
        <f>_xlfn.IFS(F145="Tinggi",'B.kriteria &amp; R.kecocokan'!$C$34,F145="Sangat Tinggi",'B.kriteria &amp; R.kecocokan'!$C$35)</f>
        <v>7.5</v>
      </c>
      <c r="H145" s="8" t="str">
        <f>'B.kriteria &amp; R.kecocokan'!$B$41</f>
        <v>Rendah</v>
      </c>
      <c r="I145" s="8">
        <f>_xlfn.IFS(H145="Rendah",'B.kriteria &amp; R.kecocokan'!$C$41,H145="Sedang",'B.kriteria &amp; R.kecocokan'!$C$42,H145="Tinggi",'B.kriteria &amp; R.kecocokan'!$C$43)</f>
        <v>2.5</v>
      </c>
      <c r="J145" s="8" t="str">
        <f>'B.kriteria &amp; R.kecocokan'!$B$72</f>
        <v>Rendah</v>
      </c>
      <c r="K145" s="8">
        <f>_xlfn.IFS(J145="Rendah",'B.kriteria &amp; R.kecocokan'!$C$72,J145="Sedang",'B.kriteria &amp; R.kecocokan'!$C$73,J145="Tinggi",'B.kriteria &amp; R.kecocokan'!$C$74)</f>
        <v>2.5</v>
      </c>
      <c r="L145" s="8" t="str">
        <f>'B.kriteria &amp; R.kecocokan'!$B$95</f>
        <v>Rendah</v>
      </c>
      <c r="M145" s="8">
        <f>_xlfn.IFS(L145="Rendah",'B.kriteria &amp; R.kecocokan'!$C$95,L145="Tinggi",'B.kriteria &amp; R.kecocokan'!$C$96)</f>
        <v>2.5</v>
      </c>
      <c r="N145" s="8" t="str">
        <f>'B.kriteria &amp; R.kecocokan'!$B$80</f>
        <v>Rendah</v>
      </c>
      <c r="O145" s="8">
        <f>_xlfn.IFS(N145="Rendah",'B.kriteria &amp; R.kecocokan'!$C$80,N145="Tinggi",'B.kriteria &amp; R.kecocokan'!$C$81)</f>
        <v>2.5</v>
      </c>
      <c r="P145" s="9" t="str">
        <f>'B.kriteria &amp; R.kecocokan'!$B$88</f>
        <v>Sedang</v>
      </c>
      <c r="Q145" s="8">
        <f>_xlfn.IFS(P145="Sedikit",'B.kriteria &amp; R.kecocokan'!$C$89,P145="Sedang",'B.kriteria &amp; R.kecocokan'!$C$88,P145="Sangat Sedikit",'B.kriteria &amp; R.kecocokan'!$C$90)</f>
        <v>5</v>
      </c>
      <c r="R145" s="8" t="str">
        <f>'B.kriteria &amp; R.kecocokan'!$B$49</f>
        <v>Rendah</v>
      </c>
      <c r="S145" s="8">
        <f>_xlfn.IFS(R145="Rendah",'B.kriteria &amp; R.kecocokan'!$C$49,R145="Sedang",'B.kriteria &amp; R.kecocokan'!$C$50,R145="Tinggi",'B.kriteria &amp; R.kecocokan'!$C$51)</f>
        <v>2.5</v>
      </c>
      <c r="T145" s="8" t="str">
        <f>'B.kriteria &amp; R.kecocokan'!$B$57</f>
        <v>Rendah</v>
      </c>
      <c r="U145" s="51">
        <f>_xlfn.IFS(T145="Rendah",'B.kriteria &amp; R.kecocokan'!$C$57,T145="Sedang",'B.kriteria &amp; R.kecocokan'!$C$58,T145="Tinggi",'B.kriteria &amp; R.kecocokan'!$C$59)</f>
        <v>2.5</v>
      </c>
      <c r="V145" s="51" t="str">
        <f>'B.kriteria &amp; R.kecocokan'!$B$65</f>
        <v>Rendah</v>
      </c>
      <c r="W145" s="9">
        <f>_xlfn.IFS(V145="Rendah",'B.kriteria &amp; R.kecocokan'!$C$65,V145="Sedang",'B.kriteria &amp; R.kecocokan'!$C$66,V145="Tinggi",'B.kriteria &amp; R.kecocokan'!$C$67)</f>
        <v>1</v>
      </c>
      <c r="X145" s="117">
        <f t="shared" si="13"/>
        <v>4.6514858788868185</v>
      </c>
      <c r="Y145" s="117">
        <f t="shared" si="14"/>
        <v>2.5</v>
      </c>
      <c r="Z145" s="119">
        <f t="shared" si="15"/>
        <v>2.5</v>
      </c>
      <c r="AA145" s="55" t="str">
        <f t="shared" si="16"/>
        <v>Tidak Layak</v>
      </c>
    </row>
    <row r="146" spans="1:27" x14ac:dyDescent="0.35">
      <c r="A146" s="5">
        <v>33</v>
      </c>
      <c r="B146" s="2" t="s">
        <v>79</v>
      </c>
      <c r="C146" s="11" t="s">
        <v>13</v>
      </c>
      <c r="D146" s="9" t="str">
        <f>'B.kriteria &amp; R.kecocokan'!$B$25</f>
        <v>Sedikit</v>
      </c>
      <c r="E146" s="111">
        <f>_xlfn.IFS(D146="Banyak",'B.kriteria &amp; R.kecocokan'!$C$23,D146="Cukup",'B.kriteria &amp; R.kecocokan'!$C$24,D146="Sedikit",'B.kriteria &amp; R.kecocokan'!$C$25)</f>
        <v>7.5</v>
      </c>
      <c r="F146" s="9" t="str">
        <f>'B.kriteria &amp; R.kecocokan'!$B$34</f>
        <v>Tinggi</v>
      </c>
      <c r="G146" s="8">
        <f>_xlfn.IFS(F146="Tinggi",'B.kriteria &amp; R.kecocokan'!$C$34,F146="Sangat Tinggi",'B.kriteria &amp; R.kecocokan'!$C$35)</f>
        <v>7.5</v>
      </c>
      <c r="H146" s="9" t="str">
        <f>'B.kriteria &amp; R.kecocokan'!$B$43</f>
        <v>Tinggi</v>
      </c>
      <c r="I146" s="8">
        <f>_xlfn.IFS(H146="Rendah",'B.kriteria &amp; R.kecocokan'!$C$41,H146="Sedang",'B.kriteria &amp; R.kecocokan'!$C$42,H146="Tinggi",'B.kriteria &amp; R.kecocokan'!$C$43)</f>
        <v>7.5</v>
      </c>
      <c r="J146" s="8" t="str">
        <f>'B.kriteria &amp; R.kecocokan'!$B$72</f>
        <v>Rendah</v>
      </c>
      <c r="K146" s="8">
        <f>_xlfn.IFS(J146="Rendah",'B.kriteria &amp; R.kecocokan'!$C$72,J146="Sedang",'B.kriteria &amp; R.kecocokan'!$C$73,J146="Tinggi",'B.kriteria &amp; R.kecocokan'!$C$74)</f>
        <v>2.5</v>
      </c>
      <c r="L146" s="8" t="str">
        <f>'B.kriteria &amp; R.kecocokan'!$B$95</f>
        <v>Rendah</v>
      </c>
      <c r="M146" s="8">
        <f>_xlfn.IFS(L146="Rendah",'B.kriteria &amp; R.kecocokan'!$C$95,L146="Tinggi",'B.kriteria &amp; R.kecocokan'!$C$96)</f>
        <v>2.5</v>
      </c>
      <c r="N146" s="9" t="str">
        <f>'B.kriteria &amp; R.kecocokan'!$B$81</f>
        <v>Tinggi</v>
      </c>
      <c r="O146" s="8">
        <f>_xlfn.IFS(N146="Rendah",'B.kriteria &amp; R.kecocokan'!$C$80,N146="Tinggi",'B.kriteria &amp; R.kecocokan'!$C$81)</f>
        <v>7.5</v>
      </c>
      <c r="P146" s="9" t="str">
        <f>'B.kriteria &amp; R.kecocokan'!$B$90</f>
        <v>Sangat Sedikit</v>
      </c>
      <c r="Q146" s="8">
        <f>_xlfn.IFS(P146="Sedikit",'B.kriteria &amp; R.kecocokan'!$C$89,P146="Sedang",'B.kriteria &amp; R.kecocokan'!$C$88,P146="Sangat Sedikit",'B.kriteria &amp; R.kecocokan'!$C$90)</f>
        <v>1</v>
      </c>
      <c r="R146" s="8" t="str">
        <f>'B.kriteria &amp; R.kecocokan'!$B$49</f>
        <v>Rendah</v>
      </c>
      <c r="S146" s="8">
        <f>_xlfn.IFS(R146="Rendah",'B.kriteria &amp; R.kecocokan'!$C$49,R146="Sedang",'B.kriteria &amp; R.kecocokan'!$C$50,R146="Tinggi",'B.kriteria &amp; R.kecocokan'!$C$51)</f>
        <v>2.5</v>
      </c>
      <c r="T146" s="8" t="str">
        <f>'B.kriteria &amp; R.kecocokan'!$B$57</f>
        <v>Rendah</v>
      </c>
      <c r="U146" s="51">
        <f>_xlfn.IFS(T146="Rendah",'B.kriteria &amp; R.kecocokan'!$C$57,T146="Sedang",'B.kriteria &amp; R.kecocokan'!$C$58,T146="Tinggi",'B.kriteria &amp; R.kecocokan'!$C$59)</f>
        <v>2.5</v>
      </c>
      <c r="V146" s="51" t="str">
        <f>'B.kriteria &amp; R.kecocokan'!$B$65</f>
        <v>Rendah</v>
      </c>
      <c r="W146" s="9">
        <f>_xlfn.IFS(V146="Rendah",'B.kriteria &amp; R.kecocokan'!$C$65,V146="Sedang",'B.kriteria &amp; R.kecocokan'!$C$66,V146="Tinggi",'B.kriteria &amp; R.kecocokan'!$C$67)</f>
        <v>1</v>
      </c>
      <c r="X146" s="117">
        <f t="shared" si="13"/>
        <v>5.549428524366923</v>
      </c>
      <c r="Y146" s="117">
        <f t="shared" si="14"/>
        <v>8.8600225733346747</v>
      </c>
      <c r="Z146" s="119">
        <f t="shared" si="15"/>
        <v>5.549428524366923</v>
      </c>
      <c r="AA146" s="55" t="str">
        <f t="shared" si="16"/>
        <v>Layak</v>
      </c>
    </row>
    <row r="147" spans="1:27" x14ac:dyDescent="0.35">
      <c r="A147" s="5">
        <v>34</v>
      </c>
      <c r="B147" s="2" t="s">
        <v>81</v>
      </c>
      <c r="C147" s="11" t="s">
        <v>13</v>
      </c>
      <c r="D147" s="9" t="str">
        <f>'B.kriteria &amp; R.kecocokan'!$B$23</f>
        <v>Banyak</v>
      </c>
      <c r="E147" s="111">
        <f>_xlfn.IFS(D147="Banyak",'B.kriteria &amp; R.kecocokan'!$C$23,D147="Cukup",'B.kriteria &amp; R.kecocokan'!$C$24,D147="Sedikit",'B.kriteria &amp; R.kecocokan'!$C$25)</f>
        <v>2.5</v>
      </c>
      <c r="F147" s="9" t="str">
        <f>'B.kriteria &amp; R.kecocokan'!$B$34</f>
        <v>Tinggi</v>
      </c>
      <c r="G147" s="8">
        <f>_xlfn.IFS(F147="Tinggi",'B.kriteria &amp; R.kecocokan'!$C$34,F147="Sangat Tinggi",'B.kriteria &amp; R.kecocokan'!$C$35)</f>
        <v>7.5</v>
      </c>
      <c r="H147" s="8" t="str">
        <f>'B.kriteria &amp; R.kecocokan'!$B$41</f>
        <v>Rendah</v>
      </c>
      <c r="I147" s="8">
        <f>_xlfn.IFS(H147="Rendah",'B.kriteria &amp; R.kecocokan'!$C$41,H147="Sedang",'B.kriteria &amp; R.kecocokan'!$C$42,H147="Tinggi",'B.kriteria &amp; R.kecocokan'!$C$43)</f>
        <v>2.5</v>
      </c>
      <c r="J147" s="8" t="str">
        <f>'B.kriteria &amp; R.kecocokan'!$B$72</f>
        <v>Rendah</v>
      </c>
      <c r="K147" s="8">
        <f>_xlfn.IFS(J147="Rendah",'B.kriteria &amp; R.kecocokan'!$C$72,J147="Sedang",'B.kriteria &amp; R.kecocokan'!$C$73,J147="Tinggi",'B.kriteria &amp; R.kecocokan'!$C$74)</f>
        <v>2.5</v>
      </c>
      <c r="L147" s="8" t="str">
        <f>'B.kriteria &amp; R.kecocokan'!$B$95</f>
        <v>Rendah</v>
      </c>
      <c r="M147" s="8">
        <f>_xlfn.IFS(L147="Rendah",'B.kriteria &amp; R.kecocokan'!$C$95,L147="Tinggi",'B.kriteria &amp; R.kecocokan'!$C$96)</f>
        <v>2.5</v>
      </c>
      <c r="N147" s="9" t="str">
        <f>'B.kriteria &amp; R.kecocokan'!$B$81</f>
        <v>Tinggi</v>
      </c>
      <c r="O147" s="8">
        <f>_xlfn.IFS(N147="Rendah",'B.kriteria &amp; R.kecocokan'!$C$80,N147="Tinggi",'B.kriteria &amp; R.kecocokan'!$C$81)</f>
        <v>7.5</v>
      </c>
      <c r="P147" s="9" t="str">
        <f>'B.kriteria &amp; R.kecocokan'!$B$90</f>
        <v>Sangat Sedikit</v>
      </c>
      <c r="Q147" s="8">
        <f>_xlfn.IFS(P147="Sedikit",'B.kriteria &amp; R.kecocokan'!$C$89,P147="Sedang",'B.kriteria &amp; R.kecocokan'!$C$88,P147="Sangat Sedikit",'B.kriteria &amp; R.kecocokan'!$C$90)</f>
        <v>1</v>
      </c>
      <c r="R147" s="8" t="str">
        <f>'B.kriteria &amp; R.kecocokan'!$B$49</f>
        <v>Rendah</v>
      </c>
      <c r="S147" s="8">
        <f>_xlfn.IFS(R147="Rendah",'B.kriteria &amp; R.kecocokan'!$C$49,R147="Sedang",'B.kriteria &amp; R.kecocokan'!$C$50,R147="Tinggi",'B.kriteria &amp; R.kecocokan'!$C$51)</f>
        <v>2.5</v>
      </c>
      <c r="T147" s="8" t="str">
        <f>'B.kriteria &amp; R.kecocokan'!$B$57</f>
        <v>Rendah</v>
      </c>
      <c r="U147" s="51">
        <f>_xlfn.IFS(T147="Rendah",'B.kriteria &amp; R.kecocokan'!$C$57,T147="Sedang",'B.kriteria &amp; R.kecocokan'!$C$58,T147="Tinggi",'B.kriteria &amp; R.kecocokan'!$C$59)</f>
        <v>2.5</v>
      </c>
      <c r="V147" s="51" t="str">
        <f>'B.kriteria &amp; R.kecocokan'!$B$65</f>
        <v>Rendah</v>
      </c>
      <c r="W147" s="9">
        <f>_xlfn.IFS(V147="Rendah",'B.kriteria &amp; R.kecocokan'!$C$65,V147="Sedang",'B.kriteria &amp; R.kecocokan'!$C$66,V147="Tinggi",'B.kriteria &amp; R.kecocokan'!$C$67)</f>
        <v>1</v>
      </c>
      <c r="X147" s="117">
        <f t="shared" si="13"/>
        <v>3.90158768391202</v>
      </c>
      <c r="Y147" s="117">
        <f t="shared" si="14"/>
        <v>7.3143694191638966</v>
      </c>
      <c r="Z147" s="119">
        <f t="shared" si="15"/>
        <v>3.90158768391202</v>
      </c>
      <c r="AA147" s="55" t="str">
        <f t="shared" si="16"/>
        <v>Layak</v>
      </c>
    </row>
    <row r="148" spans="1:27" x14ac:dyDescent="0.35">
      <c r="A148" s="1">
        <v>35</v>
      </c>
      <c r="B148" s="2" t="s">
        <v>83</v>
      </c>
      <c r="C148" s="11" t="s">
        <v>13</v>
      </c>
      <c r="D148" s="9" t="str">
        <f>'B.kriteria &amp; R.kecocokan'!$B$25</f>
        <v>Sedikit</v>
      </c>
      <c r="E148" s="111">
        <f>_xlfn.IFS(D148="Banyak",'B.kriteria &amp; R.kecocokan'!$C$23,D148="Cukup",'B.kriteria &amp; R.kecocokan'!$C$24,D148="Sedikit",'B.kriteria &amp; R.kecocokan'!$C$25)</f>
        <v>7.5</v>
      </c>
      <c r="F148" s="9" t="str">
        <f>'B.kriteria &amp; R.kecocokan'!$B$34</f>
        <v>Tinggi</v>
      </c>
      <c r="G148" s="8">
        <f>_xlfn.IFS(F148="Tinggi",'B.kriteria &amp; R.kecocokan'!$C$34,F148="Sangat Tinggi",'B.kriteria &amp; R.kecocokan'!$C$35)</f>
        <v>7.5</v>
      </c>
      <c r="H148" s="8" t="str">
        <f>'B.kriteria &amp; R.kecocokan'!$B$41</f>
        <v>Rendah</v>
      </c>
      <c r="I148" s="8">
        <f>_xlfn.IFS(H148="Rendah",'B.kriteria &amp; R.kecocokan'!$C$41,H148="Sedang",'B.kriteria &amp; R.kecocokan'!$C$42,H148="Tinggi",'B.kriteria &amp; R.kecocokan'!$C$43)</f>
        <v>2.5</v>
      </c>
      <c r="J148" s="9" t="str">
        <f>'B.kriteria &amp; R.kecocokan'!$B$74</f>
        <v>Tinggi</v>
      </c>
      <c r="K148" s="8">
        <f>_xlfn.IFS(J148="Rendah",'B.kriteria &amp; R.kecocokan'!$C$72,J148="Sedang",'B.kriteria &amp; R.kecocokan'!$C$73,J148="Tinggi",'B.kriteria &amp; R.kecocokan'!$C$74)</f>
        <v>7.5</v>
      </c>
      <c r="L148" s="8" t="str">
        <f>'B.kriteria &amp; R.kecocokan'!$B$95</f>
        <v>Rendah</v>
      </c>
      <c r="M148" s="8">
        <f>_xlfn.IFS(L148="Rendah",'B.kriteria &amp; R.kecocokan'!$C$95,L148="Tinggi",'B.kriteria &amp; R.kecocokan'!$C$96)</f>
        <v>2.5</v>
      </c>
      <c r="N148" s="9" t="str">
        <f>'B.kriteria &amp; R.kecocokan'!$B$81</f>
        <v>Tinggi</v>
      </c>
      <c r="O148" s="8">
        <f>_xlfn.IFS(N148="Rendah",'B.kriteria &amp; R.kecocokan'!$C$80,N148="Tinggi",'B.kriteria &amp; R.kecocokan'!$C$81)</f>
        <v>7.5</v>
      </c>
      <c r="P148" s="9" t="str">
        <f>'B.kriteria &amp; R.kecocokan'!$B$90</f>
        <v>Sangat Sedikit</v>
      </c>
      <c r="Q148" s="8">
        <f>_xlfn.IFS(P148="Sedikit",'B.kriteria &amp; R.kecocokan'!$C$89,P148="Sedang",'B.kriteria &amp; R.kecocokan'!$C$88,P148="Sangat Sedikit",'B.kriteria &amp; R.kecocokan'!$C$90)</f>
        <v>1</v>
      </c>
      <c r="R148" s="9" t="str">
        <f>'B.kriteria &amp; R.kecocokan'!$B$50</f>
        <v>Sedang</v>
      </c>
      <c r="S148" s="8">
        <f>_xlfn.IFS(R148="Rendah",'B.kriteria &amp; R.kecocokan'!$C$49,R148="Sedang",'B.kriteria &amp; R.kecocokan'!$C$50,R148="Tinggi",'B.kriteria &amp; R.kecocokan'!$C$51)</f>
        <v>5</v>
      </c>
      <c r="T148" s="9" t="str">
        <f>'B.kriteria &amp; R.kecocokan'!$B$59</f>
        <v>Tinggi</v>
      </c>
      <c r="U148" s="51">
        <f>_xlfn.IFS(T148="Rendah",'B.kriteria &amp; R.kecocokan'!$C$57,T148="Sedang",'B.kriteria &amp; R.kecocokan'!$C$58,T148="Tinggi",'B.kriteria &amp; R.kecocokan'!$C$59)</f>
        <v>7.5</v>
      </c>
      <c r="V148" s="51" t="str">
        <f>'B.kriteria &amp; R.kecocokan'!$B$65</f>
        <v>Rendah</v>
      </c>
      <c r="W148" s="9">
        <f>_xlfn.IFS(V148="Rendah",'B.kriteria &amp; R.kecocokan'!$C$65,V148="Sedang",'B.kriteria &amp; R.kecocokan'!$C$66,V148="Tinggi",'B.kriteria &amp; R.kecocokan'!$C$67)</f>
        <v>1</v>
      </c>
      <c r="X148" s="117">
        <f t="shared" si="13"/>
        <v>7.5175374998606657</v>
      </c>
      <c r="Y148" s="117">
        <f t="shared" si="14"/>
        <v>10.476163419878482</v>
      </c>
      <c r="Z148" s="119">
        <f t="shared" si="15"/>
        <v>7.5175374998606657</v>
      </c>
      <c r="AA148" s="55" t="str">
        <f t="shared" si="16"/>
        <v>Layak</v>
      </c>
    </row>
    <row r="149" spans="1:27" x14ac:dyDescent="0.35">
      <c r="A149" s="5">
        <v>36</v>
      </c>
      <c r="B149" s="2" t="s">
        <v>84</v>
      </c>
      <c r="C149" s="11" t="s">
        <v>13</v>
      </c>
      <c r="D149" s="32" t="str">
        <f>'B.kriteria &amp; R.kecocokan'!$B$24</f>
        <v>Cukup</v>
      </c>
      <c r="E149" s="111">
        <f>_xlfn.IFS(D149="Banyak",'B.kriteria &amp; R.kecocokan'!$C$23,D149="Cukup",'B.kriteria &amp; R.kecocokan'!$C$24,D149="Sedikit",'B.kriteria &amp; R.kecocokan'!$C$25)</f>
        <v>5</v>
      </c>
      <c r="F149" s="9" t="str">
        <f>'B.kriteria &amp; R.kecocokan'!$B$34</f>
        <v>Tinggi</v>
      </c>
      <c r="G149" s="8">
        <f>_xlfn.IFS(F149="Tinggi",'B.kriteria &amp; R.kecocokan'!$C$34,F149="Sangat Tinggi",'B.kriteria &amp; R.kecocokan'!$C$35)</f>
        <v>7.5</v>
      </c>
      <c r="H149" s="8" t="str">
        <f>'B.kriteria &amp; R.kecocokan'!$B$41</f>
        <v>Rendah</v>
      </c>
      <c r="I149" s="8">
        <f>_xlfn.IFS(H149="Rendah",'B.kriteria &amp; R.kecocokan'!$C$41,H149="Sedang",'B.kriteria &amp; R.kecocokan'!$C$42,H149="Tinggi",'B.kriteria &amp; R.kecocokan'!$C$43)</f>
        <v>2.5</v>
      </c>
      <c r="J149" s="8" t="str">
        <f>'B.kriteria &amp; R.kecocokan'!$B$72</f>
        <v>Rendah</v>
      </c>
      <c r="K149" s="8">
        <f>_xlfn.IFS(J149="Rendah",'B.kriteria &amp; R.kecocokan'!$C$72,J149="Sedang",'B.kriteria &amp; R.kecocokan'!$C$73,J149="Tinggi",'B.kriteria &amp; R.kecocokan'!$C$74)</f>
        <v>2.5</v>
      </c>
      <c r="L149" s="8" t="str">
        <f>'B.kriteria &amp; R.kecocokan'!$B$95</f>
        <v>Rendah</v>
      </c>
      <c r="M149" s="8">
        <f>_xlfn.IFS(L149="Rendah",'B.kriteria &amp; R.kecocokan'!$C$95,L149="Tinggi",'B.kriteria &amp; R.kecocokan'!$C$96)</f>
        <v>2.5</v>
      </c>
      <c r="N149" s="8" t="str">
        <f>'B.kriteria &amp; R.kecocokan'!$B$80</f>
        <v>Rendah</v>
      </c>
      <c r="O149" s="8">
        <f>_xlfn.IFS(N149="Rendah",'B.kriteria &amp; R.kecocokan'!$C$80,N149="Tinggi",'B.kriteria &amp; R.kecocokan'!$C$81)</f>
        <v>2.5</v>
      </c>
      <c r="P149" s="9" t="str">
        <f>'B.kriteria &amp; R.kecocokan'!$B$90</f>
        <v>Sangat Sedikit</v>
      </c>
      <c r="Q149" s="8">
        <f>_xlfn.IFS(P149="Sedikit",'B.kriteria &amp; R.kecocokan'!$C$89,P149="Sedang",'B.kriteria &amp; R.kecocokan'!$C$88,P149="Sangat Sedikit",'B.kriteria &amp; R.kecocokan'!$C$90)</f>
        <v>1</v>
      </c>
      <c r="R149" s="8" t="str">
        <f>'B.kriteria &amp; R.kecocokan'!$B$49</f>
        <v>Rendah</v>
      </c>
      <c r="S149" s="8">
        <f>_xlfn.IFS(R149="Rendah",'B.kriteria &amp; R.kecocokan'!$C$49,R149="Sedang",'B.kriteria &amp; R.kecocokan'!$C$50,R149="Tinggi",'B.kriteria &amp; R.kecocokan'!$C$51)</f>
        <v>2.5</v>
      </c>
      <c r="T149" s="8" t="str">
        <f>'B.kriteria &amp; R.kecocokan'!$B$57</f>
        <v>Rendah</v>
      </c>
      <c r="U149" s="51">
        <f>_xlfn.IFS(T149="Rendah",'B.kriteria &amp; R.kecocokan'!$C$57,T149="Sedang",'B.kriteria &amp; R.kecocokan'!$C$58,T149="Tinggi",'B.kriteria &amp; R.kecocokan'!$C$59)</f>
        <v>2.5</v>
      </c>
      <c r="V149" s="51" t="str">
        <f>'B.kriteria &amp; R.kecocokan'!$B$65</f>
        <v>Rendah</v>
      </c>
      <c r="W149" s="9">
        <f>_xlfn.IFS(V149="Rendah",'B.kriteria &amp; R.kecocokan'!$C$65,V149="Sedang",'B.kriteria &amp; R.kecocokan'!$C$66,V149="Tinggi",'B.kriteria &amp; R.kecocokan'!$C$67)</f>
        <v>1</v>
      </c>
      <c r="X149" s="117">
        <f t="shared" si="13"/>
        <v>3.029406623093184</v>
      </c>
      <c r="Y149" s="117">
        <f t="shared" si="14"/>
        <v>4.7169905660283016</v>
      </c>
      <c r="Z149" s="119">
        <f t="shared" si="15"/>
        <v>3.029406623093184</v>
      </c>
      <c r="AA149" s="55" t="str">
        <f t="shared" si="16"/>
        <v>Layak</v>
      </c>
    </row>
    <row r="150" spans="1:27" x14ac:dyDescent="0.35">
      <c r="A150" s="5">
        <v>37</v>
      </c>
      <c r="B150" s="2" t="s">
        <v>85</v>
      </c>
      <c r="C150" s="11" t="s">
        <v>13</v>
      </c>
      <c r="D150" s="32" t="str">
        <f>'B.kriteria &amp; R.kecocokan'!$B$24</f>
        <v>Cukup</v>
      </c>
      <c r="E150" s="111">
        <f>_xlfn.IFS(D150="Banyak",'B.kriteria &amp; R.kecocokan'!$C$23,D150="Cukup",'B.kriteria &amp; R.kecocokan'!$C$24,D150="Sedikit",'B.kriteria &amp; R.kecocokan'!$C$25)</f>
        <v>5</v>
      </c>
      <c r="F150" s="9" t="str">
        <f>'B.kriteria &amp; R.kecocokan'!$B$34</f>
        <v>Tinggi</v>
      </c>
      <c r="G150" s="8">
        <f>_xlfn.IFS(F150="Tinggi",'B.kriteria &amp; R.kecocokan'!$C$34,F150="Sangat Tinggi",'B.kriteria &amp; R.kecocokan'!$C$35)</f>
        <v>7.5</v>
      </c>
      <c r="H150" s="8" t="str">
        <f>'B.kriteria &amp; R.kecocokan'!$B$41</f>
        <v>Rendah</v>
      </c>
      <c r="I150" s="8">
        <f>_xlfn.IFS(H150="Rendah",'B.kriteria &amp; R.kecocokan'!$C$41,H150="Sedang",'B.kriteria &amp; R.kecocokan'!$C$42,H150="Tinggi",'B.kriteria &amp; R.kecocokan'!$C$43)</f>
        <v>2.5</v>
      </c>
      <c r="J150" s="8" t="str">
        <f>'B.kriteria &amp; R.kecocokan'!$B$72</f>
        <v>Rendah</v>
      </c>
      <c r="K150" s="8">
        <f>_xlfn.IFS(J150="Rendah",'B.kriteria &amp; R.kecocokan'!$C$72,J150="Sedang",'B.kriteria &amp; R.kecocokan'!$C$73,J150="Tinggi",'B.kriteria &amp; R.kecocokan'!$C$74)</f>
        <v>2.5</v>
      </c>
      <c r="L150" s="8" t="str">
        <f>'B.kriteria &amp; R.kecocokan'!$B$95</f>
        <v>Rendah</v>
      </c>
      <c r="M150" s="8">
        <f>_xlfn.IFS(L150="Rendah",'B.kriteria &amp; R.kecocokan'!$C$95,L150="Tinggi",'B.kriteria &amp; R.kecocokan'!$C$96)</f>
        <v>2.5</v>
      </c>
      <c r="N150" s="8" t="str">
        <f>'B.kriteria &amp; R.kecocokan'!$B$80</f>
        <v>Rendah</v>
      </c>
      <c r="O150" s="8">
        <f>_xlfn.IFS(N150="Rendah",'B.kriteria &amp; R.kecocokan'!$C$80,N150="Tinggi",'B.kriteria &amp; R.kecocokan'!$C$81)</f>
        <v>2.5</v>
      </c>
      <c r="P150" s="9" t="str">
        <f>'B.kriteria &amp; R.kecocokan'!$B$88</f>
        <v>Sedang</v>
      </c>
      <c r="Q150" s="8">
        <f>_xlfn.IFS(P150="Sedikit",'B.kriteria &amp; R.kecocokan'!$C$89,P150="Sedang",'B.kriteria &amp; R.kecocokan'!$C$88,P150="Sangat Sedikit",'B.kriteria &amp; R.kecocokan'!$C$90)</f>
        <v>5</v>
      </c>
      <c r="R150" s="8" t="str">
        <f>'B.kriteria &amp; R.kecocokan'!$B$49</f>
        <v>Rendah</v>
      </c>
      <c r="S150" s="8">
        <f>_xlfn.IFS(R150="Rendah",'B.kriteria &amp; R.kecocokan'!$C$49,R150="Sedang",'B.kriteria &amp; R.kecocokan'!$C$50,R150="Tinggi",'B.kriteria &amp; R.kecocokan'!$C$51)</f>
        <v>2.5</v>
      </c>
      <c r="T150" s="8" t="str">
        <f>'B.kriteria &amp; R.kecocokan'!$B$57</f>
        <v>Rendah</v>
      </c>
      <c r="U150" s="51">
        <f>_xlfn.IFS(T150="Rendah",'B.kriteria &amp; R.kecocokan'!$C$57,T150="Sedang",'B.kriteria &amp; R.kecocokan'!$C$58,T150="Tinggi",'B.kriteria &amp; R.kecocokan'!$C$59)</f>
        <v>2.5</v>
      </c>
      <c r="V150" s="51" t="str">
        <f>'B.kriteria &amp; R.kecocokan'!$B$65</f>
        <v>Rendah</v>
      </c>
      <c r="W150" s="9">
        <f>_xlfn.IFS(V150="Rendah",'B.kriteria &amp; R.kecocokan'!$C$65,V150="Sedang",'B.kriteria &amp; R.kecocokan'!$C$66,V150="Tinggi",'B.kriteria &amp; R.kecocokan'!$C$67)</f>
        <v>1</v>
      </c>
      <c r="X150" s="117">
        <f t="shared" si="13"/>
        <v>4.6514858788868185</v>
      </c>
      <c r="Y150" s="117">
        <f t="shared" si="14"/>
        <v>2.5</v>
      </c>
      <c r="Z150" s="119">
        <f t="shared" si="15"/>
        <v>2.5</v>
      </c>
      <c r="AA150" s="55" t="str">
        <f t="shared" si="16"/>
        <v>Tidak Layak</v>
      </c>
    </row>
    <row r="151" spans="1:27" x14ac:dyDescent="0.35">
      <c r="A151" s="1">
        <v>38</v>
      </c>
      <c r="B151" s="2" t="s">
        <v>86</v>
      </c>
      <c r="C151" s="11" t="s">
        <v>13</v>
      </c>
      <c r="D151" s="9" t="str">
        <f>'B.kriteria &amp; R.kecocokan'!$B$25</f>
        <v>Sedikit</v>
      </c>
      <c r="E151" s="111">
        <f>_xlfn.IFS(D151="Banyak",'B.kriteria &amp; R.kecocokan'!$C$23,D151="Cukup",'B.kriteria &amp; R.kecocokan'!$C$24,D151="Sedikit",'B.kriteria &amp; R.kecocokan'!$C$25)</f>
        <v>7.5</v>
      </c>
      <c r="F151" s="9" t="str">
        <f>'B.kriteria &amp; R.kecocokan'!$B$34</f>
        <v>Tinggi</v>
      </c>
      <c r="G151" s="8">
        <f>_xlfn.IFS(F151="Tinggi",'B.kriteria &amp; R.kecocokan'!$C$34,F151="Sangat Tinggi",'B.kriteria &amp; R.kecocokan'!$C$35)</f>
        <v>7.5</v>
      </c>
      <c r="H151" s="9" t="str">
        <f>'B.kriteria &amp; R.kecocokan'!$B$43</f>
        <v>Tinggi</v>
      </c>
      <c r="I151" s="8">
        <f>_xlfn.IFS(H151="Rendah",'B.kriteria &amp; R.kecocokan'!$C$41,H151="Sedang",'B.kriteria &amp; R.kecocokan'!$C$42,H151="Tinggi",'B.kriteria &amp; R.kecocokan'!$C$43)</f>
        <v>7.5</v>
      </c>
      <c r="J151" s="8" t="str">
        <f>'B.kriteria &amp; R.kecocokan'!$B$72</f>
        <v>Rendah</v>
      </c>
      <c r="K151" s="8">
        <f>_xlfn.IFS(J151="Rendah",'B.kriteria &amp; R.kecocokan'!$C$72,J151="Sedang",'B.kriteria &amp; R.kecocokan'!$C$73,J151="Tinggi",'B.kriteria &amp; R.kecocokan'!$C$74)</f>
        <v>2.5</v>
      </c>
      <c r="L151" s="8" t="str">
        <f>'B.kriteria &amp; R.kecocokan'!$B$95</f>
        <v>Rendah</v>
      </c>
      <c r="M151" s="8">
        <f>_xlfn.IFS(L151="Rendah",'B.kriteria &amp; R.kecocokan'!$C$95,L151="Tinggi",'B.kriteria &amp; R.kecocokan'!$C$96)</f>
        <v>2.5</v>
      </c>
      <c r="N151" s="9" t="str">
        <f>'B.kriteria &amp; R.kecocokan'!$B$81</f>
        <v>Tinggi</v>
      </c>
      <c r="O151" s="8">
        <f>_xlfn.IFS(N151="Rendah",'B.kriteria &amp; R.kecocokan'!$C$80,N151="Tinggi",'B.kriteria &amp; R.kecocokan'!$C$81)</f>
        <v>7.5</v>
      </c>
      <c r="P151" s="9" t="str">
        <f>'B.kriteria &amp; R.kecocokan'!$B$90</f>
        <v>Sangat Sedikit</v>
      </c>
      <c r="Q151" s="8">
        <f>_xlfn.IFS(P151="Sedikit",'B.kriteria &amp; R.kecocokan'!$C$89,P151="Sedang",'B.kriteria &amp; R.kecocokan'!$C$88,P151="Sangat Sedikit",'B.kriteria &amp; R.kecocokan'!$C$90)</f>
        <v>1</v>
      </c>
      <c r="R151" s="8" t="str">
        <f>'B.kriteria &amp; R.kecocokan'!$B$49</f>
        <v>Rendah</v>
      </c>
      <c r="S151" s="8">
        <f>_xlfn.IFS(R151="Rendah",'B.kriteria &amp; R.kecocokan'!$C$49,R151="Sedang",'B.kriteria &amp; R.kecocokan'!$C$50,R151="Tinggi",'B.kriteria &amp; R.kecocokan'!$C$51)</f>
        <v>2.5</v>
      </c>
      <c r="T151" s="8" t="str">
        <f>'B.kriteria &amp; R.kecocokan'!$B$57</f>
        <v>Rendah</v>
      </c>
      <c r="U151" s="51">
        <f>_xlfn.IFS(T151="Rendah",'B.kriteria &amp; R.kecocokan'!$C$57,T151="Sedang",'B.kriteria &amp; R.kecocokan'!$C$58,T151="Tinggi",'B.kriteria &amp; R.kecocokan'!$C$59)</f>
        <v>2.5</v>
      </c>
      <c r="V151" s="51" t="str">
        <f>'B.kriteria &amp; R.kecocokan'!$B$65</f>
        <v>Rendah</v>
      </c>
      <c r="W151" s="9">
        <f>_xlfn.IFS(V151="Rendah",'B.kriteria &amp; R.kecocokan'!$C$65,V151="Sedang",'B.kriteria &amp; R.kecocokan'!$C$66,V151="Tinggi",'B.kriteria &amp; R.kecocokan'!$C$67)</f>
        <v>1</v>
      </c>
      <c r="X151" s="117">
        <f t="shared" si="13"/>
        <v>5.549428524366923</v>
      </c>
      <c r="Y151" s="117">
        <f t="shared" si="14"/>
        <v>8.8600225733346747</v>
      </c>
      <c r="Z151" s="119">
        <f t="shared" si="15"/>
        <v>5.549428524366923</v>
      </c>
      <c r="AA151" s="55" t="str">
        <f t="shared" si="16"/>
        <v>Layak</v>
      </c>
    </row>
    <row r="152" spans="1:27" x14ac:dyDescent="0.35">
      <c r="A152" s="5">
        <v>39</v>
      </c>
      <c r="B152" s="2" t="s">
        <v>87</v>
      </c>
      <c r="C152" s="11" t="s">
        <v>13</v>
      </c>
      <c r="D152" s="9" t="str">
        <f>'B.kriteria &amp; R.kecocokan'!$B$25</f>
        <v>Sedikit</v>
      </c>
      <c r="E152" s="111">
        <f>_xlfn.IFS(D152="Banyak",'B.kriteria &amp; R.kecocokan'!$C$23,D152="Cukup",'B.kriteria &amp; R.kecocokan'!$C$24,D152="Sedikit",'B.kriteria &amp; R.kecocokan'!$C$25)</f>
        <v>7.5</v>
      </c>
      <c r="F152" s="9" t="str">
        <f>'B.kriteria &amp; R.kecocokan'!$B$34</f>
        <v>Tinggi</v>
      </c>
      <c r="G152" s="8">
        <f>_xlfn.IFS(F152="Tinggi",'B.kriteria &amp; R.kecocokan'!$C$34,F152="Sangat Tinggi",'B.kriteria &amp; R.kecocokan'!$C$35)</f>
        <v>7.5</v>
      </c>
      <c r="H152" s="8" t="str">
        <f>'B.kriteria &amp; R.kecocokan'!$B$41</f>
        <v>Rendah</v>
      </c>
      <c r="I152" s="8">
        <f>_xlfn.IFS(H152="Rendah",'B.kriteria &amp; R.kecocokan'!$C$41,H152="Sedang",'B.kriteria &amp; R.kecocokan'!$C$42,H152="Tinggi",'B.kriteria &amp; R.kecocokan'!$C$43)</f>
        <v>2.5</v>
      </c>
      <c r="J152" s="8" t="str">
        <f>'B.kriteria &amp; R.kecocokan'!$B$72</f>
        <v>Rendah</v>
      </c>
      <c r="K152" s="8">
        <f>_xlfn.IFS(J152="Rendah",'B.kriteria &amp; R.kecocokan'!$C$72,J152="Sedang",'B.kriteria &amp; R.kecocokan'!$C$73,J152="Tinggi",'B.kriteria &amp; R.kecocokan'!$C$74)</f>
        <v>2.5</v>
      </c>
      <c r="L152" s="8" t="str">
        <f>'B.kriteria &amp; R.kecocokan'!$B$95</f>
        <v>Rendah</v>
      </c>
      <c r="M152" s="8">
        <f>_xlfn.IFS(L152="Rendah",'B.kriteria &amp; R.kecocokan'!$C$95,L152="Tinggi",'B.kriteria &amp; R.kecocokan'!$C$96)</f>
        <v>2.5</v>
      </c>
      <c r="N152" s="9" t="str">
        <f>'B.kriteria &amp; R.kecocokan'!$B$81</f>
        <v>Tinggi</v>
      </c>
      <c r="O152" s="8">
        <f>_xlfn.IFS(N152="Rendah",'B.kriteria &amp; R.kecocokan'!$C$80,N152="Tinggi",'B.kriteria &amp; R.kecocokan'!$C$81)</f>
        <v>7.5</v>
      </c>
      <c r="P152" s="9" t="str">
        <f>'B.kriteria &amp; R.kecocokan'!$B$90</f>
        <v>Sangat Sedikit</v>
      </c>
      <c r="Q152" s="8">
        <f>_xlfn.IFS(P152="Sedikit",'B.kriteria &amp; R.kecocokan'!$C$89,P152="Sedang",'B.kriteria &amp; R.kecocokan'!$C$88,P152="Sangat Sedikit",'B.kriteria &amp; R.kecocokan'!$C$90)</f>
        <v>1</v>
      </c>
      <c r="R152" s="8" t="str">
        <f>'B.kriteria &amp; R.kecocokan'!$B$49</f>
        <v>Rendah</v>
      </c>
      <c r="S152" s="8">
        <f>_xlfn.IFS(R152="Rendah",'B.kriteria &amp; R.kecocokan'!$C$49,R152="Sedang",'B.kriteria &amp; R.kecocokan'!$C$50,R152="Tinggi",'B.kriteria &amp; R.kecocokan'!$C$51)</f>
        <v>2.5</v>
      </c>
      <c r="T152" s="8" t="str">
        <f>'B.kriteria &amp; R.kecocokan'!$B$57</f>
        <v>Rendah</v>
      </c>
      <c r="U152" s="51">
        <f>_xlfn.IFS(T152="Rendah",'B.kriteria &amp; R.kecocokan'!$C$57,T152="Sedang",'B.kriteria &amp; R.kecocokan'!$C$58,T152="Tinggi",'B.kriteria &amp; R.kecocokan'!$C$59)</f>
        <v>2.5</v>
      </c>
      <c r="V152" s="51" t="str">
        <f>'B.kriteria &amp; R.kecocokan'!$B$65</f>
        <v>Rendah</v>
      </c>
      <c r="W152" s="9">
        <f>_xlfn.IFS(V152="Rendah",'B.kriteria &amp; R.kecocokan'!$C$65,V152="Sedang",'B.kriteria &amp; R.kecocokan'!$C$66,V152="Tinggi",'B.kriteria &amp; R.kecocokan'!$C$67)</f>
        <v>1</v>
      </c>
      <c r="X152" s="117">
        <f t="shared" si="13"/>
        <v>3.1455552137571754</v>
      </c>
      <c r="Y152" s="117">
        <f t="shared" si="14"/>
        <v>7.3143694191638966</v>
      </c>
      <c r="Z152" s="119">
        <f t="shared" si="15"/>
        <v>3.1455552137571754</v>
      </c>
      <c r="AA152" s="55" t="str">
        <f t="shared" si="16"/>
        <v>Layak</v>
      </c>
    </row>
    <row r="153" spans="1:27" x14ac:dyDescent="0.35">
      <c r="A153" s="5">
        <v>40</v>
      </c>
      <c r="B153" s="2" t="s">
        <v>88</v>
      </c>
      <c r="C153" s="11" t="s">
        <v>13</v>
      </c>
      <c r="D153" s="32" t="str">
        <f>'B.kriteria &amp; R.kecocokan'!$B$24</f>
        <v>Cukup</v>
      </c>
      <c r="E153" s="111">
        <f>_xlfn.IFS(D153="Banyak",'B.kriteria &amp; R.kecocokan'!$C$23,D153="Cukup",'B.kriteria &amp; R.kecocokan'!$C$24,D153="Sedikit",'B.kriteria &amp; R.kecocokan'!$C$25)</f>
        <v>5</v>
      </c>
      <c r="F153" s="9" t="str">
        <f>'B.kriteria &amp; R.kecocokan'!$B$34</f>
        <v>Tinggi</v>
      </c>
      <c r="G153" s="8">
        <f>_xlfn.IFS(F153="Tinggi",'B.kriteria &amp; R.kecocokan'!$C$34,F153="Sangat Tinggi",'B.kriteria &amp; R.kecocokan'!$C$35)</f>
        <v>7.5</v>
      </c>
      <c r="H153" s="9" t="str">
        <f>'B.kriteria &amp; R.kecocokan'!$B$43</f>
        <v>Tinggi</v>
      </c>
      <c r="I153" s="8">
        <f>_xlfn.IFS(H153="Rendah",'B.kriteria &amp; R.kecocokan'!$C$41,H153="Sedang",'B.kriteria &amp; R.kecocokan'!$C$42,H153="Tinggi",'B.kriteria &amp; R.kecocokan'!$C$43)</f>
        <v>7.5</v>
      </c>
      <c r="J153" s="8" t="str">
        <f>'B.kriteria &amp; R.kecocokan'!$B$72</f>
        <v>Rendah</v>
      </c>
      <c r="K153" s="8">
        <f>_xlfn.IFS(J153="Rendah",'B.kriteria &amp; R.kecocokan'!$C$72,J153="Sedang",'B.kriteria &amp; R.kecocokan'!$C$73,J153="Tinggi",'B.kriteria &amp; R.kecocokan'!$C$74)</f>
        <v>2.5</v>
      </c>
      <c r="L153" s="8" t="str">
        <f>'B.kriteria &amp; R.kecocokan'!$B$95</f>
        <v>Rendah</v>
      </c>
      <c r="M153" s="8">
        <f>_xlfn.IFS(L153="Rendah",'B.kriteria &amp; R.kecocokan'!$C$95,L153="Tinggi",'B.kriteria &amp; R.kecocokan'!$C$96)</f>
        <v>2.5</v>
      </c>
      <c r="N153" s="8" t="str">
        <f>'B.kriteria &amp; R.kecocokan'!$B$80</f>
        <v>Rendah</v>
      </c>
      <c r="O153" s="8">
        <f>_xlfn.IFS(N153="Rendah",'B.kriteria &amp; R.kecocokan'!$C$80,N153="Tinggi",'B.kriteria &amp; R.kecocokan'!$C$81)</f>
        <v>2.5</v>
      </c>
      <c r="P153" s="9" t="str">
        <f>'B.kriteria &amp; R.kecocokan'!$B$88</f>
        <v>Sedang</v>
      </c>
      <c r="Q153" s="8">
        <f>_xlfn.IFS(P153="Sedikit",'B.kriteria &amp; R.kecocokan'!$C$89,P153="Sedang",'B.kriteria &amp; R.kecocokan'!$C$88,P153="Sangat Sedikit",'B.kriteria &amp; R.kecocokan'!$C$90)</f>
        <v>5</v>
      </c>
      <c r="R153" s="8" t="str">
        <f>'B.kriteria &amp; R.kecocokan'!$B$49</f>
        <v>Rendah</v>
      </c>
      <c r="S153" s="8">
        <f>_xlfn.IFS(R153="Rendah",'B.kriteria &amp; R.kecocokan'!$C$49,R153="Sedang",'B.kriteria &amp; R.kecocokan'!$C$50,R153="Tinggi",'B.kriteria &amp; R.kecocokan'!$C$51)</f>
        <v>2.5</v>
      </c>
      <c r="T153" s="8" t="str">
        <f>'B.kriteria &amp; R.kecocokan'!$B$57</f>
        <v>Rendah</v>
      </c>
      <c r="U153" s="51">
        <f>_xlfn.IFS(T153="Rendah",'B.kriteria &amp; R.kecocokan'!$C$57,T153="Sedang",'B.kriteria &amp; R.kecocokan'!$C$58,T153="Tinggi",'B.kriteria &amp; R.kecocokan'!$C$59)</f>
        <v>2.5</v>
      </c>
      <c r="V153" s="51" t="str">
        <f>'B.kriteria &amp; R.kecocokan'!$B$65</f>
        <v>Rendah</v>
      </c>
      <c r="W153" s="9">
        <f>_xlfn.IFS(V153="Rendah",'B.kriteria &amp; R.kecocokan'!$C$65,V153="Sedang",'B.kriteria &amp; R.kecocokan'!$C$66,V153="Tinggi",'B.kriteria &amp; R.kecocokan'!$C$67)</f>
        <v>1</v>
      </c>
      <c r="X153" s="117">
        <f t="shared" si="13"/>
        <v>6.5221131717983667</v>
      </c>
      <c r="Y153" s="117">
        <f t="shared" si="14"/>
        <v>5.5901699437494745</v>
      </c>
      <c r="Z153" s="119">
        <f t="shared" si="15"/>
        <v>5.5901699437494745</v>
      </c>
      <c r="AA153" s="55" t="str">
        <f t="shared" si="16"/>
        <v>Tidak Layak</v>
      </c>
    </row>
    <row r="154" spans="1:27" x14ac:dyDescent="0.35">
      <c r="A154" s="1">
        <v>41</v>
      </c>
      <c r="B154" s="2" t="s">
        <v>89</v>
      </c>
      <c r="C154" s="11" t="s">
        <v>13</v>
      </c>
      <c r="D154" s="9" t="str">
        <f>'B.kriteria &amp; R.kecocokan'!$B$23</f>
        <v>Banyak</v>
      </c>
      <c r="E154" s="111">
        <f>_xlfn.IFS(D154="Banyak",'B.kriteria &amp; R.kecocokan'!$C$23,D154="Cukup",'B.kriteria &amp; R.kecocokan'!$C$24,D154="Sedikit",'B.kriteria &amp; R.kecocokan'!$C$25)</f>
        <v>2.5</v>
      </c>
      <c r="F154" s="9" t="str">
        <f>'B.kriteria &amp; R.kecocokan'!$B$34</f>
        <v>Tinggi</v>
      </c>
      <c r="G154" s="8">
        <f>_xlfn.IFS(F154="Tinggi",'B.kriteria &amp; R.kecocokan'!$C$34,F154="Sangat Tinggi",'B.kriteria &amp; R.kecocokan'!$C$35)</f>
        <v>7.5</v>
      </c>
      <c r="H154" s="8" t="str">
        <f>'B.kriteria &amp; R.kecocokan'!$B$41</f>
        <v>Rendah</v>
      </c>
      <c r="I154" s="8">
        <f>_xlfn.IFS(H154="Rendah",'B.kriteria &amp; R.kecocokan'!$C$41,H154="Sedang",'B.kriteria &amp; R.kecocokan'!$C$42,H154="Tinggi",'B.kriteria &amp; R.kecocokan'!$C$43)</f>
        <v>2.5</v>
      </c>
      <c r="J154" s="8" t="str">
        <f>'B.kriteria &amp; R.kecocokan'!$B$72</f>
        <v>Rendah</v>
      </c>
      <c r="K154" s="8">
        <f>_xlfn.IFS(J154="Rendah",'B.kriteria &amp; R.kecocokan'!$C$72,J154="Sedang",'B.kriteria &amp; R.kecocokan'!$C$73,J154="Tinggi",'B.kriteria &amp; R.kecocokan'!$C$74)</f>
        <v>2.5</v>
      </c>
      <c r="L154" s="8" t="str">
        <f>'B.kriteria &amp; R.kecocokan'!$B$95</f>
        <v>Rendah</v>
      </c>
      <c r="M154" s="8">
        <f>_xlfn.IFS(L154="Rendah",'B.kriteria &amp; R.kecocokan'!$C$95,L154="Tinggi",'B.kriteria &amp; R.kecocokan'!$C$96)</f>
        <v>2.5</v>
      </c>
      <c r="N154" s="9" t="str">
        <f>'B.kriteria &amp; R.kecocokan'!$B$81</f>
        <v>Tinggi</v>
      </c>
      <c r="O154" s="8">
        <f>_xlfn.IFS(N154="Rendah",'B.kriteria &amp; R.kecocokan'!$C$80,N154="Tinggi",'B.kriteria &amp; R.kecocokan'!$C$81)</f>
        <v>7.5</v>
      </c>
      <c r="P154" s="9" t="str">
        <f>'B.kriteria &amp; R.kecocokan'!$B$90</f>
        <v>Sangat Sedikit</v>
      </c>
      <c r="Q154" s="8">
        <f>_xlfn.IFS(P154="Sedikit",'B.kriteria &amp; R.kecocokan'!$C$89,P154="Sedang",'B.kriteria &amp; R.kecocokan'!$C$88,P154="Sangat Sedikit",'B.kriteria &amp; R.kecocokan'!$C$90)</f>
        <v>1</v>
      </c>
      <c r="R154" s="8" t="str">
        <f>'B.kriteria &amp; R.kecocokan'!$B$49</f>
        <v>Rendah</v>
      </c>
      <c r="S154" s="8">
        <f>_xlfn.IFS(R154="Rendah",'B.kriteria &amp; R.kecocokan'!$C$49,R154="Sedang",'B.kriteria &amp; R.kecocokan'!$C$50,R154="Tinggi",'B.kriteria &amp; R.kecocokan'!$C$51)</f>
        <v>2.5</v>
      </c>
      <c r="T154" s="8" t="str">
        <f>'B.kriteria &amp; R.kecocokan'!$B$57</f>
        <v>Rendah</v>
      </c>
      <c r="U154" s="51">
        <f>_xlfn.IFS(T154="Rendah",'B.kriteria &amp; R.kecocokan'!$C$57,T154="Sedang",'B.kriteria &amp; R.kecocokan'!$C$58,T154="Tinggi",'B.kriteria &amp; R.kecocokan'!$C$59)</f>
        <v>2.5</v>
      </c>
      <c r="V154" s="51" t="str">
        <f>'B.kriteria &amp; R.kecocokan'!$B$65</f>
        <v>Rendah</v>
      </c>
      <c r="W154" s="9">
        <f>_xlfn.IFS(V154="Rendah",'B.kriteria &amp; R.kecocokan'!$C$65,V154="Sedang",'B.kriteria &amp; R.kecocokan'!$C$66,V154="Tinggi",'B.kriteria &amp; R.kecocokan'!$C$67)</f>
        <v>1</v>
      </c>
      <c r="X154" s="117">
        <f t="shared" si="13"/>
        <v>3.90158768391202</v>
      </c>
      <c r="Y154" s="117">
        <f t="shared" si="14"/>
        <v>7.3143694191638966</v>
      </c>
      <c r="Z154" s="119">
        <f t="shared" si="15"/>
        <v>3.90158768391202</v>
      </c>
      <c r="AA154" s="55" t="str">
        <f t="shared" si="16"/>
        <v>Layak</v>
      </c>
    </row>
    <row r="155" spans="1:27" x14ac:dyDescent="0.35">
      <c r="A155" s="5">
        <v>42</v>
      </c>
      <c r="B155" s="2" t="s">
        <v>91</v>
      </c>
      <c r="C155" s="11" t="s">
        <v>92</v>
      </c>
      <c r="D155" s="28" t="str">
        <f>'B.kriteria &amp; R.kecocokan'!$B$25</f>
        <v>Sedikit</v>
      </c>
      <c r="E155" s="111">
        <f>_xlfn.IFS(D155="Banyak",'B.kriteria &amp; R.kecocokan'!$C$23,D155="Cukup",'B.kriteria &amp; R.kecocokan'!$C$24,D155="Sedikit",'B.kriteria &amp; R.kecocokan'!$C$25)</f>
        <v>7.5</v>
      </c>
      <c r="F155" s="9" t="str">
        <f>'B.kriteria &amp; R.kecocokan'!$B$34</f>
        <v>Tinggi</v>
      </c>
      <c r="G155" s="8">
        <f>_xlfn.IFS(F155="Tinggi",'B.kriteria &amp; R.kecocokan'!$C$34,F155="Sangat Tinggi",'B.kriteria &amp; R.kecocokan'!$C$35)</f>
        <v>7.5</v>
      </c>
      <c r="H155" s="8" t="str">
        <f>'B.kriteria &amp; R.kecocokan'!$B$41</f>
        <v>Rendah</v>
      </c>
      <c r="I155" s="8">
        <f>_xlfn.IFS(H155="Rendah",'B.kriteria &amp; R.kecocokan'!$C$41,H155="Sedang",'B.kriteria &amp; R.kecocokan'!$C$42,H155="Tinggi",'B.kriteria &amp; R.kecocokan'!$C$43)</f>
        <v>2.5</v>
      </c>
      <c r="J155" s="8" t="str">
        <f>'B.kriteria &amp; R.kecocokan'!$B$72</f>
        <v>Rendah</v>
      </c>
      <c r="K155" s="8">
        <f>_xlfn.IFS(J155="Rendah",'B.kriteria &amp; R.kecocokan'!$C$72,J155="Sedang",'B.kriteria &amp; R.kecocokan'!$C$73,J155="Tinggi",'B.kriteria &amp; R.kecocokan'!$C$74)</f>
        <v>2.5</v>
      </c>
      <c r="L155" s="8" t="str">
        <f>'B.kriteria &amp; R.kecocokan'!$B$95</f>
        <v>Rendah</v>
      </c>
      <c r="M155" s="8">
        <f>_xlfn.IFS(L155="Rendah",'B.kriteria &amp; R.kecocokan'!$C$95,L155="Tinggi",'B.kriteria &amp; R.kecocokan'!$C$96)</f>
        <v>2.5</v>
      </c>
      <c r="N155" s="9" t="str">
        <f>'B.kriteria &amp; R.kecocokan'!$B$81</f>
        <v>Tinggi</v>
      </c>
      <c r="O155" s="8">
        <f>_xlfn.IFS(N155="Rendah",'B.kriteria &amp; R.kecocokan'!$C$80,N155="Tinggi",'B.kriteria &amp; R.kecocokan'!$C$81)</f>
        <v>7.5</v>
      </c>
      <c r="P155" s="9" t="str">
        <f>'B.kriteria &amp; R.kecocokan'!$B$88</f>
        <v>Sedang</v>
      </c>
      <c r="Q155" s="8">
        <f>_xlfn.IFS(P155="Sedikit",'B.kriteria &amp; R.kecocokan'!$C$89,P155="Sedang",'B.kriteria &amp; R.kecocokan'!$C$88,P155="Sangat Sedikit",'B.kriteria &amp; R.kecocokan'!$C$90)</f>
        <v>5</v>
      </c>
      <c r="R155" s="9" t="str">
        <f>'B.kriteria &amp; R.kecocokan'!$B$50</f>
        <v>Sedang</v>
      </c>
      <c r="S155" s="8">
        <f>_xlfn.IFS(R155="Rendah",'B.kriteria &amp; R.kecocokan'!$C$49,R155="Sedang",'B.kriteria &amp; R.kecocokan'!$C$50,R155="Tinggi",'B.kriteria &amp; R.kecocokan'!$C$51)</f>
        <v>5</v>
      </c>
      <c r="T155" s="8" t="str">
        <f>'B.kriteria &amp; R.kecocokan'!$B$57</f>
        <v>Rendah</v>
      </c>
      <c r="U155" s="51">
        <f>_xlfn.IFS(T155="Rendah",'B.kriteria &amp; R.kecocokan'!$C$57,T155="Sedang",'B.kriteria &amp; R.kecocokan'!$C$58,T155="Tinggi",'B.kriteria &amp; R.kecocokan'!$C$59)</f>
        <v>2.5</v>
      </c>
      <c r="V155" s="51" t="str">
        <f>'B.kriteria &amp; R.kecocokan'!$B$65</f>
        <v>Rendah</v>
      </c>
      <c r="W155" s="9">
        <f>_xlfn.IFS(V155="Rendah",'B.kriteria &amp; R.kecocokan'!$C$65,V155="Sedang",'B.kriteria &amp; R.kecocokan'!$C$66,V155="Tinggi",'B.kriteria &amp; R.kecocokan'!$C$67)</f>
        <v>1</v>
      </c>
      <c r="X155" s="117">
        <f t="shared" si="13"/>
        <v>5.1729364679218328</v>
      </c>
      <c r="Y155" s="117">
        <f t="shared" si="14"/>
        <v>6.6143782776614763</v>
      </c>
      <c r="Z155" s="119">
        <f t="shared" si="15"/>
        <v>5.1729364679218328</v>
      </c>
      <c r="AA155" s="55" t="str">
        <f t="shared" si="16"/>
        <v>Layak</v>
      </c>
    </row>
    <row r="156" spans="1:27" x14ac:dyDescent="0.35">
      <c r="A156" s="5">
        <v>43</v>
      </c>
      <c r="B156" s="2" t="s">
        <v>94</v>
      </c>
      <c r="C156" s="11" t="s">
        <v>95</v>
      </c>
      <c r="D156" s="28" t="str">
        <f>'B.kriteria &amp; R.kecocokan'!$B$25</f>
        <v>Sedikit</v>
      </c>
      <c r="E156" s="111">
        <f>_xlfn.IFS(D156="Banyak",'B.kriteria &amp; R.kecocokan'!$C$23,D156="Cukup",'B.kriteria &amp; R.kecocokan'!$C$24,D156="Sedikit",'B.kriteria &amp; R.kecocokan'!$C$25)</f>
        <v>7.5</v>
      </c>
      <c r="F156" s="9" t="str">
        <f>'B.kriteria &amp; R.kecocokan'!$B$34</f>
        <v>Tinggi</v>
      </c>
      <c r="G156" s="8">
        <f>_xlfn.IFS(F156="Tinggi",'B.kriteria &amp; R.kecocokan'!$C$34,F156="Sangat Tinggi",'B.kriteria &amp; R.kecocokan'!$C$35)</f>
        <v>7.5</v>
      </c>
      <c r="H156" s="8" t="str">
        <f>'B.kriteria &amp; R.kecocokan'!$B$41</f>
        <v>Rendah</v>
      </c>
      <c r="I156" s="8">
        <f>_xlfn.IFS(H156="Rendah",'B.kriteria &amp; R.kecocokan'!$C$41,H156="Sedang",'B.kriteria &amp; R.kecocokan'!$C$42,H156="Tinggi",'B.kriteria &amp; R.kecocokan'!$C$43)</f>
        <v>2.5</v>
      </c>
      <c r="J156" s="8" t="str">
        <f>'B.kriteria &amp; R.kecocokan'!$B$72</f>
        <v>Rendah</v>
      </c>
      <c r="K156" s="8">
        <f>_xlfn.IFS(J156="Rendah",'B.kriteria &amp; R.kecocokan'!$C$72,J156="Sedang",'B.kriteria &amp; R.kecocokan'!$C$73,J156="Tinggi",'B.kriteria &amp; R.kecocokan'!$C$74)</f>
        <v>2.5</v>
      </c>
      <c r="L156" s="8" t="str">
        <f>'B.kriteria &amp; R.kecocokan'!$B$95</f>
        <v>Rendah</v>
      </c>
      <c r="M156" s="8">
        <f>_xlfn.IFS(L156="Rendah",'B.kriteria &amp; R.kecocokan'!$C$95,L156="Tinggi",'B.kriteria &amp; R.kecocokan'!$C$96)</f>
        <v>2.5</v>
      </c>
      <c r="N156" s="8" t="str">
        <f>'B.kriteria &amp; R.kecocokan'!$B$80</f>
        <v>Rendah</v>
      </c>
      <c r="O156" s="8">
        <f>_xlfn.IFS(N156="Rendah",'B.kriteria &amp; R.kecocokan'!$C$80,N156="Tinggi",'B.kriteria &amp; R.kecocokan'!$C$81)</f>
        <v>2.5</v>
      </c>
      <c r="P156" s="9" t="str">
        <f>'B.kriteria &amp; R.kecocokan'!$B$90</f>
        <v>Sangat Sedikit</v>
      </c>
      <c r="Q156" s="8">
        <f>_xlfn.IFS(P156="Sedikit",'B.kriteria &amp; R.kecocokan'!$C$89,P156="Sedang",'B.kriteria &amp; R.kecocokan'!$C$88,P156="Sangat Sedikit",'B.kriteria &amp; R.kecocokan'!$C$90)</f>
        <v>1</v>
      </c>
      <c r="R156" s="8" t="str">
        <f>'B.kriteria &amp; R.kecocokan'!$B$49</f>
        <v>Rendah</v>
      </c>
      <c r="S156" s="8">
        <f>_xlfn.IFS(R156="Rendah",'B.kriteria &amp; R.kecocokan'!$C$49,R156="Sedang",'B.kriteria &amp; R.kecocokan'!$C$50,R156="Tinggi",'B.kriteria &amp; R.kecocokan'!$C$51)</f>
        <v>2.5</v>
      </c>
      <c r="T156" s="8" t="str">
        <f>'B.kriteria &amp; R.kecocokan'!$B$57</f>
        <v>Rendah</v>
      </c>
      <c r="U156" s="51">
        <f>_xlfn.IFS(T156="Rendah",'B.kriteria &amp; R.kecocokan'!$C$57,T156="Sedang",'B.kriteria &amp; R.kecocokan'!$C$58,T156="Tinggi",'B.kriteria &amp; R.kecocokan'!$C$59)</f>
        <v>2.5</v>
      </c>
      <c r="V156" s="51" t="str">
        <f>'B.kriteria &amp; R.kecocokan'!$B$65</f>
        <v>Rendah</v>
      </c>
      <c r="W156" s="9">
        <f>_xlfn.IFS(V156="Rendah",'B.kriteria &amp; R.kecocokan'!$C$65,V156="Sedang",'B.kriteria &amp; R.kecocokan'!$C$66,V156="Tinggi",'B.kriteria &amp; R.kecocokan'!$C$67)</f>
        <v>1</v>
      </c>
      <c r="X156" s="117">
        <f t="shared" si="13"/>
        <v>3.5725859068483352</v>
      </c>
      <c r="Y156" s="117">
        <f t="shared" si="14"/>
        <v>5.3385391260156556</v>
      </c>
      <c r="Z156" s="119">
        <f t="shared" si="15"/>
        <v>3.5725859068483352</v>
      </c>
      <c r="AA156" s="55" t="str">
        <f t="shared" si="16"/>
        <v>Layak</v>
      </c>
    </row>
    <row r="157" spans="1:27" x14ac:dyDescent="0.35">
      <c r="A157" s="1">
        <v>44</v>
      </c>
      <c r="B157" s="2" t="s">
        <v>96</v>
      </c>
      <c r="C157" s="11" t="s">
        <v>95</v>
      </c>
      <c r="D157" s="28" t="str">
        <f>'B.kriteria &amp; R.kecocokan'!$B$25</f>
        <v>Sedikit</v>
      </c>
      <c r="E157" s="111">
        <f>_xlfn.IFS(D157="Banyak",'B.kriteria &amp; R.kecocokan'!$C$23,D157="Cukup",'B.kriteria &amp; R.kecocokan'!$C$24,D157="Sedikit",'B.kriteria &amp; R.kecocokan'!$C$25)</f>
        <v>7.5</v>
      </c>
      <c r="F157" s="9" t="str">
        <f>'B.kriteria &amp; R.kecocokan'!$B$35</f>
        <v>Sangat Tinggi</v>
      </c>
      <c r="G157" s="8">
        <f>_xlfn.IFS(F157="Tinggi",'B.kriteria &amp; R.kecocokan'!$C$34,F157="Sangat Tinggi",'B.kriteria &amp; R.kecocokan'!$C$35)</f>
        <v>10</v>
      </c>
      <c r="H157" s="8" t="str">
        <f>'B.kriteria &amp; R.kecocokan'!$B$41</f>
        <v>Rendah</v>
      </c>
      <c r="I157" s="8">
        <f>_xlfn.IFS(H157="Rendah",'B.kriteria &amp; R.kecocokan'!$C$41,H157="Sedang",'B.kriteria &amp; R.kecocokan'!$C$42,H157="Tinggi",'B.kriteria &amp; R.kecocokan'!$C$43)</f>
        <v>2.5</v>
      </c>
      <c r="J157" s="8" t="str">
        <f>'B.kriteria &amp; R.kecocokan'!$B$72</f>
        <v>Rendah</v>
      </c>
      <c r="K157" s="8">
        <f>_xlfn.IFS(J157="Rendah",'B.kriteria &amp; R.kecocokan'!$C$72,J157="Sedang",'B.kriteria &amp; R.kecocokan'!$C$73,J157="Tinggi",'B.kriteria &amp; R.kecocokan'!$C$74)</f>
        <v>2.5</v>
      </c>
      <c r="L157" s="8" t="str">
        <f>'B.kriteria &amp; R.kecocokan'!$B$95</f>
        <v>Rendah</v>
      </c>
      <c r="M157" s="8">
        <f>_xlfn.IFS(L157="Rendah",'B.kriteria &amp; R.kecocokan'!$C$95,L157="Tinggi",'B.kriteria &amp; R.kecocokan'!$C$96)</f>
        <v>2.5</v>
      </c>
      <c r="N157" s="9" t="str">
        <f>'B.kriteria &amp; R.kecocokan'!$B$81</f>
        <v>Tinggi</v>
      </c>
      <c r="O157" s="8">
        <f>_xlfn.IFS(N157="Rendah",'B.kriteria &amp; R.kecocokan'!$C$80,N157="Tinggi",'B.kriteria &amp; R.kecocokan'!$C$81)</f>
        <v>7.5</v>
      </c>
      <c r="P157" s="9" t="str">
        <f>'B.kriteria &amp; R.kecocokan'!$B$90</f>
        <v>Sangat Sedikit</v>
      </c>
      <c r="Q157" s="8">
        <f>_xlfn.IFS(P157="Sedikit",'B.kriteria &amp; R.kecocokan'!$C$89,P157="Sedang",'B.kriteria &amp; R.kecocokan'!$C$88,P157="Sangat Sedikit",'B.kriteria &amp; R.kecocokan'!$C$90)</f>
        <v>1</v>
      </c>
      <c r="R157" s="9" t="str">
        <f>'B.kriteria &amp; R.kecocokan'!$B$50</f>
        <v>Sedang</v>
      </c>
      <c r="S157" s="8">
        <f>_xlfn.IFS(R157="Rendah",'B.kriteria &amp; R.kecocokan'!$C$49,R157="Sedang",'B.kriteria &amp; R.kecocokan'!$C$50,R157="Tinggi",'B.kriteria &amp; R.kecocokan'!$C$51)</f>
        <v>5</v>
      </c>
      <c r="T157" s="9" t="str">
        <f>'B.kriteria &amp; R.kecocokan'!$B$59</f>
        <v>Tinggi</v>
      </c>
      <c r="U157" s="51">
        <f>_xlfn.IFS(T157="Rendah",'B.kriteria &amp; R.kecocokan'!$C$57,T157="Sedang",'B.kriteria &amp; R.kecocokan'!$C$58,T157="Tinggi",'B.kriteria &amp; R.kecocokan'!$C$59)</f>
        <v>7.5</v>
      </c>
      <c r="V157" s="51" t="str">
        <f>'B.kriteria &amp; R.kecocokan'!$B$65</f>
        <v>Rendah</v>
      </c>
      <c r="W157" s="9">
        <f>_xlfn.IFS(V157="Rendah",'B.kriteria &amp; R.kecocokan'!$C$65,V157="Sedang",'B.kriteria &amp; R.kecocokan'!$C$66,V157="Tinggi",'B.kriteria &amp; R.kecocokan'!$C$67)</f>
        <v>1</v>
      </c>
      <c r="X157" s="117">
        <f t="shared" si="13"/>
        <v>6.0781327667848624</v>
      </c>
      <c r="Y157" s="117">
        <f t="shared" si="14"/>
        <v>8.8600225733346747</v>
      </c>
      <c r="Z157" s="119">
        <f t="shared" si="15"/>
        <v>6.0781327667848624</v>
      </c>
      <c r="AA157" s="55" t="str">
        <f t="shared" si="16"/>
        <v>Layak</v>
      </c>
    </row>
    <row r="158" spans="1:27" x14ac:dyDescent="0.35">
      <c r="A158" s="5">
        <v>45</v>
      </c>
      <c r="B158" s="2" t="s">
        <v>98</v>
      </c>
      <c r="C158" s="11" t="s">
        <v>95</v>
      </c>
      <c r="D158" s="32" t="str">
        <f>'B.kriteria &amp; R.kecocokan'!$B$24</f>
        <v>Cukup</v>
      </c>
      <c r="E158" s="111">
        <f>_xlfn.IFS(D158="Banyak",'B.kriteria &amp; R.kecocokan'!$C$23,D158="Cukup",'B.kriteria &amp; R.kecocokan'!$C$24,D158="Sedikit",'B.kriteria &amp; R.kecocokan'!$C$25)</f>
        <v>5</v>
      </c>
      <c r="F158" s="9" t="str">
        <f>'B.kriteria &amp; R.kecocokan'!$B$34</f>
        <v>Tinggi</v>
      </c>
      <c r="G158" s="8">
        <f>_xlfn.IFS(F158="Tinggi",'B.kriteria &amp; R.kecocokan'!$C$34,F158="Sangat Tinggi",'B.kriteria &amp; R.kecocokan'!$C$35)</f>
        <v>7.5</v>
      </c>
      <c r="H158" s="8" t="str">
        <f>'B.kriteria &amp; R.kecocokan'!$B$41</f>
        <v>Rendah</v>
      </c>
      <c r="I158" s="8">
        <f>_xlfn.IFS(H158="Rendah",'B.kriteria &amp; R.kecocokan'!$C$41,H158="Sedang",'B.kriteria &amp; R.kecocokan'!$C$42,H158="Tinggi",'B.kriteria &amp; R.kecocokan'!$C$43)</f>
        <v>2.5</v>
      </c>
      <c r="J158" s="8" t="str">
        <f>'B.kriteria &amp; R.kecocokan'!$B$72</f>
        <v>Rendah</v>
      </c>
      <c r="K158" s="8">
        <f>_xlfn.IFS(J158="Rendah",'B.kriteria &amp; R.kecocokan'!$C$72,J158="Sedang",'B.kriteria &amp; R.kecocokan'!$C$73,J158="Tinggi",'B.kriteria &amp; R.kecocokan'!$C$74)</f>
        <v>2.5</v>
      </c>
      <c r="L158" s="8" t="str">
        <f>'B.kriteria &amp; R.kecocokan'!$B$95</f>
        <v>Rendah</v>
      </c>
      <c r="M158" s="8">
        <f>_xlfn.IFS(L158="Rendah",'B.kriteria &amp; R.kecocokan'!$C$95,L158="Tinggi",'B.kriteria &amp; R.kecocokan'!$C$96)</f>
        <v>2.5</v>
      </c>
      <c r="N158" s="9" t="str">
        <f>'B.kriteria &amp; R.kecocokan'!$B$81</f>
        <v>Tinggi</v>
      </c>
      <c r="O158" s="8">
        <f>_xlfn.IFS(N158="Rendah",'B.kriteria &amp; R.kecocokan'!$C$80,N158="Tinggi",'B.kriteria &amp; R.kecocokan'!$C$81)</f>
        <v>7.5</v>
      </c>
      <c r="P158" s="9" t="str">
        <f>'B.kriteria &amp; R.kecocokan'!$B$90</f>
        <v>Sangat Sedikit</v>
      </c>
      <c r="Q158" s="8">
        <f>_xlfn.IFS(P158="Sedikit",'B.kriteria &amp; R.kecocokan'!$C$89,P158="Sedang",'B.kriteria &amp; R.kecocokan'!$C$88,P158="Sangat Sedikit",'B.kriteria &amp; R.kecocokan'!$C$90)</f>
        <v>1</v>
      </c>
      <c r="R158" s="8" t="str">
        <f>'B.kriteria &amp; R.kecocokan'!$B$49</f>
        <v>Rendah</v>
      </c>
      <c r="S158" s="8">
        <f>_xlfn.IFS(R158="Rendah",'B.kriteria &amp; R.kecocokan'!$C$49,R158="Sedang",'B.kriteria &amp; R.kecocokan'!$C$50,R158="Tinggi",'B.kriteria &amp; R.kecocokan'!$C$51)</f>
        <v>2.5</v>
      </c>
      <c r="T158" s="8" t="str">
        <f>'B.kriteria &amp; R.kecocokan'!$B$57</f>
        <v>Rendah</v>
      </c>
      <c r="U158" s="51">
        <f>_xlfn.IFS(T158="Rendah",'B.kriteria &amp; R.kecocokan'!$C$57,T158="Sedang",'B.kriteria &amp; R.kecocokan'!$C$58,T158="Tinggi",'B.kriteria &amp; R.kecocokan'!$C$59)</f>
        <v>2.5</v>
      </c>
      <c r="V158" s="51" t="str">
        <f>'B.kriteria &amp; R.kecocokan'!$B$65</f>
        <v>Rendah</v>
      </c>
      <c r="W158" s="9">
        <f>_xlfn.IFS(V158="Rendah",'B.kriteria &amp; R.kecocokan'!$C$65,V158="Sedang",'B.kriteria &amp; R.kecocokan'!$C$66,V158="Tinggi",'B.kriteria &amp; R.kecocokan'!$C$67)</f>
        <v>1</v>
      </c>
      <c r="X158" s="117">
        <f t="shared" si="13"/>
        <v>2.5116631997591665</v>
      </c>
      <c r="Y158" s="117">
        <f t="shared" si="14"/>
        <v>6.8738635424337602</v>
      </c>
      <c r="Z158" s="119">
        <f t="shared" si="15"/>
        <v>2.5116631997591665</v>
      </c>
      <c r="AA158" s="55" t="str">
        <f t="shared" si="16"/>
        <v>Layak</v>
      </c>
    </row>
    <row r="159" spans="1:27" x14ac:dyDescent="0.35">
      <c r="A159" s="5">
        <v>46</v>
      </c>
      <c r="B159" s="2" t="s">
        <v>100</v>
      </c>
      <c r="C159" s="11" t="s">
        <v>92</v>
      </c>
      <c r="D159" s="32" t="str">
        <f>'B.kriteria &amp; R.kecocokan'!$B$24</f>
        <v>Cukup</v>
      </c>
      <c r="E159" s="111">
        <f>_xlfn.IFS(D159="Banyak",'B.kriteria &amp; R.kecocokan'!$C$23,D159="Cukup",'B.kriteria &amp; R.kecocokan'!$C$24,D159="Sedikit",'B.kriteria &amp; R.kecocokan'!$C$25)</f>
        <v>5</v>
      </c>
      <c r="F159" s="9" t="str">
        <f>'B.kriteria &amp; R.kecocokan'!$B$34</f>
        <v>Tinggi</v>
      </c>
      <c r="G159" s="8">
        <f>_xlfn.IFS(F159="Tinggi",'B.kriteria &amp; R.kecocokan'!$C$34,F159="Sangat Tinggi",'B.kriteria &amp; R.kecocokan'!$C$35)</f>
        <v>7.5</v>
      </c>
      <c r="H159" s="8" t="str">
        <f>'B.kriteria &amp; R.kecocokan'!$B$41</f>
        <v>Rendah</v>
      </c>
      <c r="I159" s="8">
        <f>_xlfn.IFS(H159="Rendah",'B.kriteria &amp; R.kecocokan'!$C$41,H159="Sedang",'B.kriteria &amp; R.kecocokan'!$C$42,H159="Tinggi",'B.kriteria &amp; R.kecocokan'!$C$43)</f>
        <v>2.5</v>
      </c>
      <c r="J159" s="8" t="str">
        <f>'B.kriteria &amp; R.kecocokan'!$B$72</f>
        <v>Rendah</v>
      </c>
      <c r="K159" s="8">
        <f>_xlfn.IFS(J159="Rendah",'B.kriteria &amp; R.kecocokan'!$C$72,J159="Sedang",'B.kriteria &amp; R.kecocokan'!$C$73,J159="Tinggi",'B.kriteria &amp; R.kecocokan'!$C$74)</f>
        <v>2.5</v>
      </c>
      <c r="L159" s="8" t="str">
        <f>'B.kriteria &amp; R.kecocokan'!$B$95</f>
        <v>Rendah</v>
      </c>
      <c r="M159" s="8">
        <f>_xlfn.IFS(L159="Rendah",'B.kriteria &amp; R.kecocokan'!$C$95,L159="Tinggi",'B.kriteria &amp; R.kecocokan'!$C$96)</f>
        <v>2.5</v>
      </c>
      <c r="N159" s="8" t="str">
        <f>'B.kriteria &amp; R.kecocokan'!$B$80</f>
        <v>Rendah</v>
      </c>
      <c r="O159" s="8">
        <f>_xlfn.IFS(N159="Rendah",'B.kriteria &amp; R.kecocokan'!$C$80,N159="Tinggi",'B.kriteria &amp; R.kecocokan'!$C$81)</f>
        <v>2.5</v>
      </c>
      <c r="P159" s="9" t="str">
        <f>'B.kriteria &amp; R.kecocokan'!$B$88</f>
        <v>Sedang</v>
      </c>
      <c r="Q159" s="8">
        <f>_xlfn.IFS(P159="Sedikit",'B.kriteria &amp; R.kecocokan'!$C$89,P159="Sedang",'B.kriteria &amp; R.kecocokan'!$C$88,P159="Sangat Sedikit",'B.kriteria &amp; R.kecocokan'!$C$90)</f>
        <v>5</v>
      </c>
      <c r="R159" s="8" t="str">
        <f>'B.kriteria &amp; R.kecocokan'!$B$49</f>
        <v>Rendah</v>
      </c>
      <c r="S159" s="8">
        <f>_xlfn.IFS(R159="Rendah",'B.kriteria &amp; R.kecocokan'!$C$49,R159="Sedang",'B.kriteria &amp; R.kecocokan'!$C$50,R159="Tinggi",'B.kriteria &amp; R.kecocokan'!$C$51)</f>
        <v>2.5</v>
      </c>
      <c r="T159" s="8" t="str">
        <f>'B.kriteria &amp; R.kecocokan'!$B$57</f>
        <v>Rendah</v>
      </c>
      <c r="U159" s="51">
        <f>_xlfn.IFS(T159="Rendah",'B.kriteria &amp; R.kecocokan'!$C$57,T159="Sedang",'B.kriteria &amp; R.kecocokan'!$C$58,T159="Tinggi",'B.kriteria &amp; R.kecocokan'!$C$59)</f>
        <v>2.5</v>
      </c>
      <c r="V159" s="51" t="str">
        <f>'B.kriteria &amp; R.kecocokan'!$B$65</f>
        <v>Rendah</v>
      </c>
      <c r="W159" s="9">
        <f>_xlfn.IFS(V159="Rendah",'B.kriteria &amp; R.kecocokan'!$C$65,V159="Sedang",'B.kriteria &amp; R.kecocokan'!$C$66,V159="Tinggi",'B.kriteria &amp; R.kecocokan'!$C$67)</f>
        <v>1</v>
      </c>
      <c r="X159" s="117">
        <f t="shared" si="13"/>
        <v>4.6514858788868185</v>
      </c>
      <c r="Y159" s="117">
        <f t="shared" si="14"/>
        <v>2.5</v>
      </c>
      <c r="Z159" s="119">
        <f t="shared" si="15"/>
        <v>2.5</v>
      </c>
      <c r="AA159" s="55" t="str">
        <f t="shared" si="16"/>
        <v>Tidak Layak</v>
      </c>
    </row>
    <row r="160" spans="1:27" x14ac:dyDescent="0.35">
      <c r="A160" s="1">
        <v>47</v>
      </c>
      <c r="B160" s="2" t="s">
        <v>101</v>
      </c>
      <c r="C160" s="11" t="s">
        <v>92</v>
      </c>
      <c r="D160" s="28" t="str">
        <f>'B.kriteria &amp; R.kecocokan'!$B$25</f>
        <v>Sedikit</v>
      </c>
      <c r="E160" s="111">
        <f>_xlfn.IFS(D160="Banyak",'B.kriteria &amp; R.kecocokan'!$C$23,D160="Cukup",'B.kriteria &amp; R.kecocokan'!$C$24,D160="Sedikit",'B.kriteria &amp; R.kecocokan'!$C$25)</f>
        <v>7.5</v>
      </c>
      <c r="F160" s="9" t="str">
        <f>'B.kriteria &amp; R.kecocokan'!$B$34</f>
        <v>Tinggi</v>
      </c>
      <c r="G160" s="8">
        <f>_xlfn.IFS(F160="Tinggi",'B.kriteria &amp; R.kecocokan'!$C$34,F160="Sangat Tinggi",'B.kriteria &amp; R.kecocokan'!$C$35)</f>
        <v>7.5</v>
      </c>
      <c r="H160" s="8" t="str">
        <f>'B.kriteria &amp; R.kecocokan'!$B$41</f>
        <v>Rendah</v>
      </c>
      <c r="I160" s="8">
        <f>_xlfn.IFS(H160="Rendah",'B.kriteria &amp; R.kecocokan'!$C$41,H160="Sedang",'B.kriteria &amp; R.kecocokan'!$C$42,H160="Tinggi",'B.kriteria &amp; R.kecocokan'!$C$43)</f>
        <v>2.5</v>
      </c>
      <c r="J160" s="8" t="str">
        <f>'B.kriteria &amp; R.kecocokan'!$B$72</f>
        <v>Rendah</v>
      </c>
      <c r="K160" s="8">
        <f>_xlfn.IFS(J160="Rendah",'B.kriteria &amp; R.kecocokan'!$C$72,J160="Sedang",'B.kriteria &amp; R.kecocokan'!$C$73,J160="Tinggi",'B.kriteria &amp; R.kecocokan'!$C$74)</f>
        <v>2.5</v>
      </c>
      <c r="L160" s="8" t="str">
        <f>'B.kriteria &amp; R.kecocokan'!$B$95</f>
        <v>Rendah</v>
      </c>
      <c r="M160" s="8">
        <f>_xlfn.IFS(L160="Rendah",'B.kriteria &amp; R.kecocokan'!$C$95,L160="Tinggi",'B.kriteria &amp; R.kecocokan'!$C$96)</f>
        <v>2.5</v>
      </c>
      <c r="N160" s="9" t="str">
        <f>'B.kriteria &amp; R.kecocokan'!$B$81</f>
        <v>Tinggi</v>
      </c>
      <c r="O160" s="8">
        <f>_xlfn.IFS(N160="Rendah",'B.kriteria &amp; R.kecocokan'!$C$80,N160="Tinggi",'B.kriteria &amp; R.kecocokan'!$C$81)</f>
        <v>7.5</v>
      </c>
      <c r="P160" s="9" t="str">
        <f>'B.kriteria &amp; R.kecocokan'!$B$90</f>
        <v>Sangat Sedikit</v>
      </c>
      <c r="Q160" s="8">
        <f>_xlfn.IFS(P160="Sedikit",'B.kriteria &amp; R.kecocokan'!$C$89,P160="Sedang",'B.kriteria &amp; R.kecocokan'!$C$88,P160="Sangat Sedikit",'B.kriteria &amp; R.kecocokan'!$C$90)</f>
        <v>1</v>
      </c>
      <c r="R160" s="8" t="str">
        <f>'B.kriteria &amp; R.kecocokan'!$B$49</f>
        <v>Rendah</v>
      </c>
      <c r="S160" s="8">
        <f>_xlfn.IFS(R160="Rendah",'B.kriteria &amp; R.kecocokan'!$C$49,R160="Sedang",'B.kriteria &amp; R.kecocokan'!$C$50,R160="Tinggi",'B.kriteria &amp; R.kecocokan'!$C$51)</f>
        <v>2.5</v>
      </c>
      <c r="T160" s="8" t="str">
        <f>'B.kriteria &amp; R.kecocokan'!$B$57</f>
        <v>Rendah</v>
      </c>
      <c r="U160" s="51">
        <f>_xlfn.IFS(T160="Rendah",'B.kriteria &amp; R.kecocokan'!$C$57,T160="Sedang",'B.kriteria &amp; R.kecocokan'!$C$58,T160="Tinggi",'B.kriteria &amp; R.kecocokan'!$C$59)</f>
        <v>2.5</v>
      </c>
      <c r="V160" s="51" t="str">
        <f>'B.kriteria &amp; R.kecocokan'!$B$65</f>
        <v>Rendah</v>
      </c>
      <c r="W160" s="9">
        <f>_xlfn.IFS(V160="Rendah",'B.kriteria &amp; R.kecocokan'!$C$65,V160="Sedang",'B.kriteria &amp; R.kecocokan'!$C$66,V160="Tinggi",'B.kriteria &amp; R.kecocokan'!$C$67)</f>
        <v>1</v>
      </c>
      <c r="X160" s="117">
        <f t="shared" si="13"/>
        <v>3.1455552137571754</v>
      </c>
      <c r="Y160" s="117">
        <f t="shared" si="14"/>
        <v>7.3143694191638966</v>
      </c>
      <c r="Z160" s="119">
        <f t="shared" si="15"/>
        <v>3.1455552137571754</v>
      </c>
      <c r="AA160" s="55" t="str">
        <f t="shared" si="16"/>
        <v>Layak</v>
      </c>
    </row>
    <row r="161" spans="1:27" x14ac:dyDescent="0.35">
      <c r="A161" s="5">
        <v>48</v>
      </c>
      <c r="B161" s="2" t="s">
        <v>102</v>
      </c>
      <c r="C161" s="11" t="s">
        <v>95</v>
      </c>
      <c r="D161" s="32" t="str">
        <f>'B.kriteria &amp; R.kecocokan'!$B$24</f>
        <v>Cukup</v>
      </c>
      <c r="E161" s="111">
        <f>_xlfn.IFS(D161="Banyak",'B.kriteria &amp; R.kecocokan'!$C$23,D161="Cukup",'B.kriteria &amp; R.kecocokan'!$C$24,D161="Sedikit",'B.kriteria &amp; R.kecocokan'!$C$25)</f>
        <v>5</v>
      </c>
      <c r="F161" s="9" t="str">
        <f>'B.kriteria &amp; R.kecocokan'!$B$34</f>
        <v>Tinggi</v>
      </c>
      <c r="G161" s="8">
        <f>_xlfn.IFS(F161="Tinggi",'B.kriteria &amp; R.kecocokan'!$C$34,F161="Sangat Tinggi",'B.kriteria &amp; R.kecocokan'!$C$35)</f>
        <v>7.5</v>
      </c>
      <c r="H161" s="8" t="str">
        <f>'B.kriteria &amp; R.kecocokan'!$B$41</f>
        <v>Rendah</v>
      </c>
      <c r="I161" s="8">
        <f>_xlfn.IFS(H161="Rendah",'B.kriteria &amp; R.kecocokan'!$C$41,H161="Sedang",'B.kriteria &amp; R.kecocokan'!$C$42,H161="Tinggi",'B.kriteria &amp; R.kecocokan'!$C$43)</f>
        <v>2.5</v>
      </c>
      <c r="J161" s="8" t="str">
        <f>'B.kriteria &amp; R.kecocokan'!$B$72</f>
        <v>Rendah</v>
      </c>
      <c r="K161" s="8">
        <f>_xlfn.IFS(J161="Rendah",'B.kriteria &amp; R.kecocokan'!$C$72,J161="Sedang",'B.kriteria &amp; R.kecocokan'!$C$73,J161="Tinggi",'B.kriteria &amp; R.kecocokan'!$C$74)</f>
        <v>2.5</v>
      </c>
      <c r="L161" s="8" t="str">
        <f>'B.kriteria &amp; R.kecocokan'!$B$95</f>
        <v>Rendah</v>
      </c>
      <c r="M161" s="8">
        <f>_xlfn.IFS(L161="Rendah",'B.kriteria &amp; R.kecocokan'!$C$95,L161="Tinggi",'B.kriteria &amp; R.kecocokan'!$C$96)</f>
        <v>2.5</v>
      </c>
      <c r="N161" s="8" t="str">
        <f>'B.kriteria &amp; R.kecocokan'!$B$80</f>
        <v>Rendah</v>
      </c>
      <c r="O161" s="8">
        <f>_xlfn.IFS(N161="Rendah",'B.kriteria &amp; R.kecocokan'!$C$80,N161="Tinggi",'B.kriteria &amp; R.kecocokan'!$C$81)</f>
        <v>2.5</v>
      </c>
      <c r="P161" s="8" t="str">
        <f>'B.kriteria &amp; R.kecocokan'!$B$89</f>
        <v>Sedikit</v>
      </c>
      <c r="Q161" s="8">
        <f>_xlfn.IFS(P161="Sedikit",'B.kriteria &amp; R.kecocokan'!$C$89,P161="Sedang",'B.kriteria &amp; R.kecocokan'!$C$88,P161="Sangat Sedikit",'B.kriteria &amp; R.kecocokan'!$C$90)</f>
        <v>2.5</v>
      </c>
      <c r="R161" s="8" t="str">
        <f>'B.kriteria &amp; R.kecocokan'!$B$49</f>
        <v>Rendah</v>
      </c>
      <c r="S161" s="8">
        <f>_xlfn.IFS(R161="Rendah",'B.kriteria &amp; R.kecocokan'!$C$49,R161="Sedang",'B.kriteria &amp; R.kecocokan'!$C$50,R161="Tinggi",'B.kriteria &amp; R.kecocokan'!$C$51)</f>
        <v>2.5</v>
      </c>
      <c r="T161" s="8" t="str">
        <f>'B.kriteria &amp; R.kecocokan'!$B$57</f>
        <v>Rendah</v>
      </c>
      <c r="U161" s="51">
        <f>_xlfn.IFS(T161="Rendah",'B.kriteria &amp; R.kecocokan'!$C$57,T161="Sedang",'B.kriteria &amp; R.kecocokan'!$C$58,T161="Tinggi",'B.kriteria &amp; R.kecocokan'!$C$59)</f>
        <v>2.5</v>
      </c>
      <c r="V161" s="51" t="str">
        <f>'B.kriteria &amp; R.kecocokan'!$B$65</f>
        <v>Rendah</v>
      </c>
      <c r="W161" s="9">
        <f>_xlfn.IFS(V161="Rendah",'B.kriteria &amp; R.kecocokan'!$C$65,V161="Sedang",'B.kriteria &amp; R.kecocokan'!$C$66,V161="Tinggi",'B.kriteria &amp; R.kecocokan'!$C$67)</f>
        <v>1</v>
      </c>
      <c r="X161" s="117">
        <f t="shared" si="13"/>
        <v>3.1779609241747817</v>
      </c>
      <c r="Y161" s="117">
        <f t="shared" si="14"/>
        <v>3.5355339059327378</v>
      </c>
      <c r="Z161" s="119">
        <f t="shared" si="15"/>
        <v>3.1779609241747817</v>
      </c>
      <c r="AA161" s="55" t="str">
        <f t="shared" si="16"/>
        <v>Layak</v>
      </c>
    </row>
    <row r="162" spans="1:27" x14ac:dyDescent="0.35">
      <c r="A162" s="5">
        <v>49</v>
      </c>
      <c r="B162" s="2" t="s">
        <v>104</v>
      </c>
      <c r="C162" s="11" t="s">
        <v>92</v>
      </c>
      <c r="D162" s="28" t="str">
        <f>'B.kriteria &amp; R.kecocokan'!$B$25</f>
        <v>Sedikit</v>
      </c>
      <c r="E162" s="111">
        <f>_xlfn.IFS(D162="Banyak",'B.kriteria &amp; R.kecocokan'!$C$23,D162="Cukup",'B.kriteria &amp; R.kecocokan'!$C$24,D162="Sedikit",'B.kriteria &amp; R.kecocokan'!$C$25)</f>
        <v>7.5</v>
      </c>
      <c r="F162" s="9" t="str">
        <f>'B.kriteria &amp; R.kecocokan'!$B$35</f>
        <v>Sangat Tinggi</v>
      </c>
      <c r="G162" s="8">
        <f>_xlfn.IFS(F162="Tinggi",'B.kriteria &amp; R.kecocokan'!$C$34,F162="Sangat Tinggi",'B.kriteria &amp; R.kecocokan'!$C$35)</f>
        <v>10</v>
      </c>
      <c r="H162" s="8" t="str">
        <f>'B.kriteria &amp; R.kecocokan'!$B$41</f>
        <v>Rendah</v>
      </c>
      <c r="I162" s="8">
        <f>_xlfn.IFS(H162="Rendah",'B.kriteria &amp; R.kecocokan'!$C$41,H162="Sedang",'B.kriteria &amp; R.kecocokan'!$C$42,H162="Tinggi",'B.kriteria &amp; R.kecocokan'!$C$43)</f>
        <v>2.5</v>
      </c>
      <c r="J162" s="8" t="str">
        <f>'B.kriteria &amp; R.kecocokan'!$B$72</f>
        <v>Rendah</v>
      </c>
      <c r="K162" s="8">
        <f>_xlfn.IFS(J162="Rendah",'B.kriteria &amp; R.kecocokan'!$C$72,J162="Sedang",'B.kriteria &amp; R.kecocokan'!$C$73,J162="Tinggi",'B.kriteria &amp; R.kecocokan'!$C$74)</f>
        <v>2.5</v>
      </c>
      <c r="L162" s="8" t="str">
        <f>'B.kriteria &amp; R.kecocokan'!$B$95</f>
        <v>Rendah</v>
      </c>
      <c r="M162" s="8">
        <f>_xlfn.IFS(L162="Rendah",'B.kriteria &amp; R.kecocokan'!$C$95,L162="Tinggi",'B.kriteria &amp; R.kecocokan'!$C$96)</f>
        <v>2.5</v>
      </c>
      <c r="N162" s="9" t="str">
        <f>'B.kriteria &amp; R.kecocokan'!$B$81</f>
        <v>Tinggi</v>
      </c>
      <c r="O162" s="8">
        <f>_xlfn.IFS(N162="Rendah",'B.kriteria &amp; R.kecocokan'!$C$80,N162="Tinggi",'B.kriteria &amp; R.kecocokan'!$C$81)</f>
        <v>7.5</v>
      </c>
      <c r="P162" s="9" t="str">
        <f>'B.kriteria &amp; R.kecocokan'!$B$90</f>
        <v>Sangat Sedikit</v>
      </c>
      <c r="Q162" s="8">
        <f>_xlfn.IFS(P162="Sedikit",'B.kriteria &amp; R.kecocokan'!$C$89,P162="Sedang",'B.kriteria &amp; R.kecocokan'!$C$88,P162="Sangat Sedikit",'B.kriteria &amp; R.kecocokan'!$C$90)</f>
        <v>1</v>
      </c>
      <c r="R162" s="8" t="str">
        <f>'B.kriteria &amp; R.kecocokan'!$B$49</f>
        <v>Rendah</v>
      </c>
      <c r="S162" s="8">
        <f>_xlfn.IFS(R162="Rendah",'B.kriteria &amp; R.kecocokan'!$C$49,R162="Sedang",'B.kriteria &amp; R.kecocokan'!$C$50,R162="Tinggi",'B.kriteria &amp; R.kecocokan'!$C$51)</f>
        <v>2.5</v>
      </c>
      <c r="T162" s="8" t="str">
        <f>'B.kriteria &amp; R.kecocokan'!$B$57</f>
        <v>Rendah</v>
      </c>
      <c r="U162" s="51">
        <f>_xlfn.IFS(T162="Rendah",'B.kriteria &amp; R.kecocokan'!$C$57,T162="Sedang",'B.kriteria &amp; R.kecocokan'!$C$58,T162="Tinggi",'B.kriteria &amp; R.kecocokan'!$C$59)</f>
        <v>2.5</v>
      </c>
      <c r="V162" s="51" t="str">
        <f>'B.kriteria &amp; R.kecocokan'!$B$65</f>
        <v>Rendah</v>
      </c>
      <c r="W162" s="9">
        <f>_xlfn.IFS(V162="Rendah",'B.kriteria &amp; R.kecocokan'!$C$65,V162="Sedang",'B.kriteria &amp; R.kecocokan'!$C$66,V162="Tinggi",'B.kriteria &amp; R.kecocokan'!$C$67)</f>
        <v>1</v>
      </c>
      <c r="X162" s="117">
        <f t="shared" si="13"/>
        <v>3.8085657852398804</v>
      </c>
      <c r="Y162" s="117">
        <f t="shared" si="14"/>
        <v>6.8738635424337602</v>
      </c>
      <c r="Z162" s="119">
        <f t="shared" si="15"/>
        <v>3.8085657852398804</v>
      </c>
      <c r="AA162" s="55" t="str">
        <f t="shared" si="16"/>
        <v>Layak</v>
      </c>
    </row>
    <row r="163" spans="1:27" x14ac:dyDescent="0.35">
      <c r="A163" s="1">
        <v>50</v>
      </c>
      <c r="B163" s="2" t="s">
        <v>105</v>
      </c>
      <c r="C163" s="11" t="s">
        <v>92</v>
      </c>
      <c r="D163" s="28" t="str">
        <f>'B.kriteria &amp; R.kecocokan'!$B$25</f>
        <v>Sedikit</v>
      </c>
      <c r="E163" s="111">
        <f>_xlfn.IFS(D163="Banyak",'B.kriteria &amp; R.kecocokan'!$C$23,D163="Cukup",'B.kriteria &amp; R.kecocokan'!$C$24,D163="Sedikit",'B.kriteria &amp; R.kecocokan'!$C$25)</f>
        <v>7.5</v>
      </c>
      <c r="F163" s="9" t="str">
        <f>'B.kriteria &amp; R.kecocokan'!$B$34</f>
        <v>Tinggi</v>
      </c>
      <c r="G163" s="8">
        <f>_xlfn.IFS(F163="Tinggi",'B.kriteria &amp; R.kecocokan'!$C$34,F163="Sangat Tinggi",'B.kriteria &amp; R.kecocokan'!$C$35)</f>
        <v>7.5</v>
      </c>
      <c r="H163" s="8" t="str">
        <f>'B.kriteria &amp; R.kecocokan'!$B$41</f>
        <v>Rendah</v>
      </c>
      <c r="I163" s="8">
        <f>_xlfn.IFS(H163="Rendah",'B.kriteria &amp; R.kecocokan'!$C$41,H163="Sedang",'B.kriteria &amp; R.kecocokan'!$C$42,H163="Tinggi",'B.kriteria &amp; R.kecocokan'!$C$43)</f>
        <v>2.5</v>
      </c>
      <c r="J163" s="8" t="str">
        <f>'B.kriteria &amp; R.kecocokan'!$B$72</f>
        <v>Rendah</v>
      </c>
      <c r="K163" s="8">
        <f>_xlfn.IFS(J163="Rendah",'B.kriteria &amp; R.kecocokan'!$C$72,J163="Sedang",'B.kriteria &amp; R.kecocokan'!$C$73,J163="Tinggi",'B.kriteria &amp; R.kecocokan'!$C$74)</f>
        <v>2.5</v>
      </c>
      <c r="L163" s="8" t="str">
        <f>'B.kriteria &amp; R.kecocokan'!$B$95</f>
        <v>Rendah</v>
      </c>
      <c r="M163" s="8">
        <f>_xlfn.IFS(L163="Rendah",'B.kriteria &amp; R.kecocokan'!$C$95,L163="Tinggi",'B.kriteria &amp; R.kecocokan'!$C$96)</f>
        <v>2.5</v>
      </c>
      <c r="N163" s="8" t="str">
        <f>'B.kriteria &amp; R.kecocokan'!$B$80</f>
        <v>Rendah</v>
      </c>
      <c r="O163" s="8">
        <f>_xlfn.IFS(N163="Rendah",'B.kriteria &amp; R.kecocokan'!$C$80,N163="Tinggi",'B.kriteria &amp; R.kecocokan'!$C$81)</f>
        <v>2.5</v>
      </c>
      <c r="P163" s="9" t="str">
        <f>'B.kriteria &amp; R.kecocokan'!$B$88</f>
        <v>Sedang</v>
      </c>
      <c r="Q163" s="8">
        <f>_xlfn.IFS(P163="Sedikit",'B.kriteria &amp; R.kecocokan'!$C$89,P163="Sedang",'B.kriteria &amp; R.kecocokan'!$C$88,P163="Sangat Sedikit",'B.kriteria &amp; R.kecocokan'!$C$90)</f>
        <v>5</v>
      </c>
      <c r="R163" s="9" t="str">
        <f>'B.kriteria &amp; R.kecocokan'!$B$50</f>
        <v>Sedang</v>
      </c>
      <c r="S163" s="8">
        <f>_xlfn.IFS(R163="Rendah",'B.kriteria &amp; R.kecocokan'!$C$49,R163="Sedang",'B.kriteria &amp; R.kecocokan'!$C$50,R163="Tinggi",'B.kriteria &amp; R.kecocokan'!$C$51)</f>
        <v>5</v>
      </c>
      <c r="T163" s="9" t="str">
        <f>'B.kriteria &amp; R.kecocokan'!$B$59</f>
        <v>Tinggi</v>
      </c>
      <c r="U163" s="51">
        <f>_xlfn.IFS(T163="Rendah",'B.kriteria &amp; R.kecocokan'!$C$57,T163="Sedang",'B.kriteria &amp; R.kecocokan'!$C$58,T163="Tinggi",'B.kriteria &amp; R.kecocokan'!$C$59)</f>
        <v>7.5</v>
      </c>
      <c r="V163" s="51" t="str">
        <f>'B.kriteria &amp; R.kecocokan'!$B$65</f>
        <v>Rendah</v>
      </c>
      <c r="W163" s="9">
        <f>_xlfn.IFS(V163="Rendah",'B.kriteria &amp; R.kecocokan'!$C$65,V163="Sedang",'B.kriteria &amp; R.kecocokan'!$C$66,V163="Tinggi",'B.kriteria &amp; R.kecocokan'!$C$67)</f>
        <v>1</v>
      </c>
      <c r="X163" s="117">
        <f t="shared" si="13"/>
        <v>6.9036882204672239</v>
      </c>
      <c r="Y163" s="117">
        <f t="shared" si="14"/>
        <v>6.6143782776614763</v>
      </c>
      <c r="Z163" s="119">
        <f t="shared" si="15"/>
        <v>6.6143782776614763</v>
      </c>
      <c r="AA163" s="55" t="str">
        <f t="shared" si="16"/>
        <v>Tidak Layak</v>
      </c>
    </row>
    <row r="164" spans="1:27" x14ac:dyDescent="0.35">
      <c r="A164" s="5">
        <v>51</v>
      </c>
      <c r="B164" s="2" t="s">
        <v>106</v>
      </c>
      <c r="C164" s="11" t="s">
        <v>92</v>
      </c>
      <c r="D164" s="28" t="str">
        <f>'B.kriteria &amp; R.kecocokan'!$B$25</f>
        <v>Sedikit</v>
      </c>
      <c r="E164" s="111">
        <f>_xlfn.IFS(D164="Banyak",'B.kriteria &amp; R.kecocokan'!$C$23,D164="Cukup",'B.kriteria &amp; R.kecocokan'!$C$24,D164="Sedikit",'B.kriteria &amp; R.kecocokan'!$C$25)</f>
        <v>7.5</v>
      </c>
      <c r="F164" s="9" t="str">
        <f>'B.kriteria &amp; R.kecocokan'!$B$34</f>
        <v>Tinggi</v>
      </c>
      <c r="G164" s="8">
        <f>_xlfn.IFS(F164="Tinggi",'B.kriteria &amp; R.kecocokan'!$C$34,F164="Sangat Tinggi",'B.kriteria &amp; R.kecocokan'!$C$35)</f>
        <v>7.5</v>
      </c>
      <c r="H164" s="8" t="str">
        <f>'B.kriteria &amp; R.kecocokan'!$B$41</f>
        <v>Rendah</v>
      </c>
      <c r="I164" s="8">
        <f>_xlfn.IFS(H164="Rendah",'B.kriteria &amp; R.kecocokan'!$C$41,H164="Sedang",'B.kriteria &amp; R.kecocokan'!$C$42,H164="Tinggi",'B.kriteria &amp; R.kecocokan'!$C$43)</f>
        <v>2.5</v>
      </c>
      <c r="J164" s="8" t="str">
        <f>'B.kriteria &amp; R.kecocokan'!$B$72</f>
        <v>Rendah</v>
      </c>
      <c r="K164" s="8">
        <f>_xlfn.IFS(J164="Rendah",'B.kriteria &amp; R.kecocokan'!$C$72,J164="Sedang",'B.kriteria &amp; R.kecocokan'!$C$73,J164="Tinggi",'B.kriteria &amp; R.kecocokan'!$C$74)</f>
        <v>2.5</v>
      </c>
      <c r="L164" s="8" t="str">
        <f>'B.kriteria &amp; R.kecocokan'!$B$95</f>
        <v>Rendah</v>
      </c>
      <c r="M164" s="8">
        <f>_xlfn.IFS(L164="Rendah",'B.kriteria &amp; R.kecocokan'!$C$95,L164="Tinggi",'B.kriteria &amp; R.kecocokan'!$C$96)</f>
        <v>2.5</v>
      </c>
      <c r="N164" s="8" t="str">
        <f>'B.kriteria &amp; R.kecocokan'!$B$80</f>
        <v>Rendah</v>
      </c>
      <c r="O164" s="8">
        <f>_xlfn.IFS(N164="Rendah",'B.kriteria &amp; R.kecocokan'!$C$80,N164="Tinggi",'B.kriteria &amp; R.kecocokan'!$C$81)</f>
        <v>2.5</v>
      </c>
      <c r="P164" s="9" t="str">
        <f>'B.kriteria &amp; R.kecocokan'!$B$88</f>
        <v>Sedang</v>
      </c>
      <c r="Q164" s="8">
        <f>_xlfn.IFS(P164="Sedikit",'B.kriteria &amp; R.kecocokan'!$C$89,P164="Sedang",'B.kriteria &amp; R.kecocokan'!$C$88,P164="Sangat Sedikit",'B.kriteria &amp; R.kecocokan'!$C$90)</f>
        <v>5</v>
      </c>
      <c r="R164" s="8" t="str">
        <f>'B.kriteria &amp; R.kecocokan'!$B$49</f>
        <v>Rendah</v>
      </c>
      <c r="S164" s="8">
        <f>_xlfn.IFS(R164="Rendah",'B.kriteria &amp; R.kecocokan'!$C$49,R164="Sedang",'B.kriteria &amp; R.kecocokan'!$C$50,R164="Tinggi",'B.kriteria &amp; R.kecocokan'!$C$51)</f>
        <v>2.5</v>
      </c>
      <c r="T164" s="9" t="str">
        <f>'B.kriteria &amp; R.kecocokan'!$B$58</f>
        <v>Sedang</v>
      </c>
      <c r="U164" s="51">
        <f>_xlfn.IFS(T164="Rendah",'B.kriteria &amp; R.kecocokan'!$C$57,T164="Sedang",'B.kriteria &amp; R.kecocokan'!$C$58,T164="Tinggi",'B.kriteria &amp; R.kecocokan'!$C$59)</f>
        <v>5</v>
      </c>
      <c r="V164" s="51" t="str">
        <f>'B.kriteria &amp; R.kecocokan'!$B$65</f>
        <v>Rendah</v>
      </c>
      <c r="W164" s="9">
        <f>_xlfn.IFS(V164="Rendah",'B.kriteria &amp; R.kecocokan'!$C$65,V164="Sedang",'B.kriteria &amp; R.kecocokan'!$C$66,V164="Tinggi",'B.kriteria &amp; R.kecocokan'!$C$67)</f>
        <v>1</v>
      </c>
      <c r="X164" s="117">
        <f t="shared" si="13"/>
        <v>5.2904423159010934</v>
      </c>
      <c r="Y164" s="117">
        <f t="shared" si="14"/>
        <v>4.3301270189221936</v>
      </c>
      <c r="Z164" s="119">
        <f t="shared" si="15"/>
        <v>4.3301270189221936</v>
      </c>
      <c r="AA164" s="55" t="str">
        <f t="shared" si="16"/>
        <v>Tidak Layak</v>
      </c>
    </row>
    <row r="165" spans="1:27" x14ac:dyDescent="0.35">
      <c r="A165" s="5">
        <v>52</v>
      </c>
      <c r="B165" s="2" t="s">
        <v>107</v>
      </c>
      <c r="C165" s="11" t="s">
        <v>92</v>
      </c>
      <c r="D165" s="28" t="str">
        <f>'B.kriteria &amp; R.kecocokan'!$B$25</f>
        <v>Sedikit</v>
      </c>
      <c r="E165" s="111">
        <f>_xlfn.IFS(D165="Banyak",'B.kriteria &amp; R.kecocokan'!$C$23,D165="Cukup",'B.kriteria &amp; R.kecocokan'!$C$24,D165="Sedikit",'B.kriteria &amp; R.kecocokan'!$C$25)</f>
        <v>7.5</v>
      </c>
      <c r="F165" s="9" t="str">
        <f>'B.kriteria &amp; R.kecocokan'!$B$34</f>
        <v>Tinggi</v>
      </c>
      <c r="G165" s="8">
        <f>_xlfn.IFS(F165="Tinggi",'B.kriteria &amp; R.kecocokan'!$C$34,F165="Sangat Tinggi",'B.kriteria &amp; R.kecocokan'!$C$35)</f>
        <v>7.5</v>
      </c>
      <c r="H165" s="8" t="str">
        <f>'B.kriteria &amp; R.kecocokan'!$B$41</f>
        <v>Rendah</v>
      </c>
      <c r="I165" s="8">
        <f>_xlfn.IFS(H165="Rendah",'B.kriteria &amp; R.kecocokan'!$C$41,H165="Sedang",'B.kriteria &amp; R.kecocokan'!$C$42,H165="Tinggi",'B.kriteria &amp; R.kecocokan'!$C$43)</f>
        <v>2.5</v>
      </c>
      <c r="J165" s="8" t="str">
        <f>'B.kriteria &amp; R.kecocokan'!$B$72</f>
        <v>Rendah</v>
      </c>
      <c r="K165" s="8">
        <f>_xlfn.IFS(J165="Rendah",'B.kriteria &amp; R.kecocokan'!$C$72,J165="Sedang",'B.kriteria &amp; R.kecocokan'!$C$73,J165="Tinggi",'B.kriteria &amp; R.kecocokan'!$C$74)</f>
        <v>2.5</v>
      </c>
      <c r="L165" s="8" t="str">
        <f>'B.kriteria &amp; R.kecocokan'!$B$95</f>
        <v>Rendah</v>
      </c>
      <c r="M165" s="8">
        <f>_xlfn.IFS(L165="Rendah",'B.kriteria &amp; R.kecocokan'!$C$95,L165="Tinggi",'B.kriteria &amp; R.kecocokan'!$C$96)</f>
        <v>2.5</v>
      </c>
      <c r="N165" s="8" t="str">
        <f>'B.kriteria &amp; R.kecocokan'!$B$80</f>
        <v>Rendah</v>
      </c>
      <c r="O165" s="8">
        <f>_xlfn.IFS(N165="Rendah",'B.kriteria &amp; R.kecocokan'!$C$80,N165="Tinggi",'B.kriteria &amp; R.kecocokan'!$C$81)</f>
        <v>2.5</v>
      </c>
      <c r="P165" s="8" t="str">
        <f>'B.kriteria &amp; R.kecocokan'!$B$89</f>
        <v>Sedikit</v>
      </c>
      <c r="Q165" s="8">
        <f>_xlfn.IFS(P165="Sedikit",'B.kriteria &amp; R.kecocokan'!$C$89,P165="Sedang",'B.kriteria &amp; R.kecocokan'!$C$88,P165="Sangat Sedikit",'B.kriteria &amp; R.kecocokan'!$C$90)</f>
        <v>2.5</v>
      </c>
      <c r="R165" s="8" t="str">
        <f>'B.kriteria &amp; R.kecocokan'!$B$49</f>
        <v>Rendah</v>
      </c>
      <c r="S165" s="8">
        <f>_xlfn.IFS(R165="Rendah",'B.kriteria &amp; R.kecocokan'!$C$49,R165="Sedang",'B.kriteria &amp; R.kecocokan'!$C$50,R165="Tinggi",'B.kriteria &amp; R.kecocokan'!$C$51)</f>
        <v>2.5</v>
      </c>
      <c r="T165" s="8" t="str">
        <f>'B.kriteria &amp; R.kecocokan'!$B$57</f>
        <v>Rendah</v>
      </c>
      <c r="U165" s="51">
        <f>_xlfn.IFS(T165="Rendah",'B.kriteria &amp; R.kecocokan'!$C$57,T165="Sedang",'B.kriteria &amp; R.kecocokan'!$C$58,T165="Tinggi",'B.kriteria &amp; R.kecocokan'!$C$59)</f>
        <v>2.5</v>
      </c>
      <c r="V165" s="51" t="str">
        <f>'B.kriteria &amp; R.kecocokan'!$B$65</f>
        <v>Rendah</v>
      </c>
      <c r="W165" s="9">
        <f>_xlfn.IFS(V165="Rendah",'B.kriteria &amp; R.kecocokan'!$C$65,V165="Sedang",'B.kriteria &amp; R.kecocokan'!$C$66,V165="Tinggi",'B.kriteria &amp; R.kecocokan'!$C$67)</f>
        <v>1</v>
      </c>
      <c r="X165" s="117">
        <f t="shared" si="13"/>
        <v>3.6993920053641687</v>
      </c>
      <c r="Y165" s="117">
        <f t="shared" si="14"/>
        <v>4.3301270189221936</v>
      </c>
      <c r="Z165" s="119">
        <f t="shared" si="15"/>
        <v>3.6993920053641687</v>
      </c>
      <c r="AA165" s="55" t="str">
        <f t="shared" si="16"/>
        <v>Layak</v>
      </c>
    </row>
    <row r="166" spans="1:27" x14ac:dyDescent="0.35">
      <c r="A166" s="1">
        <v>53</v>
      </c>
      <c r="B166" s="2" t="s">
        <v>109</v>
      </c>
      <c r="C166" s="11" t="s">
        <v>95</v>
      </c>
      <c r="D166" s="9" t="str">
        <f>'B.kriteria &amp; R.kecocokan'!$B$23</f>
        <v>Banyak</v>
      </c>
      <c r="E166" s="111">
        <f>_xlfn.IFS(D166="Banyak",'B.kriteria &amp; R.kecocokan'!$C$23,D166="Cukup",'B.kriteria &amp; R.kecocokan'!$C$24,D166="Sedikit",'B.kriteria &amp; R.kecocokan'!$C$25)</f>
        <v>2.5</v>
      </c>
      <c r="F166" s="9" t="str">
        <f>'B.kriteria &amp; R.kecocokan'!$B$34</f>
        <v>Tinggi</v>
      </c>
      <c r="G166" s="8">
        <f>_xlfn.IFS(F166="Tinggi",'B.kriteria &amp; R.kecocokan'!$C$34,F166="Sangat Tinggi",'B.kriteria &amp; R.kecocokan'!$C$35)</f>
        <v>7.5</v>
      </c>
      <c r="H166" s="8" t="str">
        <f>'B.kriteria &amp; R.kecocokan'!$B$41</f>
        <v>Rendah</v>
      </c>
      <c r="I166" s="8">
        <f>_xlfn.IFS(H166="Rendah",'B.kriteria &amp; R.kecocokan'!$C$41,H166="Sedang",'B.kriteria &amp; R.kecocokan'!$C$42,H166="Tinggi",'B.kriteria &amp; R.kecocokan'!$C$43)</f>
        <v>2.5</v>
      </c>
      <c r="J166" s="8" t="str">
        <f>'B.kriteria &amp; R.kecocokan'!$B$72</f>
        <v>Rendah</v>
      </c>
      <c r="K166" s="8">
        <f>_xlfn.IFS(J166="Rendah",'B.kriteria &amp; R.kecocokan'!$C$72,J166="Sedang",'B.kriteria &amp; R.kecocokan'!$C$73,J166="Tinggi",'B.kriteria &amp; R.kecocokan'!$C$74)</f>
        <v>2.5</v>
      </c>
      <c r="L166" s="8" t="str">
        <f>'B.kriteria &amp; R.kecocokan'!$B$95</f>
        <v>Rendah</v>
      </c>
      <c r="M166" s="8">
        <f>_xlfn.IFS(L166="Rendah",'B.kriteria &amp; R.kecocokan'!$C$95,L166="Tinggi",'B.kriteria &amp; R.kecocokan'!$C$96)</f>
        <v>2.5</v>
      </c>
      <c r="N166" s="8" t="str">
        <f>'B.kriteria &amp; R.kecocokan'!$B$80</f>
        <v>Rendah</v>
      </c>
      <c r="O166" s="8">
        <f>_xlfn.IFS(N166="Rendah",'B.kriteria &amp; R.kecocokan'!$C$80,N166="Tinggi",'B.kriteria &amp; R.kecocokan'!$C$81)</f>
        <v>2.5</v>
      </c>
      <c r="P166" s="9" t="str">
        <f>'B.kriteria &amp; R.kecocokan'!$B$88</f>
        <v>Sedang</v>
      </c>
      <c r="Q166" s="8">
        <f>_xlfn.IFS(P166="Sedikit",'B.kriteria &amp; R.kecocokan'!$C$89,P166="Sedang",'B.kriteria &amp; R.kecocokan'!$C$88,P166="Sangat Sedikit",'B.kriteria &amp; R.kecocokan'!$C$90)</f>
        <v>5</v>
      </c>
      <c r="R166" s="8" t="str">
        <f>'B.kriteria &amp; R.kecocokan'!$B$49</f>
        <v>Rendah</v>
      </c>
      <c r="S166" s="8">
        <f>_xlfn.IFS(R166="Rendah",'B.kriteria &amp; R.kecocokan'!$C$49,R166="Sedang",'B.kriteria &amp; R.kecocokan'!$C$50,R166="Tinggi",'B.kriteria &amp; R.kecocokan'!$C$51)</f>
        <v>2.5</v>
      </c>
      <c r="T166" s="8" t="str">
        <f>'B.kriteria &amp; R.kecocokan'!$B$57</f>
        <v>Rendah</v>
      </c>
      <c r="U166" s="51">
        <f>_xlfn.IFS(T166="Rendah",'B.kriteria &amp; R.kecocokan'!$C$57,T166="Sedang",'B.kriteria &amp; R.kecocokan'!$C$58,T166="Tinggi",'B.kriteria &amp; R.kecocokan'!$C$59)</f>
        <v>2.5</v>
      </c>
      <c r="V166" s="51" t="str">
        <f>'B.kriteria &amp; R.kecocokan'!$B$65</f>
        <v>Rendah</v>
      </c>
      <c r="W166" s="9">
        <f>_xlfn.IFS(V166="Rendah",'B.kriteria &amp; R.kecocokan'!$C$65,V166="Sedang",'B.kriteria &amp; R.kecocokan'!$C$66,V166="Tinggi",'B.kriteria &amp; R.kecocokan'!$C$67)</f>
        <v>1</v>
      </c>
      <c r="X166" s="117">
        <f t="shared" si="13"/>
        <v>5.5272285376771766</v>
      </c>
      <c r="Y166" s="117">
        <f t="shared" si="14"/>
        <v>3.5355339059327378</v>
      </c>
      <c r="Z166" s="119">
        <f t="shared" si="15"/>
        <v>3.5355339059327378</v>
      </c>
      <c r="AA166" s="55" t="str">
        <f t="shared" si="16"/>
        <v>Tidak Layak</v>
      </c>
    </row>
    <row r="167" spans="1:27" x14ac:dyDescent="0.35">
      <c r="A167" s="5">
        <v>54</v>
      </c>
      <c r="B167" s="2" t="s">
        <v>111</v>
      </c>
      <c r="C167" s="11" t="s">
        <v>92</v>
      </c>
      <c r="D167" s="9" t="str">
        <f>'B.kriteria &amp; R.kecocokan'!$B$23</f>
        <v>Banyak</v>
      </c>
      <c r="E167" s="111">
        <f>_xlfn.IFS(D167="Banyak",'B.kriteria &amp; R.kecocokan'!$C$23,D167="Cukup",'B.kriteria &amp; R.kecocokan'!$C$24,D167="Sedikit",'B.kriteria &amp; R.kecocokan'!$C$25)</f>
        <v>2.5</v>
      </c>
      <c r="F167" s="9" t="str">
        <f>'B.kriteria &amp; R.kecocokan'!$B$34</f>
        <v>Tinggi</v>
      </c>
      <c r="G167" s="8">
        <f>_xlfn.IFS(F167="Tinggi",'B.kriteria &amp; R.kecocokan'!$C$34,F167="Sangat Tinggi",'B.kriteria &amp; R.kecocokan'!$C$35)</f>
        <v>7.5</v>
      </c>
      <c r="H167" s="8" t="str">
        <f>'B.kriteria &amp; R.kecocokan'!$B$41</f>
        <v>Rendah</v>
      </c>
      <c r="I167" s="8">
        <f>_xlfn.IFS(H167="Rendah",'B.kriteria &amp; R.kecocokan'!$C$41,H167="Sedang",'B.kriteria &amp; R.kecocokan'!$C$42,H167="Tinggi",'B.kriteria &amp; R.kecocokan'!$C$43)</f>
        <v>2.5</v>
      </c>
      <c r="J167" s="8" t="str">
        <f>'B.kriteria &amp; R.kecocokan'!$B$72</f>
        <v>Rendah</v>
      </c>
      <c r="K167" s="8">
        <f>_xlfn.IFS(J167="Rendah",'B.kriteria &amp; R.kecocokan'!$C$72,J167="Sedang",'B.kriteria &amp; R.kecocokan'!$C$73,J167="Tinggi",'B.kriteria &amp; R.kecocokan'!$C$74)</f>
        <v>2.5</v>
      </c>
      <c r="L167" s="8" t="str">
        <f>'B.kriteria &amp; R.kecocokan'!$B$95</f>
        <v>Rendah</v>
      </c>
      <c r="M167" s="8">
        <f>_xlfn.IFS(L167="Rendah",'B.kriteria &amp; R.kecocokan'!$C$95,L167="Tinggi",'B.kriteria &amp; R.kecocokan'!$C$96)</f>
        <v>2.5</v>
      </c>
      <c r="N167" s="8" t="str">
        <f>'B.kriteria &amp; R.kecocokan'!$B$80</f>
        <v>Rendah</v>
      </c>
      <c r="O167" s="8">
        <f>_xlfn.IFS(N167="Rendah",'B.kriteria &amp; R.kecocokan'!$C$80,N167="Tinggi",'B.kriteria &amp; R.kecocokan'!$C$81)</f>
        <v>2.5</v>
      </c>
      <c r="P167" s="8" t="str">
        <f>'B.kriteria &amp; R.kecocokan'!$B$89</f>
        <v>Sedikit</v>
      </c>
      <c r="Q167" s="8">
        <f>_xlfn.IFS(P167="Sedikit",'B.kriteria &amp; R.kecocokan'!$C$89,P167="Sedang",'B.kriteria &amp; R.kecocokan'!$C$88,P167="Sangat Sedikit",'B.kriteria &amp; R.kecocokan'!$C$90)</f>
        <v>2.5</v>
      </c>
      <c r="R167" s="8" t="str">
        <f>'B.kriteria &amp; R.kecocokan'!$B$49</f>
        <v>Rendah</v>
      </c>
      <c r="S167" s="8">
        <f>_xlfn.IFS(R167="Rendah",'B.kriteria &amp; R.kecocokan'!$C$49,R167="Sedang",'B.kriteria &amp; R.kecocokan'!$C$50,R167="Tinggi",'B.kriteria &amp; R.kecocokan'!$C$51)</f>
        <v>2.5</v>
      </c>
      <c r="T167" s="8" t="str">
        <f>'B.kriteria &amp; R.kecocokan'!$B$57</f>
        <v>Rendah</v>
      </c>
      <c r="U167" s="51">
        <f>_xlfn.IFS(T167="Rendah",'B.kriteria &amp; R.kecocokan'!$C$57,T167="Sedang",'B.kriteria &amp; R.kecocokan'!$C$58,T167="Tinggi",'B.kriteria &amp; R.kecocokan'!$C$59)</f>
        <v>2.5</v>
      </c>
      <c r="V167" s="51" t="str">
        <f>'B.kriteria &amp; R.kecocokan'!$B$65</f>
        <v>Rendah</v>
      </c>
      <c r="W167" s="9">
        <f>_xlfn.IFS(V167="Rendah",'B.kriteria &amp; R.kecocokan'!$C$65,V167="Sedang",'B.kriteria &amp; R.kecocokan'!$C$66,V167="Tinggi",'B.kriteria &amp; R.kecocokan'!$C$67)</f>
        <v>1</v>
      </c>
      <c r="X167" s="117">
        <f t="shared" si="13"/>
        <v>4.3604323251039379</v>
      </c>
      <c r="Y167" s="117">
        <f t="shared" si="14"/>
        <v>4.3301270189221936</v>
      </c>
      <c r="Z167" s="119">
        <f t="shared" si="15"/>
        <v>4.3301270189221936</v>
      </c>
      <c r="AA167" s="55" t="str">
        <f t="shared" si="16"/>
        <v>Tidak Layak</v>
      </c>
    </row>
    <row r="168" spans="1:27" x14ac:dyDescent="0.35">
      <c r="A168" s="5">
        <v>55</v>
      </c>
      <c r="B168" s="2" t="s">
        <v>113</v>
      </c>
      <c r="C168" s="11" t="s">
        <v>92</v>
      </c>
      <c r="D168" s="28" t="str">
        <f>'B.kriteria &amp; R.kecocokan'!$B$25</f>
        <v>Sedikit</v>
      </c>
      <c r="E168" s="111">
        <f>_xlfn.IFS(D168="Banyak",'B.kriteria &amp; R.kecocokan'!$C$23,D168="Cukup",'B.kriteria &amp; R.kecocokan'!$C$24,D168="Sedikit",'B.kriteria &amp; R.kecocokan'!$C$25)</f>
        <v>7.5</v>
      </c>
      <c r="F168" s="9" t="str">
        <f>'B.kriteria &amp; R.kecocokan'!$B$34</f>
        <v>Tinggi</v>
      </c>
      <c r="G168" s="8">
        <f>_xlfn.IFS(F168="Tinggi",'B.kriteria &amp; R.kecocokan'!$C$34,F168="Sangat Tinggi",'B.kriteria &amp; R.kecocokan'!$C$35)</f>
        <v>7.5</v>
      </c>
      <c r="H168" s="9" t="str">
        <f>'B.kriteria &amp; R.kecocokan'!$B$43</f>
        <v>Tinggi</v>
      </c>
      <c r="I168" s="8">
        <f>_xlfn.IFS(H168="Rendah",'B.kriteria &amp; R.kecocokan'!$C$41,H168="Sedang",'B.kriteria &amp; R.kecocokan'!$C$42,H168="Tinggi",'B.kriteria &amp; R.kecocokan'!$C$43)</f>
        <v>7.5</v>
      </c>
      <c r="J168" s="8" t="str">
        <f>'B.kriteria &amp; R.kecocokan'!$B$72</f>
        <v>Rendah</v>
      </c>
      <c r="K168" s="8">
        <f>_xlfn.IFS(J168="Rendah",'B.kriteria &amp; R.kecocokan'!$C$72,J168="Sedang",'B.kriteria &amp; R.kecocokan'!$C$73,J168="Tinggi",'B.kriteria &amp; R.kecocokan'!$C$74)</f>
        <v>2.5</v>
      </c>
      <c r="L168" s="8" t="str">
        <f>'B.kriteria &amp; R.kecocokan'!$B$95</f>
        <v>Rendah</v>
      </c>
      <c r="M168" s="8">
        <f>_xlfn.IFS(L168="Rendah",'B.kriteria &amp; R.kecocokan'!$C$95,L168="Tinggi",'B.kriteria &amp; R.kecocokan'!$C$96)</f>
        <v>2.5</v>
      </c>
      <c r="N168" s="8" t="str">
        <f>'B.kriteria &amp; R.kecocokan'!$B$80</f>
        <v>Rendah</v>
      </c>
      <c r="O168" s="8">
        <f>_xlfn.IFS(N168="Rendah",'B.kriteria &amp; R.kecocokan'!$C$80,N168="Tinggi",'B.kriteria &amp; R.kecocokan'!$C$81)</f>
        <v>2.5</v>
      </c>
      <c r="P168" s="8" t="str">
        <f>'B.kriteria &amp; R.kecocokan'!$B$89</f>
        <v>Sedikit</v>
      </c>
      <c r="Q168" s="8">
        <f>_xlfn.IFS(P168="Sedikit",'B.kriteria &amp; R.kecocokan'!$C$89,P168="Sedang",'B.kriteria &amp; R.kecocokan'!$C$88,P168="Sangat Sedikit",'B.kriteria &amp; R.kecocokan'!$C$90)</f>
        <v>2.5</v>
      </c>
      <c r="R168" s="8" t="str">
        <f>'B.kriteria &amp; R.kecocokan'!$B$49</f>
        <v>Rendah</v>
      </c>
      <c r="S168" s="8">
        <f>_xlfn.IFS(R168="Rendah",'B.kriteria &amp; R.kecocokan'!$C$49,R168="Sedang",'B.kriteria &amp; R.kecocokan'!$C$50,R168="Tinggi",'B.kriteria &amp; R.kecocokan'!$C$51)</f>
        <v>2.5</v>
      </c>
      <c r="T168" s="8" t="str">
        <f>'B.kriteria &amp; R.kecocokan'!$B$57</f>
        <v>Rendah</v>
      </c>
      <c r="U168" s="51">
        <f>_xlfn.IFS(T168="Rendah",'B.kriteria &amp; R.kecocokan'!$C$57,T168="Sedang",'B.kriteria &amp; R.kecocokan'!$C$58,T168="Tinggi",'B.kriteria &amp; R.kecocokan'!$C$59)</f>
        <v>2.5</v>
      </c>
      <c r="V168" s="51" t="str">
        <f>'B.kriteria &amp; R.kecocokan'!$B$65</f>
        <v>Rendah</v>
      </c>
      <c r="W168" s="9">
        <f>_xlfn.IFS(V168="Rendah",'B.kriteria &amp; R.kecocokan'!$C$65,V168="Sedang",'B.kriteria &amp; R.kecocokan'!$C$66,V168="Tinggi",'B.kriteria &amp; R.kecocokan'!$C$67)</f>
        <v>1</v>
      </c>
      <c r="X168" s="117">
        <f t="shared" si="13"/>
        <v>5.8810832806222546</v>
      </c>
      <c r="Y168" s="117">
        <f t="shared" si="14"/>
        <v>6.6143782776614763</v>
      </c>
      <c r="Z168" s="119">
        <f t="shared" si="15"/>
        <v>5.8810832806222546</v>
      </c>
      <c r="AA168" s="55" t="str">
        <f t="shared" si="16"/>
        <v>Layak</v>
      </c>
    </row>
    <row r="169" spans="1:27" x14ac:dyDescent="0.35">
      <c r="A169" s="1">
        <v>56</v>
      </c>
      <c r="B169" s="2" t="s">
        <v>114</v>
      </c>
      <c r="C169" s="11" t="s">
        <v>95</v>
      </c>
      <c r="D169" s="9" t="str">
        <f>'B.kriteria &amp; R.kecocokan'!$B$23</f>
        <v>Banyak</v>
      </c>
      <c r="E169" s="111">
        <f>_xlfn.IFS(D169="Banyak",'B.kriteria &amp; R.kecocokan'!$C$23,D169="Cukup",'B.kriteria &amp; R.kecocokan'!$C$24,D169="Sedikit",'B.kriteria &amp; R.kecocokan'!$C$25)</f>
        <v>2.5</v>
      </c>
      <c r="F169" s="9" t="str">
        <f>'B.kriteria &amp; R.kecocokan'!$B$34</f>
        <v>Tinggi</v>
      </c>
      <c r="G169" s="8">
        <f>_xlfn.IFS(F169="Tinggi",'B.kriteria &amp; R.kecocokan'!$C$34,F169="Sangat Tinggi",'B.kriteria &amp; R.kecocokan'!$C$35)</f>
        <v>7.5</v>
      </c>
      <c r="H169" s="8" t="str">
        <f>'B.kriteria &amp; R.kecocokan'!$B$41</f>
        <v>Rendah</v>
      </c>
      <c r="I169" s="8">
        <f>_xlfn.IFS(H169="Rendah",'B.kriteria &amp; R.kecocokan'!$C$41,H169="Sedang",'B.kriteria &amp; R.kecocokan'!$C$42,H169="Tinggi",'B.kriteria &amp; R.kecocokan'!$C$43)</f>
        <v>2.5</v>
      </c>
      <c r="J169" s="8" t="str">
        <f>'B.kriteria &amp; R.kecocokan'!$B$72</f>
        <v>Rendah</v>
      </c>
      <c r="K169" s="8">
        <f>_xlfn.IFS(J169="Rendah",'B.kriteria &amp; R.kecocokan'!$C$72,J169="Sedang",'B.kriteria &amp; R.kecocokan'!$C$73,J169="Tinggi",'B.kriteria &amp; R.kecocokan'!$C$74)</f>
        <v>2.5</v>
      </c>
      <c r="L169" s="8" t="str">
        <f>'B.kriteria &amp; R.kecocokan'!$B$95</f>
        <v>Rendah</v>
      </c>
      <c r="M169" s="8">
        <f>_xlfn.IFS(L169="Rendah",'B.kriteria &amp; R.kecocokan'!$C$95,L169="Tinggi",'B.kriteria &amp; R.kecocokan'!$C$96)</f>
        <v>2.5</v>
      </c>
      <c r="N169" s="9" t="str">
        <f>'B.kriteria &amp; R.kecocokan'!$B$81</f>
        <v>Tinggi</v>
      </c>
      <c r="O169" s="8">
        <f>_xlfn.IFS(N169="Rendah",'B.kriteria &amp; R.kecocokan'!$C$80,N169="Tinggi",'B.kriteria &amp; R.kecocokan'!$C$81)</f>
        <v>7.5</v>
      </c>
      <c r="P169" s="9" t="str">
        <f>'B.kriteria &amp; R.kecocokan'!$B$90</f>
        <v>Sangat Sedikit</v>
      </c>
      <c r="Q169" s="8">
        <f>_xlfn.IFS(P169="Sedikit",'B.kriteria &amp; R.kecocokan'!$C$89,P169="Sedang",'B.kriteria &amp; R.kecocokan'!$C$88,P169="Sangat Sedikit",'B.kriteria &amp; R.kecocokan'!$C$90)</f>
        <v>1</v>
      </c>
      <c r="R169" s="8" t="str">
        <f>'B.kriteria &amp; R.kecocokan'!$B$49</f>
        <v>Rendah</v>
      </c>
      <c r="S169" s="8">
        <f>_xlfn.IFS(R169="Rendah",'B.kriteria &amp; R.kecocokan'!$C$49,R169="Sedang",'B.kriteria &amp; R.kecocokan'!$C$50,R169="Tinggi",'B.kriteria &amp; R.kecocokan'!$C$51)</f>
        <v>2.5</v>
      </c>
      <c r="T169" s="8" t="str">
        <f>'B.kriteria &amp; R.kecocokan'!$B$57</f>
        <v>Rendah</v>
      </c>
      <c r="U169" s="51">
        <f>_xlfn.IFS(T169="Rendah",'B.kriteria &amp; R.kecocokan'!$C$57,T169="Sedang",'B.kriteria &amp; R.kecocokan'!$C$58,T169="Tinggi",'B.kriteria &amp; R.kecocokan'!$C$59)</f>
        <v>2.5</v>
      </c>
      <c r="V169" s="51" t="str">
        <f>'B.kriteria &amp; R.kecocokan'!$B$65</f>
        <v>Rendah</v>
      </c>
      <c r="W169" s="9">
        <f>_xlfn.IFS(V169="Rendah",'B.kriteria &amp; R.kecocokan'!$C$65,V169="Sedang",'B.kriteria &amp; R.kecocokan'!$C$66,V169="Tinggi",'B.kriteria &amp; R.kecocokan'!$C$67)</f>
        <v>1</v>
      </c>
      <c r="X169" s="117">
        <f t="shared" si="13"/>
        <v>3.90158768391202</v>
      </c>
      <c r="Y169" s="117">
        <f t="shared" si="14"/>
        <v>7.3143694191638966</v>
      </c>
      <c r="Z169" s="119">
        <f t="shared" si="15"/>
        <v>3.90158768391202</v>
      </c>
      <c r="AA169" s="55" t="str">
        <f t="shared" si="16"/>
        <v>Layak</v>
      </c>
    </row>
    <row r="170" spans="1:27" x14ac:dyDescent="0.35">
      <c r="A170" s="5">
        <v>57</v>
      </c>
      <c r="B170" s="2" t="s">
        <v>116</v>
      </c>
      <c r="C170" s="11" t="s">
        <v>92</v>
      </c>
      <c r="D170" s="9" t="str">
        <f>'B.kriteria &amp; R.kecocokan'!$B$23</f>
        <v>Banyak</v>
      </c>
      <c r="E170" s="111">
        <f>_xlfn.IFS(D170="Banyak",'B.kriteria &amp; R.kecocokan'!$C$23,D170="Cukup",'B.kriteria &amp; R.kecocokan'!$C$24,D170="Sedikit",'B.kriteria &amp; R.kecocokan'!$C$25)</f>
        <v>2.5</v>
      </c>
      <c r="F170" s="9" t="str">
        <f>'B.kriteria &amp; R.kecocokan'!$B$34</f>
        <v>Tinggi</v>
      </c>
      <c r="G170" s="8">
        <f>_xlfn.IFS(F170="Tinggi",'B.kriteria &amp; R.kecocokan'!$C$34,F170="Sangat Tinggi",'B.kriteria &amp; R.kecocokan'!$C$35)</f>
        <v>7.5</v>
      </c>
      <c r="H170" s="8" t="str">
        <f>'B.kriteria &amp; R.kecocokan'!$B$41</f>
        <v>Rendah</v>
      </c>
      <c r="I170" s="8">
        <f>_xlfn.IFS(H170="Rendah",'B.kriteria &amp; R.kecocokan'!$C$41,H170="Sedang",'B.kriteria &amp; R.kecocokan'!$C$42,H170="Tinggi",'B.kriteria &amp; R.kecocokan'!$C$43)</f>
        <v>2.5</v>
      </c>
      <c r="J170" s="8" t="str">
        <f>'B.kriteria &amp; R.kecocokan'!$B$72</f>
        <v>Rendah</v>
      </c>
      <c r="K170" s="8">
        <f>_xlfn.IFS(J170="Rendah",'B.kriteria &amp; R.kecocokan'!$C$72,J170="Sedang",'B.kriteria &amp; R.kecocokan'!$C$73,J170="Tinggi",'B.kriteria &amp; R.kecocokan'!$C$74)</f>
        <v>2.5</v>
      </c>
      <c r="L170" s="8" t="str">
        <f>'B.kriteria &amp; R.kecocokan'!$B$95</f>
        <v>Rendah</v>
      </c>
      <c r="M170" s="8">
        <f>_xlfn.IFS(L170="Rendah",'B.kriteria &amp; R.kecocokan'!$C$95,L170="Tinggi",'B.kriteria &amp; R.kecocokan'!$C$96)</f>
        <v>2.5</v>
      </c>
      <c r="N170" s="8" t="str">
        <f>'B.kriteria &amp; R.kecocokan'!$B$80</f>
        <v>Rendah</v>
      </c>
      <c r="O170" s="8">
        <f>_xlfn.IFS(N170="Rendah",'B.kriteria &amp; R.kecocokan'!$C$80,N170="Tinggi",'B.kriteria &amp; R.kecocokan'!$C$81)</f>
        <v>2.5</v>
      </c>
      <c r="P170" s="9" t="str">
        <f>'B.kriteria &amp; R.kecocokan'!$B$88</f>
        <v>Sedang</v>
      </c>
      <c r="Q170" s="8">
        <f>_xlfn.IFS(P170="Sedikit",'B.kriteria &amp; R.kecocokan'!$C$89,P170="Sedang",'B.kriteria &amp; R.kecocokan'!$C$88,P170="Sangat Sedikit",'B.kriteria &amp; R.kecocokan'!$C$90)</f>
        <v>5</v>
      </c>
      <c r="R170" s="8" t="str">
        <f>'B.kriteria &amp; R.kecocokan'!$B$49</f>
        <v>Rendah</v>
      </c>
      <c r="S170" s="8">
        <f>_xlfn.IFS(R170="Rendah",'B.kriteria &amp; R.kecocokan'!$C$49,R170="Sedang",'B.kriteria &amp; R.kecocokan'!$C$50,R170="Tinggi",'B.kriteria &amp; R.kecocokan'!$C$51)</f>
        <v>2.5</v>
      </c>
      <c r="T170" s="8" t="str">
        <f>'B.kriteria &amp; R.kecocokan'!$B$57</f>
        <v>Rendah</v>
      </c>
      <c r="U170" s="51">
        <f>_xlfn.IFS(T170="Rendah",'B.kriteria &amp; R.kecocokan'!$C$57,T170="Sedang",'B.kriteria &amp; R.kecocokan'!$C$58,T170="Tinggi",'B.kriteria &amp; R.kecocokan'!$C$59)</f>
        <v>2.5</v>
      </c>
      <c r="V170" s="51" t="str">
        <f>'B.kriteria &amp; R.kecocokan'!$B$65</f>
        <v>Rendah</v>
      </c>
      <c r="W170" s="9">
        <f>_xlfn.IFS(V170="Rendah",'B.kriteria &amp; R.kecocokan'!$C$65,V170="Sedang",'B.kriteria &amp; R.kecocokan'!$C$66,V170="Tinggi",'B.kriteria &amp; R.kecocokan'!$C$67)</f>
        <v>1</v>
      </c>
      <c r="X170" s="117">
        <f t="shared" si="13"/>
        <v>5.5272285376771766</v>
      </c>
      <c r="Y170" s="117">
        <f t="shared" si="14"/>
        <v>3.5355339059327378</v>
      </c>
      <c r="Z170" s="119">
        <f t="shared" si="15"/>
        <v>3.5355339059327378</v>
      </c>
      <c r="AA170" s="55" t="str">
        <f t="shared" si="16"/>
        <v>Tidak Layak</v>
      </c>
    </row>
    <row r="171" spans="1:27" x14ac:dyDescent="0.35">
      <c r="A171" s="5">
        <v>58</v>
      </c>
      <c r="B171" s="2" t="s">
        <v>230</v>
      </c>
      <c r="C171" s="11" t="s">
        <v>92</v>
      </c>
      <c r="D171" s="28" t="str">
        <f>'B.kriteria &amp; R.kecocokan'!$B$25</f>
        <v>Sedikit</v>
      </c>
      <c r="E171" s="111">
        <f>_xlfn.IFS(D171="Banyak",'B.kriteria &amp; R.kecocokan'!$C$23,D171="Cukup",'B.kriteria &amp; R.kecocokan'!$C$24,D171="Sedikit",'B.kriteria &amp; R.kecocokan'!$C$25)</f>
        <v>7.5</v>
      </c>
      <c r="F171" s="9" t="str">
        <f>'B.kriteria &amp; R.kecocokan'!$B$34</f>
        <v>Tinggi</v>
      </c>
      <c r="G171" s="8">
        <f>_xlfn.IFS(F171="Tinggi",'B.kriteria &amp; R.kecocokan'!$C$34,F171="Sangat Tinggi",'B.kriteria &amp; R.kecocokan'!$C$35)</f>
        <v>7.5</v>
      </c>
      <c r="H171" s="8" t="str">
        <f>'B.kriteria &amp; R.kecocokan'!$B$41</f>
        <v>Rendah</v>
      </c>
      <c r="I171" s="8">
        <f>_xlfn.IFS(H171="Rendah",'B.kriteria &amp; R.kecocokan'!$C$41,H171="Sedang",'B.kriteria &amp; R.kecocokan'!$C$42,H171="Tinggi",'B.kriteria &amp; R.kecocokan'!$C$43)</f>
        <v>2.5</v>
      </c>
      <c r="J171" s="8" t="str">
        <f>'B.kriteria &amp; R.kecocokan'!$B$72</f>
        <v>Rendah</v>
      </c>
      <c r="K171" s="8">
        <f>_xlfn.IFS(J171="Rendah",'B.kriteria &amp; R.kecocokan'!$C$72,J171="Sedang",'B.kriteria &amp; R.kecocokan'!$C$73,J171="Tinggi",'B.kriteria &amp; R.kecocokan'!$C$74)</f>
        <v>2.5</v>
      </c>
      <c r="L171" s="8" t="str">
        <f>'B.kriteria &amp; R.kecocokan'!$B$95</f>
        <v>Rendah</v>
      </c>
      <c r="M171" s="8">
        <f>_xlfn.IFS(L171="Rendah",'B.kriteria &amp; R.kecocokan'!$C$95,L171="Tinggi",'B.kriteria &amp; R.kecocokan'!$C$96)</f>
        <v>2.5</v>
      </c>
      <c r="N171" s="8" t="str">
        <f>'B.kriteria &amp; R.kecocokan'!$B$80</f>
        <v>Rendah</v>
      </c>
      <c r="O171" s="8">
        <f>_xlfn.IFS(N171="Rendah",'B.kriteria &amp; R.kecocokan'!$C$80,N171="Tinggi",'B.kriteria &amp; R.kecocokan'!$C$81)</f>
        <v>2.5</v>
      </c>
      <c r="P171" s="9" t="str">
        <f>'B.kriteria &amp; R.kecocokan'!$B$88</f>
        <v>Sedang</v>
      </c>
      <c r="Q171" s="8">
        <f>_xlfn.IFS(P171="Sedikit",'B.kriteria &amp; R.kecocokan'!$C$89,P171="Sedang",'B.kriteria &amp; R.kecocokan'!$C$88,P171="Sangat Sedikit",'B.kriteria &amp; R.kecocokan'!$C$90)</f>
        <v>5</v>
      </c>
      <c r="R171" s="8" t="str">
        <f>'B.kriteria &amp; R.kecocokan'!$B$49</f>
        <v>Rendah</v>
      </c>
      <c r="S171" s="8">
        <f>_xlfn.IFS(R171="Rendah",'B.kriteria &amp; R.kecocokan'!$C$49,R171="Sedang",'B.kriteria &amp; R.kecocokan'!$C$50,R171="Tinggi",'B.kriteria &amp; R.kecocokan'!$C$51)</f>
        <v>2.5</v>
      </c>
      <c r="T171" s="8" t="str">
        <f>'B.kriteria &amp; R.kecocokan'!$B$57</f>
        <v>Rendah</v>
      </c>
      <c r="U171" s="51">
        <f>_xlfn.IFS(T171="Rendah",'B.kriteria &amp; R.kecocokan'!$C$57,T171="Sedang",'B.kriteria &amp; R.kecocokan'!$C$58,T171="Tinggi",'B.kriteria &amp; R.kecocokan'!$C$59)</f>
        <v>2.5</v>
      </c>
      <c r="V171" s="51" t="str">
        <f>'B.kriteria &amp; R.kecocokan'!$B$65</f>
        <v>Rendah</v>
      </c>
      <c r="W171" s="9">
        <f>_xlfn.IFS(V171="Rendah",'B.kriteria &amp; R.kecocokan'!$C$65,V171="Sedang",'B.kriteria &amp; R.kecocokan'!$C$66,V171="Tinggi",'B.kriteria &amp; R.kecocokan'!$C$67)</f>
        <v>1</v>
      </c>
      <c r="X171" s="117">
        <f t="shared" si="13"/>
        <v>5.0221894085402603</v>
      </c>
      <c r="Y171" s="117">
        <f t="shared" si="14"/>
        <v>3.5355339059327378</v>
      </c>
      <c r="Z171" s="119">
        <f t="shared" si="15"/>
        <v>3.5355339059327378</v>
      </c>
      <c r="AA171" s="55" t="str">
        <f t="shared" si="16"/>
        <v>Tidak Layak</v>
      </c>
    </row>
    <row r="172" spans="1:27" x14ac:dyDescent="0.35">
      <c r="A172" s="1">
        <v>59</v>
      </c>
      <c r="B172" s="2" t="s">
        <v>118</v>
      </c>
      <c r="C172" s="11" t="s">
        <v>92</v>
      </c>
      <c r="D172" s="9" t="str">
        <f>'B.kriteria &amp; R.kecocokan'!$B$23</f>
        <v>Banyak</v>
      </c>
      <c r="E172" s="111">
        <f>_xlfn.IFS(D172="Banyak",'B.kriteria &amp; R.kecocokan'!$C$23,D172="Cukup",'B.kriteria &amp; R.kecocokan'!$C$24,D172="Sedikit",'B.kriteria &amp; R.kecocokan'!$C$25)</f>
        <v>2.5</v>
      </c>
      <c r="F172" s="9" t="str">
        <f>'B.kriteria &amp; R.kecocokan'!$B$34</f>
        <v>Tinggi</v>
      </c>
      <c r="G172" s="8">
        <f>_xlfn.IFS(F172="Tinggi",'B.kriteria &amp; R.kecocokan'!$C$34,F172="Sangat Tinggi",'B.kriteria &amp; R.kecocokan'!$C$35)</f>
        <v>7.5</v>
      </c>
      <c r="H172" s="8" t="str">
        <f>'B.kriteria &amp; R.kecocokan'!$B$41</f>
        <v>Rendah</v>
      </c>
      <c r="I172" s="8">
        <f>_xlfn.IFS(H172="Rendah",'B.kriteria &amp; R.kecocokan'!$C$41,H172="Sedang",'B.kriteria &amp; R.kecocokan'!$C$42,H172="Tinggi",'B.kriteria &amp; R.kecocokan'!$C$43)</f>
        <v>2.5</v>
      </c>
      <c r="J172" s="8" t="str">
        <f>'B.kriteria &amp; R.kecocokan'!$B$72</f>
        <v>Rendah</v>
      </c>
      <c r="K172" s="8">
        <f>_xlfn.IFS(J172="Rendah",'B.kriteria &amp; R.kecocokan'!$C$72,J172="Sedang",'B.kriteria &amp; R.kecocokan'!$C$73,J172="Tinggi",'B.kriteria &amp; R.kecocokan'!$C$74)</f>
        <v>2.5</v>
      </c>
      <c r="L172" s="8" t="str">
        <f>'B.kriteria &amp; R.kecocokan'!$B$95</f>
        <v>Rendah</v>
      </c>
      <c r="M172" s="8">
        <f>_xlfn.IFS(L172="Rendah",'B.kriteria &amp; R.kecocokan'!$C$95,L172="Tinggi",'B.kriteria &amp; R.kecocokan'!$C$96)</f>
        <v>2.5</v>
      </c>
      <c r="N172" s="8" t="str">
        <f>'B.kriteria &amp; R.kecocokan'!$B$80</f>
        <v>Rendah</v>
      </c>
      <c r="O172" s="8">
        <f>_xlfn.IFS(N172="Rendah",'B.kriteria &amp; R.kecocokan'!$C$80,N172="Tinggi",'B.kriteria &amp; R.kecocokan'!$C$81)</f>
        <v>2.5</v>
      </c>
      <c r="P172" s="9" t="str">
        <f>'B.kriteria &amp; R.kecocokan'!$B$90</f>
        <v>Sangat Sedikit</v>
      </c>
      <c r="Q172" s="8">
        <f>_xlfn.IFS(P172="Sedikit",'B.kriteria &amp; R.kecocokan'!$C$89,P172="Sedang",'B.kriteria &amp; R.kecocokan'!$C$88,P172="Sangat Sedikit",'B.kriteria &amp; R.kecocokan'!$C$90)</f>
        <v>1</v>
      </c>
      <c r="R172" s="8" t="str">
        <f>'B.kriteria &amp; R.kecocokan'!$B$49</f>
        <v>Rendah</v>
      </c>
      <c r="S172" s="8">
        <f>_xlfn.IFS(R172="Rendah",'B.kriteria &amp; R.kecocokan'!$C$49,R172="Sedang",'B.kriteria &amp; R.kecocokan'!$C$50,R172="Tinggi",'B.kriteria &amp; R.kecocokan'!$C$51)</f>
        <v>2.5</v>
      </c>
      <c r="T172" s="8" t="str">
        <f>'B.kriteria &amp; R.kecocokan'!$B$57</f>
        <v>Rendah</v>
      </c>
      <c r="U172" s="51">
        <f>_xlfn.IFS(T172="Rendah",'B.kriteria &amp; R.kecocokan'!$C$57,T172="Sedang",'B.kriteria &amp; R.kecocokan'!$C$58,T172="Tinggi",'B.kriteria &amp; R.kecocokan'!$C$59)</f>
        <v>2.5</v>
      </c>
      <c r="V172" s="51" t="str">
        <f>'B.kriteria &amp; R.kecocokan'!$B$65</f>
        <v>Rendah</v>
      </c>
      <c r="W172" s="9">
        <f>_xlfn.IFS(V172="Rendah",'B.kriteria &amp; R.kecocokan'!$C$65,V172="Sedang",'B.kriteria &amp; R.kecocokan'!$C$66,V172="Tinggi",'B.kriteria &amp; R.kecocokan'!$C$67)</f>
        <v>1</v>
      </c>
      <c r="X172" s="117">
        <f t="shared" si="13"/>
        <v>4.2533797049252913</v>
      </c>
      <c r="Y172" s="117">
        <f t="shared" si="14"/>
        <v>5.3385391260156556</v>
      </c>
      <c r="Z172" s="119">
        <f t="shared" si="15"/>
        <v>4.2533797049252913</v>
      </c>
      <c r="AA172" s="55" t="str">
        <f t="shared" si="16"/>
        <v>Layak</v>
      </c>
    </row>
    <row r="173" spans="1:27" x14ac:dyDescent="0.35">
      <c r="A173" s="5">
        <v>60</v>
      </c>
      <c r="B173" s="2" t="s">
        <v>203</v>
      </c>
      <c r="C173" s="11" t="s">
        <v>95</v>
      </c>
      <c r="D173" s="28" t="str">
        <f>'B.kriteria &amp; R.kecocokan'!$B$25</f>
        <v>Sedikit</v>
      </c>
      <c r="E173" s="111">
        <f>_xlfn.IFS(D173="Banyak",'B.kriteria &amp; R.kecocokan'!$C$23,D173="Cukup",'B.kriteria &amp; R.kecocokan'!$C$24,D173="Sedikit",'B.kriteria &amp; R.kecocokan'!$C$25)</f>
        <v>7.5</v>
      </c>
      <c r="F173" s="9" t="str">
        <f>'B.kriteria &amp; R.kecocokan'!$B$34</f>
        <v>Tinggi</v>
      </c>
      <c r="G173" s="8">
        <f>_xlfn.IFS(F173="Tinggi",'B.kriteria &amp; R.kecocokan'!$C$34,F173="Sangat Tinggi",'B.kriteria &amp; R.kecocokan'!$C$35)</f>
        <v>7.5</v>
      </c>
      <c r="H173" s="8" t="str">
        <f>'B.kriteria &amp; R.kecocokan'!$B$41</f>
        <v>Rendah</v>
      </c>
      <c r="I173" s="8">
        <f>_xlfn.IFS(H173="Rendah",'B.kriteria &amp; R.kecocokan'!$C$41,H173="Sedang",'B.kriteria &amp; R.kecocokan'!$C$42,H173="Tinggi",'B.kriteria &amp; R.kecocokan'!$C$43)</f>
        <v>2.5</v>
      </c>
      <c r="J173" s="8" t="str">
        <f>'B.kriteria &amp; R.kecocokan'!$B$72</f>
        <v>Rendah</v>
      </c>
      <c r="K173" s="8">
        <f>_xlfn.IFS(J173="Rendah",'B.kriteria &amp; R.kecocokan'!$C$72,J173="Sedang",'B.kriteria &amp; R.kecocokan'!$C$73,J173="Tinggi",'B.kriteria &amp; R.kecocokan'!$C$74)</f>
        <v>2.5</v>
      </c>
      <c r="L173" s="8" t="str">
        <f>'B.kriteria &amp; R.kecocokan'!$B$95</f>
        <v>Rendah</v>
      </c>
      <c r="M173" s="8">
        <f>_xlfn.IFS(L173="Rendah",'B.kriteria &amp; R.kecocokan'!$C$95,L173="Tinggi",'B.kriteria &amp; R.kecocokan'!$C$96)</f>
        <v>2.5</v>
      </c>
      <c r="N173" s="9" t="str">
        <f>'B.kriteria &amp; R.kecocokan'!$B$81</f>
        <v>Tinggi</v>
      </c>
      <c r="O173" s="8">
        <f>_xlfn.IFS(N173="Rendah",'B.kriteria &amp; R.kecocokan'!$C$80,N173="Tinggi",'B.kriteria &amp; R.kecocokan'!$C$81)</f>
        <v>7.5</v>
      </c>
      <c r="P173" s="9" t="str">
        <f>'B.kriteria &amp; R.kecocokan'!$B$90</f>
        <v>Sangat Sedikit</v>
      </c>
      <c r="Q173" s="8">
        <f>_xlfn.IFS(P173="Sedikit",'B.kriteria &amp; R.kecocokan'!$C$89,P173="Sedang",'B.kriteria &amp; R.kecocokan'!$C$88,P173="Sangat Sedikit",'B.kriteria &amp; R.kecocokan'!$C$90)</f>
        <v>1</v>
      </c>
      <c r="R173" s="8" t="str">
        <f>'B.kriteria &amp; R.kecocokan'!$B$49</f>
        <v>Rendah</v>
      </c>
      <c r="S173" s="8">
        <f>_xlfn.IFS(R173="Rendah",'B.kriteria &amp; R.kecocokan'!$C$49,R173="Sedang",'B.kriteria &amp; R.kecocokan'!$C$50,R173="Tinggi",'B.kriteria &amp; R.kecocokan'!$C$51)</f>
        <v>2.5</v>
      </c>
      <c r="T173" s="8" t="str">
        <f>'B.kriteria &amp; R.kecocokan'!$B$57</f>
        <v>Rendah</v>
      </c>
      <c r="U173" s="51">
        <f>_xlfn.IFS(T173="Rendah",'B.kriteria &amp; R.kecocokan'!$C$57,T173="Sedang",'B.kriteria &amp; R.kecocokan'!$C$58,T173="Tinggi",'B.kriteria &amp; R.kecocokan'!$C$59)</f>
        <v>2.5</v>
      </c>
      <c r="V173" s="51" t="str">
        <f>'B.kriteria &amp; R.kecocokan'!$B$65</f>
        <v>Rendah</v>
      </c>
      <c r="W173" s="9">
        <f>_xlfn.IFS(V173="Rendah",'B.kriteria &amp; R.kecocokan'!$C$65,V173="Sedang",'B.kriteria &amp; R.kecocokan'!$C$66,V173="Tinggi",'B.kriteria &amp; R.kecocokan'!$C$67)</f>
        <v>1</v>
      </c>
      <c r="X173" s="117">
        <f t="shared" si="13"/>
        <v>3.1455552137571754</v>
      </c>
      <c r="Y173" s="117">
        <f t="shared" si="14"/>
        <v>7.3143694191638966</v>
      </c>
      <c r="Z173" s="119">
        <f t="shared" si="15"/>
        <v>3.1455552137571754</v>
      </c>
      <c r="AA173" s="55" t="str">
        <f t="shared" si="16"/>
        <v>Layak</v>
      </c>
    </row>
    <row r="174" spans="1:27" x14ac:dyDescent="0.35">
      <c r="A174" s="5">
        <v>61</v>
      </c>
      <c r="B174" s="2" t="s">
        <v>123</v>
      </c>
      <c r="C174" s="11" t="s">
        <v>95</v>
      </c>
      <c r="D174" s="28" t="str">
        <f>'B.kriteria &amp; R.kecocokan'!$B$25</f>
        <v>Sedikit</v>
      </c>
      <c r="E174" s="111">
        <f>_xlfn.IFS(D174="Banyak",'B.kriteria &amp; R.kecocokan'!$C$23,D174="Cukup",'B.kriteria &amp; R.kecocokan'!$C$24,D174="Sedikit",'B.kriteria &amp; R.kecocokan'!$C$25)</f>
        <v>7.5</v>
      </c>
      <c r="F174" s="9" t="str">
        <f>'B.kriteria &amp; R.kecocokan'!$B$34</f>
        <v>Tinggi</v>
      </c>
      <c r="G174" s="8">
        <f>_xlfn.IFS(F174="Tinggi",'B.kriteria &amp; R.kecocokan'!$C$34,F174="Sangat Tinggi",'B.kriteria &amp; R.kecocokan'!$C$35)</f>
        <v>7.5</v>
      </c>
      <c r="H174" s="8" t="str">
        <f>'B.kriteria &amp; R.kecocokan'!$B$41</f>
        <v>Rendah</v>
      </c>
      <c r="I174" s="8">
        <f>_xlfn.IFS(H174="Rendah",'B.kriteria &amp; R.kecocokan'!$C$41,H174="Sedang",'B.kriteria &amp; R.kecocokan'!$C$42,H174="Tinggi",'B.kriteria &amp; R.kecocokan'!$C$43)</f>
        <v>2.5</v>
      </c>
      <c r="J174" s="8" t="str">
        <f>'B.kriteria &amp; R.kecocokan'!$B$72</f>
        <v>Rendah</v>
      </c>
      <c r="K174" s="8">
        <f>_xlfn.IFS(J174="Rendah",'B.kriteria &amp; R.kecocokan'!$C$72,J174="Sedang",'B.kriteria &amp; R.kecocokan'!$C$73,J174="Tinggi",'B.kriteria &amp; R.kecocokan'!$C$74)</f>
        <v>2.5</v>
      </c>
      <c r="L174" s="8" t="str">
        <f>'B.kriteria &amp; R.kecocokan'!$B$95</f>
        <v>Rendah</v>
      </c>
      <c r="M174" s="8">
        <f>_xlfn.IFS(L174="Rendah",'B.kriteria &amp; R.kecocokan'!$C$95,L174="Tinggi",'B.kriteria &amp; R.kecocokan'!$C$96)</f>
        <v>2.5</v>
      </c>
      <c r="N174" s="8" t="str">
        <f>'B.kriteria &amp; R.kecocokan'!$B$80</f>
        <v>Rendah</v>
      </c>
      <c r="O174" s="8">
        <f>_xlfn.IFS(N174="Rendah",'B.kriteria &amp; R.kecocokan'!$C$80,N174="Tinggi",'B.kriteria &amp; R.kecocokan'!$C$81)</f>
        <v>2.5</v>
      </c>
      <c r="P174" s="8" t="str">
        <f>'B.kriteria &amp; R.kecocokan'!$B$89</f>
        <v>Sedikit</v>
      </c>
      <c r="Q174" s="8">
        <f>_xlfn.IFS(P174="Sedikit",'B.kriteria &amp; R.kecocokan'!$C$89,P174="Sedang",'B.kriteria &amp; R.kecocokan'!$C$88,P174="Sangat Sedikit",'B.kriteria &amp; R.kecocokan'!$C$90)</f>
        <v>2.5</v>
      </c>
      <c r="R174" s="8" t="str">
        <f>'B.kriteria &amp; R.kecocokan'!$B$49</f>
        <v>Rendah</v>
      </c>
      <c r="S174" s="8">
        <f>_xlfn.IFS(R174="Rendah",'B.kriteria &amp; R.kecocokan'!$C$49,R174="Sedang",'B.kriteria &amp; R.kecocokan'!$C$50,R174="Tinggi",'B.kriteria &amp; R.kecocokan'!$C$51)</f>
        <v>2.5</v>
      </c>
      <c r="T174" s="8" t="str">
        <f>'B.kriteria &amp; R.kecocokan'!$B$57</f>
        <v>Rendah</v>
      </c>
      <c r="U174" s="51">
        <f>_xlfn.IFS(T174="Rendah",'B.kriteria &amp; R.kecocokan'!$C$57,T174="Sedang",'B.kriteria &amp; R.kecocokan'!$C$58,T174="Tinggi",'B.kriteria &amp; R.kecocokan'!$C$59)</f>
        <v>2.5</v>
      </c>
      <c r="V174" s="51" t="str">
        <f>'B.kriteria &amp; R.kecocokan'!$B$65</f>
        <v>Rendah</v>
      </c>
      <c r="W174" s="9">
        <f>_xlfn.IFS(V174="Rendah",'B.kriteria &amp; R.kecocokan'!$C$65,V174="Sedang",'B.kriteria &amp; R.kecocokan'!$C$66,V174="Tinggi",'B.kriteria &amp; R.kecocokan'!$C$67)</f>
        <v>1</v>
      </c>
      <c r="X174" s="117">
        <f t="shared" si="13"/>
        <v>3.6993920053641687</v>
      </c>
      <c r="Y174" s="117">
        <f t="shared" si="14"/>
        <v>4.3301270189221936</v>
      </c>
      <c r="Z174" s="119">
        <f t="shared" si="15"/>
        <v>3.6993920053641687</v>
      </c>
      <c r="AA174" s="55" t="str">
        <f t="shared" si="16"/>
        <v>Layak</v>
      </c>
    </row>
    <row r="175" spans="1:27" x14ac:dyDescent="0.35">
      <c r="A175" s="1">
        <v>62</v>
      </c>
      <c r="B175" s="2" t="s">
        <v>233</v>
      </c>
      <c r="C175" s="11" t="s">
        <v>95</v>
      </c>
      <c r="D175" s="28" t="str">
        <f>'B.kriteria &amp; R.kecocokan'!$B$25</f>
        <v>Sedikit</v>
      </c>
      <c r="E175" s="111">
        <f>_xlfn.IFS(D175="Banyak",'B.kriteria &amp; R.kecocokan'!$C$23,D175="Cukup",'B.kriteria &amp; R.kecocokan'!$C$24,D175="Sedikit",'B.kriteria &amp; R.kecocokan'!$C$25)</f>
        <v>7.5</v>
      </c>
      <c r="F175" s="9" t="str">
        <f>'B.kriteria &amp; R.kecocokan'!$B$34</f>
        <v>Tinggi</v>
      </c>
      <c r="G175" s="8">
        <f>_xlfn.IFS(F175="Tinggi",'B.kriteria &amp; R.kecocokan'!$C$34,F175="Sangat Tinggi",'B.kriteria &amp; R.kecocokan'!$C$35)</f>
        <v>7.5</v>
      </c>
      <c r="H175" s="8" t="str">
        <f>'B.kriteria &amp; R.kecocokan'!$B$41</f>
        <v>Rendah</v>
      </c>
      <c r="I175" s="8">
        <f>_xlfn.IFS(H175="Rendah",'B.kriteria &amp; R.kecocokan'!$C$41,H175="Sedang",'B.kriteria &amp; R.kecocokan'!$C$42,H175="Tinggi",'B.kriteria &amp; R.kecocokan'!$C$43)</f>
        <v>2.5</v>
      </c>
      <c r="J175" s="8" t="str">
        <f>'B.kriteria &amp; R.kecocokan'!$B$72</f>
        <v>Rendah</v>
      </c>
      <c r="K175" s="8">
        <f>_xlfn.IFS(J175="Rendah",'B.kriteria &amp; R.kecocokan'!$C$72,J175="Sedang",'B.kriteria &amp; R.kecocokan'!$C$73,J175="Tinggi",'B.kriteria &amp; R.kecocokan'!$C$74)</f>
        <v>2.5</v>
      </c>
      <c r="L175" s="8" t="str">
        <f>'B.kriteria &amp; R.kecocokan'!$B$95</f>
        <v>Rendah</v>
      </c>
      <c r="M175" s="8">
        <f>_xlfn.IFS(L175="Rendah",'B.kriteria &amp; R.kecocokan'!$C$95,L175="Tinggi",'B.kriteria &amp; R.kecocokan'!$C$96)</f>
        <v>2.5</v>
      </c>
      <c r="N175" s="9" t="str">
        <f>'B.kriteria &amp; R.kecocokan'!$B$81</f>
        <v>Tinggi</v>
      </c>
      <c r="O175" s="8">
        <f>_xlfn.IFS(N175="Rendah",'B.kriteria &amp; R.kecocokan'!$C$80,N175="Tinggi",'B.kriteria &amp; R.kecocokan'!$C$81)</f>
        <v>7.5</v>
      </c>
      <c r="P175" s="9" t="str">
        <f>'B.kriteria &amp; R.kecocokan'!$B$90</f>
        <v>Sangat Sedikit</v>
      </c>
      <c r="Q175" s="8">
        <f>_xlfn.IFS(P175="Sedikit",'B.kriteria &amp; R.kecocokan'!$C$89,P175="Sedang",'B.kriteria &amp; R.kecocokan'!$C$88,P175="Sangat Sedikit",'B.kriteria &amp; R.kecocokan'!$C$90)</f>
        <v>1</v>
      </c>
      <c r="R175" s="8" t="str">
        <f>'B.kriteria &amp; R.kecocokan'!$B$49</f>
        <v>Rendah</v>
      </c>
      <c r="S175" s="8">
        <f>_xlfn.IFS(R175="Rendah",'B.kriteria &amp; R.kecocokan'!$C$49,R175="Sedang",'B.kriteria &amp; R.kecocokan'!$C$50,R175="Tinggi",'B.kriteria &amp; R.kecocokan'!$C$51)</f>
        <v>2.5</v>
      </c>
      <c r="T175" s="8" t="str">
        <f>'B.kriteria &amp; R.kecocokan'!$B$57</f>
        <v>Rendah</v>
      </c>
      <c r="U175" s="51">
        <f>_xlfn.IFS(T175="Rendah",'B.kriteria &amp; R.kecocokan'!$C$57,T175="Sedang",'B.kriteria &amp; R.kecocokan'!$C$58,T175="Tinggi",'B.kriteria &amp; R.kecocokan'!$C$59)</f>
        <v>2.5</v>
      </c>
      <c r="V175" s="51" t="str">
        <f>'B.kriteria &amp; R.kecocokan'!$B$65</f>
        <v>Rendah</v>
      </c>
      <c r="W175" s="9">
        <f>_xlfn.IFS(V175="Rendah",'B.kriteria &amp; R.kecocokan'!$C$65,V175="Sedang",'B.kriteria &amp; R.kecocokan'!$C$66,V175="Tinggi",'B.kriteria &amp; R.kecocokan'!$C$67)</f>
        <v>1</v>
      </c>
      <c r="X175" s="117">
        <f t="shared" si="13"/>
        <v>3.1455552137571754</v>
      </c>
      <c r="Y175" s="117">
        <f t="shared" si="14"/>
        <v>7.3143694191638966</v>
      </c>
      <c r="Z175" s="119">
        <f t="shared" si="15"/>
        <v>3.1455552137571754</v>
      </c>
      <c r="AA175" s="55" t="str">
        <f t="shared" si="16"/>
        <v>Layak</v>
      </c>
    </row>
    <row r="176" spans="1:27" x14ac:dyDescent="0.35">
      <c r="A176" s="5">
        <v>63</v>
      </c>
      <c r="B176" s="2" t="s">
        <v>211</v>
      </c>
      <c r="C176" s="11" t="s">
        <v>95</v>
      </c>
      <c r="D176" s="9" t="str">
        <f>'B.kriteria &amp; R.kecocokan'!$B$23</f>
        <v>Banyak</v>
      </c>
      <c r="E176" s="111">
        <f>_xlfn.IFS(D176="Banyak",'B.kriteria &amp; R.kecocokan'!$C$23,D176="Cukup",'B.kriteria &amp; R.kecocokan'!$C$24,D176="Sedikit",'B.kriteria &amp; R.kecocokan'!$C$25)</f>
        <v>2.5</v>
      </c>
      <c r="F176" s="9" t="str">
        <f>'B.kriteria &amp; R.kecocokan'!$B$34</f>
        <v>Tinggi</v>
      </c>
      <c r="G176" s="8">
        <f>_xlfn.IFS(F176="Tinggi",'B.kriteria &amp; R.kecocokan'!$C$34,F176="Sangat Tinggi",'B.kriteria &amp; R.kecocokan'!$C$35)</f>
        <v>7.5</v>
      </c>
      <c r="H176" s="8" t="str">
        <f>'B.kriteria &amp; R.kecocokan'!$B$41</f>
        <v>Rendah</v>
      </c>
      <c r="I176" s="8">
        <f>_xlfn.IFS(H176="Rendah",'B.kriteria &amp; R.kecocokan'!$C$41,H176="Sedang",'B.kriteria &amp; R.kecocokan'!$C$42,H176="Tinggi",'B.kriteria &amp; R.kecocokan'!$C$43)</f>
        <v>2.5</v>
      </c>
      <c r="J176" s="8" t="str">
        <f>'B.kriteria &amp; R.kecocokan'!$B$72</f>
        <v>Rendah</v>
      </c>
      <c r="K176" s="8">
        <f>_xlfn.IFS(J176="Rendah",'B.kriteria &amp; R.kecocokan'!$C$72,J176="Sedang",'B.kriteria &amp; R.kecocokan'!$C$73,J176="Tinggi",'B.kriteria &amp; R.kecocokan'!$C$74)</f>
        <v>2.5</v>
      </c>
      <c r="L176" s="8" t="str">
        <f>'B.kriteria &amp; R.kecocokan'!$B$95</f>
        <v>Rendah</v>
      </c>
      <c r="M176" s="8">
        <f>_xlfn.IFS(L176="Rendah",'B.kriteria &amp; R.kecocokan'!$C$95,L176="Tinggi",'B.kriteria &amp; R.kecocokan'!$C$96)</f>
        <v>2.5</v>
      </c>
      <c r="N176" s="9" t="str">
        <f>'B.kriteria &amp; R.kecocokan'!$B$81</f>
        <v>Tinggi</v>
      </c>
      <c r="O176" s="8">
        <f>_xlfn.IFS(N176="Rendah",'B.kriteria &amp; R.kecocokan'!$C$80,N176="Tinggi",'B.kriteria &amp; R.kecocokan'!$C$81)</f>
        <v>7.5</v>
      </c>
      <c r="P176" s="9" t="str">
        <f>'B.kriteria &amp; R.kecocokan'!$B$90</f>
        <v>Sangat Sedikit</v>
      </c>
      <c r="Q176" s="8">
        <f>_xlfn.IFS(P176="Sedikit",'B.kriteria &amp; R.kecocokan'!$C$89,P176="Sedang",'B.kriteria &amp; R.kecocokan'!$C$88,P176="Sangat Sedikit",'B.kriteria &amp; R.kecocokan'!$C$90)</f>
        <v>1</v>
      </c>
      <c r="R176" s="8" t="str">
        <f>'B.kriteria &amp; R.kecocokan'!$B$49</f>
        <v>Rendah</v>
      </c>
      <c r="S176" s="8">
        <f>_xlfn.IFS(R176="Rendah",'B.kriteria &amp; R.kecocokan'!$C$49,R176="Sedang",'B.kriteria &amp; R.kecocokan'!$C$50,R176="Tinggi",'B.kriteria &amp; R.kecocokan'!$C$51)</f>
        <v>2.5</v>
      </c>
      <c r="T176" s="8" t="str">
        <f>'B.kriteria &amp; R.kecocokan'!$B$57</f>
        <v>Rendah</v>
      </c>
      <c r="U176" s="51">
        <f>_xlfn.IFS(T176="Rendah",'B.kriteria &amp; R.kecocokan'!$C$57,T176="Sedang",'B.kriteria &amp; R.kecocokan'!$C$58,T176="Tinggi",'B.kriteria &amp; R.kecocokan'!$C$59)</f>
        <v>2.5</v>
      </c>
      <c r="V176" s="51" t="str">
        <f>'B.kriteria &amp; R.kecocokan'!$B$65</f>
        <v>Rendah</v>
      </c>
      <c r="W176" s="9">
        <f>_xlfn.IFS(V176="Rendah",'B.kriteria &amp; R.kecocokan'!$C$65,V176="Sedang",'B.kriteria &amp; R.kecocokan'!$C$66,V176="Tinggi",'B.kriteria &amp; R.kecocokan'!$C$67)</f>
        <v>1</v>
      </c>
      <c r="X176" s="117">
        <f t="shared" si="13"/>
        <v>3.90158768391202</v>
      </c>
      <c r="Y176" s="117">
        <f t="shared" si="14"/>
        <v>7.3143694191638966</v>
      </c>
      <c r="Z176" s="119">
        <f t="shared" si="15"/>
        <v>3.90158768391202</v>
      </c>
      <c r="AA176" s="55" t="str">
        <f t="shared" si="16"/>
        <v>Layak</v>
      </c>
    </row>
    <row r="177" spans="1:27" x14ac:dyDescent="0.35">
      <c r="A177" s="5">
        <v>64</v>
      </c>
      <c r="B177" s="2" t="s">
        <v>207</v>
      </c>
      <c r="C177" s="11" t="s">
        <v>235</v>
      </c>
      <c r="D177" s="28" t="str">
        <f>'B.kriteria &amp; R.kecocokan'!$B$25</f>
        <v>Sedikit</v>
      </c>
      <c r="E177" s="111">
        <f>_xlfn.IFS(D177="Banyak",'B.kriteria &amp; R.kecocokan'!$C$23,D177="Cukup",'B.kriteria &amp; R.kecocokan'!$C$24,D177="Sedikit",'B.kriteria &amp; R.kecocokan'!$C$25)</f>
        <v>7.5</v>
      </c>
      <c r="F177" s="9" t="str">
        <f>'B.kriteria &amp; R.kecocokan'!$B$34</f>
        <v>Tinggi</v>
      </c>
      <c r="G177" s="8">
        <f>_xlfn.IFS(F177="Tinggi",'B.kriteria &amp; R.kecocokan'!$C$34,F177="Sangat Tinggi",'B.kriteria &amp; R.kecocokan'!$C$35)</f>
        <v>7.5</v>
      </c>
      <c r="H177" s="8" t="str">
        <f>'B.kriteria &amp; R.kecocokan'!$B$41</f>
        <v>Rendah</v>
      </c>
      <c r="I177" s="8">
        <f>_xlfn.IFS(H177="Rendah",'B.kriteria &amp; R.kecocokan'!$C$41,H177="Sedang",'B.kriteria &amp; R.kecocokan'!$C$42,H177="Tinggi",'B.kriteria &amp; R.kecocokan'!$C$43)</f>
        <v>2.5</v>
      </c>
      <c r="J177" s="8" t="str">
        <f>'B.kriteria &amp; R.kecocokan'!$B$72</f>
        <v>Rendah</v>
      </c>
      <c r="K177" s="8">
        <f>_xlfn.IFS(J177="Rendah",'B.kriteria &amp; R.kecocokan'!$C$72,J177="Sedang",'B.kriteria &amp; R.kecocokan'!$C$73,J177="Tinggi",'B.kriteria &amp; R.kecocokan'!$C$74)</f>
        <v>2.5</v>
      </c>
      <c r="L177" s="8" t="str">
        <f>'B.kriteria &amp; R.kecocokan'!$B$95</f>
        <v>Rendah</v>
      </c>
      <c r="M177" s="8">
        <f>_xlfn.IFS(L177="Rendah",'B.kriteria &amp; R.kecocokan'!$C$95,L177="Tinggi",'B.kriteria &amp; R.kecocokan'!$C$96)</f>
        <v>2.5</v>
      </c>
      <c r="N177" s="9" t="str">
        <f>'B.kriteria &amp; R.kecocokan'!$B$81</f>
        <v>Tinggi</v>
      </c>
      <c r="O177" s="8">
        <f>_xlfn.IFS(N177="Rendah",'B.kriteria &amp; R.kecocokan'!$C$80,N177="Tinggi",'B.kriteria &amp; R.kecocokan'!$C$81)</f>
        <v>7.5</v>
      </c>
      <c r="P177" s="9" t="str">
        <f>'B.kriteria &amp; R.kecocokan'!$B$90</f>
        <v>Sangat Sedikit</v>
      </c>
      <c r="Q177" s="8">
        <f>_xlfn.IFS(P177="Sedikit",'B.kriteria &amp; R.kecocokan'!$C$89,P177="Sedang",'B.kriteria &amp; R.kecocokan'!$C$88,P177="Sangat Sedikit",'B.kriteria &amp; R.kecocokan'!$C$90)</f>
        <v>1</v>
      </c>
      <c r="R177" s="8" t="str">
        <f>'B.kriteria &amp; R.kecocokan'!$B$49</f>
        <v>Rendah</v>
      </c>
      <c r="S177" s="8">
        <f>_xlfn.IFS(R177="Rendah",'B.kriteria &amp; R.kecocokan'!$C$49,R177="Sedang",'B.kriteria &amp; R.kecocokan'!$C$50,R177="Tinggi",'B.kriteria &amp; R.kecocokan'!$C$51)</f>
        <v>2.5</v>
      </c>
      <c r="T177" s="8" t="str">
        <f>'B.kriteria &amp; R.kecocokan'!$B$57</f>
        <v>Rendah</v>
      </c>
      <c r="U177" s="51">
        <f>_xlfn.IFS(T177="Rendah",'B.kriteria &amp; R.kecocokan'!$C$57,T177="Sedang",'B.kriteria &amp; R.kecocokan'!$C$58,T177="Tinggi",'B.kriteria &amp; R.kecocokan'!$C$59)</f>
        <v>2.5</v>
      </c>
      <c r="V177" s="51" t="str">
        <f>'B.kriteria &amp; R.kecocokan'!$B$65</f>
        <v>Rendah</v>
      </c>
      <c r="W177" s="9">
        <f>_xlfn.IFS(V177="Rendah",'B.kriteria &amp; R.kecocokan'!$C$65,V177="Sedang",'B.kriteria &amp; R.kecocokan'!$C$66,V177="Tinggi",'B.kriteria &amp; R.kecocokan'!$C$67)</f>
        <v>1</v>
      </c>
      <c r="X177" s="117">
        <f t="shared" si="13"/>
        <v>3.1455552137571754</v>
      </c>
      <c r="Y177" s="117">
        <f t="shared" si="14"/>
        <v>7.3143694191638966</v>
      </c>
      <c r="Z177" s="119">
        <f t="shared" si="15"/>
        <v>3.1455552137571754</v>
      </c>
      <c r="AA177" s="55" t="str">
        <f t="shared" si="16"/>
        <v>Layak</v>
      </c>
    </row>
    <row r="178" spans="1:27" x14ac:dyDescent="0.35">
      <c r="A178" s="1">
        <v>65</v>
      </c>
      <c r="B178" s="2" t="s">
        <v>209</v>
      </c>
      <c r="C178" s="11" t="s">
        <v>95</v>
      </c>
      <c r="D178" s="9" t="str">
        <f>'B.kriteria &amp; R.kecocokan'!$B$23</f>
        <v>Banyak</v>
      </c>
      <c r="E178" s="111">
        <f>_xlfn.IFS(D178="Banyak",'B.kriteria &amp; R.kecocokan'!$C$23,D178="Cukup",'B.kriteria &amp; R.kecocokan'!$C$24,D178="Sedikit",'B.kriteria &amp; R.kecocokan'!$C$25)</f>
        <v>2.5</v>
      </c>
      <c r="F178" s="9" t="str">
        <f>'B.kriteria &amp; R.kecocokan'!$B$34</f>
        <v>Tinggi</v>
      </c>
      <c r="G178" s="8">
        <f>_xlfn.IFS(F178="Tinggi",'B.kriteria &amp; R.kecocokan'!$C$34,F178="Sangat Tinggi",'B.kriteria &amp; R.kecocokan'!$C$35)</f>
        <v>7.5</v>
      </c>
      <c r="H178" s="8" t="str">
        <f>'B.kriteria &amp; R.kecocokan'!$B$41</f>
        <v>Rendah</v>
      </c>
      <c r="I178" s="8">
        <f>_xlfn.IFS(H178="Rendah",'B.kriteria &amp; R.kecocokan'!$C$41,H178="Sedang",'B.kriteria &amp; R.kecocokan'!$C$42,H178="Tinggi",'B.kriteria &amp; R.kecocokan'!$C$43)</f>
        <v>2.5</v>
      </c>
      <c r="J178" s="8" t="str">
        <f>'B.kriteria &amp; R.kecocokan'!$B$72</f>
        <v>Rendah</v>
      </c>
      <c r="K178" s="8">
        <f>_xlfn.IFS(J178="Rendah",'B.kriteria &amp; R.kecocokan'!$C$72,J178="Sedang",'B.kriteria &amp; R.kecocokan'!$C$73,J178="Tinggi",'B.kriteria &amp; R.kecocokan'!$C$74)</f>
        <v>2.5</v>
      </c>
      <c r="L178" s="8" t="str">
        <f>'B.kriteria &amp; R.kecocokan'!$B$95</f>
        <v>Rendah</v>
      </c>
      <c r="M178" s="8">
        <f>_xlfn.IFS(L178="Rendah",'B.kriteria &amp; R.kecocokan'!$C$95,L178="Tinggi",'B.kriteria &amp; R.kecocokan'!$C$96)</f>
        <v>2.5</v>
      </c>
      <c r="N178" s="8" t="str">
        <f>'B.kriteria &amp; R.kecocokan'!$B$80</f>
        <v>Rendah</v>
      </c>
      <c r="O178" s="8">
        <f>_xlfn.IFS(N178="Rendah",'B.kriteria &amp; R.kecocokan'!$C$80,N178="Tinggi",'B.kriteria &amp; R.kecocokan'!$C$81)</f>
        <v>2.5</v>
      </c>
      <c r="P178" s="8" t="str">
        <f>'B.kriteria &amp; R.kecocokan'!$B$89</f>
        <v>Sedikit</v>
      </c>
      <c r="Q178" s="8">
        <f>_xlfn.IFS(P178="Sedikit",'B.kriteria &amp; R.kecocokan'!$C$89,P178="Sedang",'B.kriteria &amp; R.kecocokan'!$C$88,P178="Sangat Sedikit",'B.kriteria &amp; R.kecocokan'!$C$90)</f>
        <v>2.5</v>
      </c>
      <c r="R178" s="8" t="str">
        <f>'B.kriteria &amp; R.kecocokan'!$B$49</f>
        <v>Rendah</v>
      </c>
      <c r="S178" s="8">
        <f>_xlfn.IFS(R178="Rendah",'B.kriteria &amp; R.kecocokan'!$C$49,R178="Sedang",'B.kriteria &amp; R.kecocokan'!$C$50,R178="Tinggi",'B.kriteria &amp; R.kecocokan'!$C$51)</f>
        <v>2.5</v>
      </c>
      <c r="T178" s="8" t="str">
        <f>'B.kriteria &amp; R.kecocokan'!$B$57</f>
        <v>Rendah</v>
      </c>
      <c r="U178" s="51">
        <f>_xlfn.IFS(T178="Rendah",'B.kriteria &amp; R.kecocokan'!$C$57,T178="Sedang",'B.kriteria &amp; R.kecocokan'!$C$58,T178="Tinggi",'B.kriteria &amp; R.kecocokan'!$C$59)</f>
        <v>2.5</v>
      </c>
      <c r="V178" s="51" t="str">
        <f>'B.kriteria &amp; R.kecocokan'!$B$65</f>
        <v>Rendah</v>
      </c>
      <c r="W178" s="9">
        <f>_xlfn.IFS(V178="Rendah",'B.kriteria &amp; R.kecocokan'!$C$65,V178="Sedang",'B.kriteria &amp; R.kecocokan'!$C$66,V178="Tinggi",'B.kriteria &amp; R.kecocokan'!$C$67)</f>
        <v>1</v>
      </c>
      <c r="X178" s="117">
        <f t="shared" si="13"/>
        <v>4.3604323251039379</v>
      </c>
      <c r="Y178" s="117">
        <f t="shared" si="14"/>
        <v>4.3301270189221936</v>
      </c>
      <c r="Z178" s="119">
        <f t="shared" si="15"/>
        <v>4.3301270189221936</v>
      </c>
      <c r="AA178" s="55" t="str">
        <f t="shared" si="16"/>
        <v>Tidak Layak</v>
      </c>
    </row>
    <row r="179" spans="1:27" x14ac:dyDescent="0.35">
      <c r="A179" s="5">
        <v>66</v>
      </c>
      <c r="B179" s="2" t="s">
        <v>213</v>
      </c>
      <c r="C179" s="11" t="s">
        <v>95</v>
      </c>
      <c r="D179" s="9" t="str">
        <f>'B.kriteria &amp; R.kecocokan'!$B$23</f>
        <v>Banyak</v>
      </c>
      <c r="E179" s="111">
        <f>_xlfn.IFS(D179="Banyak",'B.kriteria &amp; R.kecocokan'!$C$23,D179="Cukup",'B.kriteria &amp; R.kecocokan'!$C$24,D179="Sedikit",'B.kriteria &amp; R.kecocokan'!$C$25)</f>
        <v>2.5</v>
      </c>
      <c r="F179" s="9" t="str">
        <f>'B.kriteria &amp; R.kecocokan'!$B$34</f>
        <v>Tinggi</v>
      </c>
      <c r="G179" s="8">
        <f>_xlfn.IFS(F179="Tinggi",'B.kriteria &amp; R.kecocokan'!$C$34,F179="Sangat Tinggi",'B.kriteria &amp; R.kecocokan'!$C$35)</f>
        <v>7.5</v>
      </c>
      <c r="H179" s="8" t="str">
        <f>'B.kriteria &amp; R.kecocokan'!$B$41</f>
        <v>Rendah</v>
      </c>
      <c r="I179" s="8">
        <f>_xlfn.IFS(H179="Rendah",'B.kriteria &amp; R.kecocokan'!$C$41,H179="Sedang",'B.kriteria &amp; R.kecocokan'!$C$42,H179="Tinggi",'B.kriteria &amp; R.kecocokan'!$C$43)</f>
        <v>2.5</v>
      </c>
      <c r="J179" s="8" t="str">
        <f>'B.kriteria &amp; R.kecocokan'!$B$72</f>
        <v>Rendah</v>
      </c>
      <c r="K179" s="8">
        <f>_xlfn.IFS(J179="Rendah",'B.kriteria &amp; R.kecocokan'!$C$72,J179="Sedang",'B.kriteria &amp; R.kecocokan'!$C$73,J179="Tinggi",'B.kriteria &amp; R.kecocokan'!$C$74)</f>
        <v>2.5</v>
      </c>
      <c r="L179" s="8" t="str">
        <f>'B.kriteria &amp; R.kecocokan'!$B$95</f>
        <v>Rendah</v>
      </c>
      <c r="M179" s="8">
        <f>_xlfn.IFS(L179="Rendah",'B.kriteria &amp; R.kecocokan'!$C$95,L179="Tinggi",'B.kriteria &amp; R.kecocokan'!$C$96)</f>
        <v>2.5</v>
      </c>
      <c r="N179" s="8" t="str">
        <f>'B.kriteria &amp; R.kecocokan'!$B$80</f>
        <v>Rendah</v>
      </c>
      <c r="O179" s="8">
        <f>_xlfn.IFS(N179="Rendah",'B.kriteria &amp; R.kecocokan'!$C$80,N179="Tinggi",'B.kriteria &amp; R.kecocokan'!$C$81)</f>
        <v>2.5</v>
      </c>
      <c r="P179" s="8" t="str">
        <f>'B.kriteria &amp; R.kecocokan'!$B$89</f>
        <v>Sedikit</v>
      </c>
      <c r="Q179" s="8">
        <f>_xlfn.IFS(P179="Sedikit",'B.kriteria &amp; R.kecocokan'!$C$89,P179="Sedang",'B.kriteria &amp; R.kecocokan'!$C$88,P179="Sangat Sedikit",'B.kriteria &amp; R.kecocokan'!$C$90)</f>
        <v>2.5</v>
      </c>
      <c r="R179" s="8" t="str">
        <f>'B.kriteria &amp; R.kecocokan'!$B$49</f>
        <v>Rendah</v>
      </c>
      <c r="S179" s="8">
        <f>_xlfn.IFS(R179="Rendah",'B.kriteria &amp; R.kecocokan'!$C$49,R179="Sedang",'B.kriteria &amp; R.kecocokan'!$C$50,R179="Tinggi",'B.kriteria &amp; R.kecocokan'!$C$51)</f>
        <v>2.5</v>
      </c>
      <c r="T179" s="8" t="str">
        <f>'B.kriteria &amp; R.kecocokan'!$B$57</f>
        <v>Rendah</v>
      </c>
      <c r="U179" s="51">
        <f>_xlfn.IFS(T179="Rendah",'B.kriteria &amp; R.kecocokan'!$C$57,T179="Sedang",'B.kriteria &amp; R.kecocokan'!$C$58,T179="Tinggi",'B.kriteria &amp; R.kecocokan'!$C$59)</f>
        <v>2.5</v>
      </c>
      <c r="V179" s="51" t="str">
        <f>'B.kriteria &amp; R.kecocokan'!$B$65</f>
        <v>Rendah</v>
      </c>
      <c r="W179" s="9">
        <f>_xlfn.IFS(V179="Rendah",'B.kriteria &amp; R.kecocokan'!$C$65,V179="Sedang",'B.kriteria &amp; R.kecocokan'!$C$66,V179="Tinggi",'B.kriteria &amp; R.kecocokan'!$C$67)</f>
        <v>1</v>
      </c>
      <c r="X179" s="117">
        <f t="shared" si="13"/>
        <v>4.3604323251039379</v>
      </c>
      <c r="Y179" s="117">
        <f t="shared" si="14"/>
        <v>4.3301270189221936</v>
      </c>
      <c r="Z179" s="119">
        <f t="shared" si="15"/>
        <v>4.3301270189221936</v>
      </c>
      <c r="AA179" s="55" t="str">
        <f t="shared" si="16"/>
        <v>Tidak Layak</v>
      </c>
    </row>
    <row r="180" spans="1:27" x14ac:dyDescent="0.35">
      <c r="A180" s="5">
        <v>67</v>
      </c>
      <c r="B180" s="2" t="s">
        <v>215</v>
      </c>
      <c r="C180" s="11" t="s">
        <v>95</v>
      </c>
      <c r="D180" s="32" t="str">
        <f>'B.kriteria &amp; R.kecocokan'!$B$24</f>
        <v>Cukup</v>
      </c>
      <c r="E180" s="111">
        <f>_xlfn.IFS(D180="Banyak",'B.kriteria &amp; R.kecocokan'!$C$23,D180="Cukup",'B.kriteria &amp; R.kecocokan'!$C$24,D180="Sedikit",'B.kriteria &amp; R.kecocokan'!$C$25)</f>
        <v>5</v>
      </c>
      <c r="F180" s="9" t="str">
        <f>'B.kriteria &amp; R.kecocokan'!$B$34</f>
        <v>Tinggi</v>
      </c>
      <c r="G180" s="8">
        <f>_xlfn.IFS(F180="Tinggi",'B.kriteria &amp; R.kecocokan'!$C$34,F180="Sangat Tinggi",'B.kriteria &amp; R.kecocokan'!$C$35)</f>
        <v>7.5</v>
      </c>
      <c r="H180" s="8" t="str">
        <f>'B.kriteria &amp; R.kecocokan'!$B$41</f>
        <v>Rendah</v>
      </c>
      <c r="I180" s="8">
        <f>_xlfn.IFS(H180="Rendah",'B.kriteria &amp; R.kecocokan'!$C$41,H180="Sedang",'B.kriteria &amp; R.kecocokan'!$C$42,H180="Tinggi",'B.kriteria &amp; R.kecocokan'!$C$43)</f>
        <v>2.5</v>
      </c>
      <c r="J180" s="8" t="str">
        <f>'B.kriteria &amp; R.kecocokan'!$B$72</f>
        <v>Rendah</v>
      </c>
      <c r="K180" s="8">
        <f>_xlfn.IFS(J180="Rendah",'B.kriteria &amp; R.kecocokan'!$C$72,J180="Sedang",'B.kriteria &amp; R.kecocokan'!$C$73,J180="Tinggi",'B.kriteria &amp; R.kecocokan'!$C$74)</f>
        <v>2.5</v>
      </c>
      <c r="L180" s="8" t="str">
        <f>'B.kriteria &amp; R.kecocokan'!$B$95</f>
        <v>Rendah</v>
      </c>
      <c r="M180" s="8">
        <f>_xlfn.IFS(L180="Rendah",'B.kriteria &amp; R.kecocokan'!$C$95,L180="Tinggi",'B.kriteria &amp; R.kecocokan'!$C$96)</f>
        <v>2.5</v>
      </c>
      <c r="N180" s="8" t="str">
        <f>'B.kriteria &amp; R.kecocokan'!$B$80</f>
        <v>Rendah</v>
      </c>
      <c r="O180" s="8">
        <f>_xlfn.IFS(N180="Rendah",'B.kriteria &amp; R.kecocokan'!$C$80,N180="Tinggi",'B.kriteria &amp; R.kecocokan'!$C$81)</f>
        <v>2.5</v>
      </c>
      <c r="P180" s="8" t="str">
        <f>'B.kriteria &amp; R.kecocokan'!$B$89</f>
        <v>Sedikit</v>
      </c>
      <c r="Q180" s="8">
        <f>_xlfn.IFS(P180="Sedikit",'B.kriteria &amp; R.kecocokan'!$C$89,P180="Sedang",'B.kriteria &amp; R.kecocokan'!$C$88,P180="Sangat Sedikit",'B.kriteria &amp; R.kecocokan'!$C$90)</f>
        <v>2.5</v>
      </c>
      <c r="R180" s="8" t="str">
        <f>'B.kriteria &amp; R.kecocokan'!$B$49</f>
        <v>Rendah</v>
      </c>
      <c r="S180" s="8">
        <f>_xlfn.IFS(R180="Rendah",'B.kriteria &amp; R.kecocokan'!$C$49,R180="Sedang",'B.kriteria &amp; R.kecocokan'!$C$50,R180="Tinggi",'B.kriteria &amp; R.kecocokan'!$C$51)</f>
        <v>2.5</v>
      </c>
      <c r="T180" s="8" t="str">
        <f>'B.kriteria &amp; R.kecocokan'!$B$57</f>
        <v>Rendah</v>
      </c>
      <c r="U180" s="51">
        <f>_xlfn.IFS(T180="Rendah",'B.kriteria &amp; R.kecocokan'!$C$57,T180="Sedang",'B.kriteria &amp; R.kecocokan'!$C$58,T180="Tinggi",'B.kriteria &amp; R.kecocokan'!$C$59)</f>
        <v>2.5</v>
      </c>
      <c r="V180" s="51" t="str">
        <f>'B.kriteria &amp; R.kecocokan'!$B$65</f>
        <v>Rendah</v>
      </c>
      <c r="W180" s="9">
        <f>_xlfn.IFS(V180="Rendah",'B.kriteria &amp; R.kecocokan'!$C$65,V180="Sedang",'B.kriteria &amp; R.kecocokan'!$C$66,V180="Tinggi",'B.kriteria &amp; R.kecocokan'!$C$67)</f>
        <v>1</v>
      </c>
      <c r="X180" s="117">
        <f t="shared" ref="X180:X206" si="17">SQRT(((E180-$E$109)^2)+((G180-$G$109)^2)+((I180-$I$109)^2+((K180-$K$109)^2)+((M180-$M$109)^2)+((O180-$O$109)^2)+((Q180-$Q$109)^2)+((S180-$S$109)^2)+((U180-$U$109)^2)+((W180-$W$109)^2)))</f>
        <v>3.1779609241747817</v>
      </c>
      <c r="Y180" s="117">
        <f t="shared" ref="Y180:Y206" si="18">SQRT(((E180-$E$4)^2)+((G180-$G$4)^2)+((I180-$I$4)^2)+((K180-$K$4)^2)+((M180-$M$4)^2+((O180-$O$4)^2)+((Q180-$Q$4)^2)+((S180-$S$4)^2)+((U180-$U$4)^2)+((W180-$W$4)^2)))</f>
        <v>3.5355339059327378</v>
      </c>
      <c r="Z180" s="119">
        <f t="shared" ref="Z180:Z206" si="19">MIN(X180:Y180)</f>
        <v>3.1779609241747817</v>
      </c>
      <c r="AA180" s="55" t="str">
        <f t="shared" ref="AA180:AA206" si="20">IF(X180&lt;Y180,"Layak","Tidak Layak")</f>
        <v>Layak</v>
      </c>
    </row>
    <row r="181" spans="1:27" x14ac:dyDescent="0.35">
      <c r="A181" s="1">
        <v>68</v>
      </c>
      <c r="B181" s="2" t="s">
        <v>239</v>
      </c>
      <c r="C181" s="11" t="s">
        <v>92</v>
      </c>
      <c r="D181" s="32" t="str">
        <f>'B.kriteria &amp; R.kecocokan'!$B$24</f>
        <v>Cukup</v>
      </c>
      <c r="E181" s="111">
        <f>_xlfn.IFS(D181="Banyak",'B.kriteria &amp; R.kecocokan'!$C$23,D181="Cukup",'B.kriteria &amp; R.kecocokan'!$C$24,D181="Sedikit",'B.kriteria &amp; R.kecocokan'!$C$25)</f>
        <v>5</v>
      </c>
      <c r="F181" s="9" t="str">
        <f>'B.kriteria &amp; R.kecocokan'!$B$34</f>
        <v>Tinggi</v>
      </c>
      <c r="G181" s="8">
        <f>_xlfn.IFS(F181="Tinggi",'B.kriteria &amp; R.kecocokan'!$C$34,F181="Sangat Tinggi",'B.kriteria &amp; R.kecocokan'!$C$35)</f>
        <v>7.5</v>
      </c>
      <c r="H181" s="8" t="str">
        <f>'B.kriteria &amp; R.kecocokan'!$B$41</f>
        <v>Rendah</v>
      </c>
      <c r="I181" s="8">
        <f>_xlfn.IFS(H181="Rendah",'B.kriteria &amp; R.kecocokan'!$C$41,H181="Sedang",'B.kriteria &amp; R.kecocokan'!$C$42,H181="Tinggi",'B.kriteria &amp; R.kecocokan'!$C$43)</f>
        <v>2.5</v>
      </c>
      <c r="J181" s="8" t="str">
        <f>'B.kriteria &amp; R.kecocokan'!$B$72</f>
        <v>Rendah</v>
      </c>
      <c r="K181" s="8">
        <f>_xlfn.IFS(J181="Rendah",'B.kriteria &amp; R.kecocokan'!$C$72,J181="Sedang",'B.kriteria &amp; R.kecocokan'!$C$73,J181="Tinggi",'B.kriteria &amp; R.kecocokan'!$C$74)</f>
        <v>2.5</v>
      </c>
      <c r="L181" s="8" t="str">
        <f>'B.kriteria &amp; R.kecocokan'!$B$95</f>
        <v>Rendah</v>
      </c>
      <c r="M181" s="8">
        <f>_xlfn.IFS(L181="Rendah",'B.kriteria &amp; R.kecocokan'!$C$95,L181="Tinggi",'B.kriteria &amp; R.kecocokan'!$C$96)</f>
        <v>2.5</v>
      </c>
      <c r="N181" s="8" t="str">
        <f>'B.kriteria &amp; R.kecocokan'!$B$80</f>
        <v>Rendah</v>
      </c>
      <c r="O181" s="8">
        <f>_xlfn.IFS(N181="Rendah",'B.kriteria &amp; R.kecocokan'!$C$80,N181="Tinggi",'B.kriteria &amp; R.kecocokan'!$C$81)</f>
        <v>2.5</v>
      </c>
      <c r="P181" s="8" t="str">
        <f>'B.kriteria &amp; R.kecocokan'!$B$89</f>
        <v>Sedikit</v>
      </c>
      <c r="Q181" s="8">
        <f>_xlfn.IFS(P181="Sedikit",'B.kriteria &amp; R.kecocokan'!$C$89,P181="Sedang",'B.kriteria &amp; R.kecocokan'!$C$88,P181="Sangat Sedikit",'B.kriteria &amp; R.kecocokan'!$C$90)</f>
        <v>2.5</v>
      </c>
      <c r="R181" s="8" t="str">
        <f>'B.kriteria &amp; R.kecocokan'!$B$49</f>
        <v>Rendah</v>
      </c>
      <c r="S181" s="8">
        <f>_xlfn.IFS(R181="Rendah",'B.kriteria &amp; R.kecocokan'!$C$49,R181="Sedang",'B.kriteria &amp; R.kecocokan'!$C$50,R181="Tinggi",'B.kriteria &amp; R.kecocokan'!$C$51)</f>
        <v>2.5</v>
      </c>
      <c r="T181" s="8" t="str">
        <f>'B.kriteria &amp; R.kecocokan'!$B$57</f>
        <v>Rendah</v>
      </c>
      <c r="U181" s="51">
        <f>_xlfn.IFS(T181="Rendah",'B.kriteria &amp; R.kecocokan'!$C$57,T181="Sedang",'B.kriteria &amp; R.kecocokan'!$C$58,T181="Tinggi",'B.kriteria &amp; R.kecocokan'!$C$59)</f>
        <v>2.5</v>
      </c>
      <c r="V181" s="51" t="str">
        <f>'B.kriteria &amp; R.kecocokan'!$B$65</f>
        <v>Rendah</v>
      </c>
      <c r="W181" s="9">
        <f>_xlfn.IFS(V181="Rendah",'B.kriteria &amp; R.kecocokan'!$C$65,V181="Sedang",'B.kriteria &amp; R.kecocokan'!$C$66,V181="Tinggi",'B.kriteria &amp; R.kecocokan'!$C$67)</f>
        <v>1</v>
      </c>
      <c r="X181" s="117">
        <f t="shared" si="17"/>
        <v>3.1779609241747817</v>
      </c>
      <c r="Y181" s="117">
        <f t="shared" si="18"/>
        <v>3.5355339059327378</v>
      </c>
      <c r="Z181" s="119">
        <f t="shared" si="19"/>
        <v>3.1779609241747817</v>
      </c>
      <c r="AA181" s="55" t="str">
        <f t="shared" si="20"/>
        <v>Layak</v>
      </c>
    </row>
    <row r="182" spans="1:27" x14ac:dyDescent="0.35">
      <c r="A182" s="5">
        <v>69</v>
      </c>
      <c r="B182" s="2" t="s">
        <v>221</v>
      </c>
      <c r="C182" s="11" t="s">
        <v>240</v>
      </c>
      <c r="D182" s="28" t="str">
        <f>'B.kriteria &amp; R.kecocokan'!$B$25</f>
        <v>Sedikit</v>
      </c>
      <c r="E182" s="111">
        <f>_xlfn.IFS(D182="Banyak",'B.kriteria &amp; R.kecocokan'!$C$23,D182="Cukup",'B.kriteria &amp; R.kecocokan'!$C$24,D182="Sedikit",'B.kriteria &amp; R.kecocokan'!$C$25)</f>
        <v>7.5</v>
      </c>
      <c r="F182" s="9" t="str">
        <f>'B.kriteria &amp; R.kecocokan'!$B$34</f>
        <v>Tinggi</v>
      </c>
      <c r="G182" s="8">
        <f>_xlfn.IFS(F182="Tinggi",'B.kriteria &amp; R.kecocokan'!$C$34,F182="Sangat Tinggi",'B.kriteria &amp; R.kecocokan'!$C$35)</f>
        <v>7.5</v>
      </c>
      <c r="H182" s="8" t="str">
        <f>'B.kriteria &amp; R.kecocokan'!$B$41</f>
        <v>Rendah</v>
      </c>
      <c r="I182" s="8">
        <f>_xlfn.IFS(H182="Rendah",'B.kriteria &amp; R.kecocokan'!$C$41,H182="Sedang",'B.kriteria &amp; R.kecocokan'!$C$42,H182="Tinggi",'B.kriteria &amp; R.kecocokan'!$C$43)</f>
        <v>2.5</v>
      </c>
      <c r="J182" s="8" t="str">
        <f>'B.kriteria &amp; R.kecocokan'!$B$72</f>
        <v>Rendah</v>
      </c>
      <c r="K182" s="8">
        <f>_xlfn.IFS(J182="Rendah",'B.kriteria &amp; R.kecocokan'!$C$72,J182="Sedang",'B.kriteria &amp; R.kecocokan'!$C$73,J182="Tinggi",'B.kriteria &amp; R.kecocokan'!$C$74)</f>
        <v>2.5</v>
      </c>
      <c r="L182" s="8" t="str">
        <f>'B.kriteria &amp; R.kecocokan'!$B$95</f>
        <v>Rendah</v>
      </c>
      <c r="M182" s="8">
        <f>_xlfn.IFS(L182="Rendah",'B.kriteria &amp; R.kecocokan'!$C$95,L182="Tinggi",'B.kriteria &amp; R.kecocokan'!$C$96)</f>
        <v>2.5</v>
      </c>
      <c r="N182" s="9" t="str">
        <f>'B.kriteria &amp; R.kecocokan'!$B$81</f>
        <v>Tinggi</v>
      </c>
      <c r="O182" s="8">
        <f>_xlfn.IFS(N182="Rendah",'B.kriteria &amp; R.kecocokan'!$C$80,N182="Tinggi",'B.kriteria &amp; R.kecocokan'!$C$81)</f>
        <v>7.5</v>
      </c>
      <c r="P182" s="9" t="str">
        <f>'B.kriteria &amp; R.kecocokan'!$B$90</f>
        <v>Sangat Sedikit</v>
      </c>
      <c r="Q182" s="8">
        <f>_xlfn.IFS(P182="Sedikit",'B.kriteria &amp; R.kecocokan'!$C$89,P182="Sedang",'B.kriteria &amp; R.kecocokan'!$C$88,P182="Sangat Sedikit",'B.kriteria &amp; R.kecocokan'!$C$90)</f>
        <v>1</v>
      </c>
      <c r="R182" s="8" t="str">
        <f>'B.kriteria &amp; R.kecocokan'!$B$49</f>
        <v>Rendah</v>
      </c>
      <c r="S182" s="8">
        <f>_xlfn.IFS(R182="Rendah",'B.kriteria &amp; R.kecocokan'!$C$49,R182="Sedang",'B.kriteria &amp; R.kecocokan'!$C$50,R182="Tinggi",'B.kriteria &amp; R.kecocokan'!$C$51)</f>
        <v>2.5</v>
      </c>
      <c r="T182" s="8" t="str">
        <f>'B.kriteria &amp; R.kecocokan'!$B$57</f>
        <v>Rendah</v>
      </c>
      <c r="U182" s="51">
        <f>_xlfn.IFS(T182="Rendah",'B.kriteria &amp; R.kecocokan'!$C$57,T182="Sedang",'B.kriteria &amp; R.kecocokan'!$C$58,T182="Tinggi",'B.kriteria &amp; R.kecocokan'!$C$59)</f>
        <v>2.5</v>
      </c>
      <c r="V182" s="51" t="str">
        <f>'B.kriteria &amp; R.kecocokan'!$B$65</f>
        <v>Rendah</v>
      </c>
      <c r="W182" s="9">
        <f>_xlfn.IFS(V182="Rendah",'B.kriteria &amp; R.kecocokan'!$C$65,V182="Sedang",'B.kriteria &amp; R.kecocokan'!$C$66,V182="Tinggi",'B.kriteria &amp; R.kecocokan'!$C$67)</f>
        <v>1</v>
      </c>
      <c r="X182" s="117">
        <f t="shared" si="17"/>
        <v>3.1455552137571754</v>
      </c>
      <c r="Y182" s="117">
        <f t="shared" si="18"/>
        <v>7.3143694191638966</v>
      </c>
      <c r="Z182" s="119">
        <f t="shared" si="19"/>
        <v>3.1455552137571754</v>
      </c>
      <c r="AA182" s="55" t="str">
        <f t="shared" si="20"/>
        <v>Layak</v>
      </c>
    </row>
    <row r="183" spans="1:27" x14ac:dyDescent="0.35">
      <c r="A183" s="5">
        <v>70</v>
      </c>
      <c r="B183" s="2" t="s">
        <v>219</v>
      </c>
      <c r="C183" s="11" t="s">
        <v>95</v>
      </c>
      <c r="D183" s="9" t="str">
        <f>'B.kriteria &amp; R.kecocokan'!$B$23</f>
        <v>Banyak</v>
      </c>
      <c r="E183" s="111">
        <f>_xlfn.IFS(D183="Banyak",'B.kriteria &amp; R.kecocokan'!$C$23,D183="Cukup",'B.kriteria &amp; R.kecocokan'!$C$24,D183="Sedikit",'B.kriteria &amp; R.kecocokan'!$C$25)</f>
        <v>2.5</v>
      </c>
      <c r="F183" s="9" t="str">
        <f>'B.kriteria &amp; R.kecocokan'!$B$34</f>
        <v>Tinggi</v>
      </c>
      <c r="G183" s="8">
        <f>_xlfn.IFS(F183="Tinggi",'B.kriteria &amp; R.kecocokan'!$C$34,F183="Sangat Tinggi",'B.kriteria &amp; R.kecocokan'!$C$35)</f>
        <v>7.5</v>
      </c>
      <c r="H183" s="8" t="str">
        <f>'B.kriteria &amp; R.kecocokan'!$B$41</f>
        <v>Rendah</v>
      </c>
      <c r="I183" s="8">
        <f>_xlfn.IFS(H183="Rendah",'B.kriteria &amp; R.kecocokan'!$C$41,H183="Sedang",'B.kriteria &amp; R.kecocokan'!$C$42,H183="Tinggi",'B.kriteria &amp; R.kecocokan'!$C$43)</f>
        <v>2.5</v>
      </c>
      <c r="J183" s="8" t="str">
        <f>'B.kriteria &amp; R.kecocokan'!$B$72</f>
        <v>Rendah</v>
      </c>
      <c r="K183" s="8">
        <f>_xlfn.IFS(J183="Rendah",'B.kriteria &amp; R.kecocokan'!$C$72,J183="Sedang",'B.kriteria &amp; R.kecocokan'!$C$73,J183="Tinggi",'B.kriteria &amp; R.kecocokan'!$C$74)</f>
        <v>2.5</v>
      </c>
      <c r="L183" s="8" t="str">
        <f>'B.kriteria &amp; R.kecocokan'!$B$95</f>
        <v>Rendah</v>
      </c>
      <c r="M183" s="8">
        <f>_xlfn.IFS(L183="Rendah",'B.kriteria &amp; R.kecocokan'!$C$95,L183="Tinggi",'B.kriteria &amp; R.kecocokan'!$C$96)</f>
        <v>2.5</v>
      </c>
      <c r="N183" s="8" t="str">
        <f>'B.kriteria &amp; R.kecocokan'!$B$80</f>
        <v>Rendah</v>
      </c>
      <c r="O183" s="8">
        <f>_xlfn.IFS(N183="Rendah",'B.kriteria &amp; R.kecocokan'!$C$80,N183="Tinggi",'B.kriteria &amp; R.kecocokan'!$C$81)</f>
        <v>2.5</v>
      </c>
      <c r="P183" s="9" t="str">
        <f>'B.kriteria &amp; R.kecocokan'!$B$88</f>
        <v>Sedang</v>
      </c>
      <c r="Q183" s="8">
        <f>_xlfn.IFS(P183="Sedikit",'B.kriteria &amp; R.kecocokan'!$C$89,P183="Sedang",'B.kriteria &amp; R.kecocokan'!$C$88,P183="Sangat Sedikit",'B.kriteria &amp; R.kecocokan'!$C$90)</f>
        <v>5</v>
      </c>
      <c r="R183" s="8" t="str">
        <f>'B.kriteria &amp; R.kecocokan'!$B$49</f>
        <v>Rendah</v>
      </c>
      <c r="S183" s="8">
        <f>_xlfn.IFS(R183="Rendah",'B.kriteria &amp; R.kecocokan'!$C$49,R183="Sedang",'B.kriteria &amp; R.kecocokan'!$C$50,R183="Tinggi",'B.kriteria &amp; R.kecocokan'!$C$51)</f>
        <v>2.5</v>
      </c>
      <c r="T183" s="8" t="str">
        <f>'B.kriteria &amp; R.kecocokan'!$B$57</f>
        <v>Rendah</v>
      </c>
      <c r="U183" s="51">
        <f>_xlfn.IFS(T183="Rendah",'B.kriteria &amp; R.kecocokan'!$C$57,T183="Sedang",'B.kriteria &amp; R.kecocokan'!$C$58,T183="Tinggi",'B.kriteria &amp; R.kecocokan'!$C$59)</f>
        <v>2.5</v>
      </c>
      <c r="V183" s="51" t="str">
        <f>'B.kriteria &amp; R.kecocokan'!$B$65</f>
        <v>Rendah</v>
      </c>
      <c r="W183" s="9">
        <f>_xlfn.IFS(V183="Rendah",'B.kriteria &amp; R.kecocokan'!$C$65,V183="Sedang",'B.kriteria &amp; R.kecocokan'!$C$66,V183="Tinggi",'B.kriteria &amp; R.kecocokan'!$C$67)</f>
        <v>1</v>
      </c>
      <c r="X183" s="117">
        <f t="shared" si="17"/>
        <v>5.5272285376771766</v>
      </c>
      <c r="Y183" s="117">
        <f t="shared" si="18"/>
        <v>3.5355339059327378</v>
      </c>
      <c r="Z183" s="119">
        <f t="shared" si="19"/>
        <v>3.5355339059327378</v>
      </c>
      <c r="AA183" s="55" t="str">
        <f t="shared" si="20"/>
        <v>Tidak Layak</v>
      </c>
    </row>
    <row r="184" spans="1:27" x14ac:dyDescent="0.35">
      <c r="A184" s="1">
        <v>71</v>
      </c>
      <c r="B184" s="2" t="s">
        <v>241</v>
      </c>
      <c r="C184" s="11" t="s">
        <v>95</v>
      </c>
      <c r="D184" s="9" t="str">
        <f>'B.kriteria &amp; R.kecocokan'!$B$23</f>
        <v>Banyak</v>
      </c>
      <c r="E184" s="111">
        <f>_xlfn.IFS(D184="Banyak",'B.kriteria &amp; R.kecocokan'!$C$23,D184="Cukup",'B.kriteria &amp; R.kecocokan'!$C$24,D184="Sedikit",'B.kriteria &amp; R.kecocokan'!$C$25)</f>
        <v>2.5</v>
      </c>
      <c r="F184" s="9" t="str">
        <f>'B.kriteria &amp; R.kecocokan'!$B$34</f>
        <v>Tinggi</v>
      </c>
      <c r="G184" s="8">
        <f>_xlfn.IFS(F184="Tinggi",'B.kriteria &amp; R.kecocokan'!$C$34,F184="Sangat Tinggi",'B.kriteria &amp; R.kecocokan'!$C$35)</f>
        <v>7.5</v>
      </c>
      <c r="H184" s="8" t="str">
        <f>'B.kriteria &amp; R.kecocokan'!$B$41</f>
        <v>Rendah</v>
      </c>
      <c r="I184" s="8">
        <f>_xlfn.IFS(H184="Rendah",'B.kriteria &amp; R.kecocokan'!$C$41,H184="Sedang",'B.kriteria &amp; R.kecocokan'!$C$42,H184="Tinggi",'B.kriteria &amp; R.kecocokan'!$C$43)</f>
        <v>2.5</v>
      </c>
      <c r="J184" s="8" t="str">
        <f>'B.kriteria &amp; R.kecocokan'!$B$72</f>
        <v>Rendah</v>
      </c>
      <c r="K184" s="8">
        <f>_xlfn.IFS(J184="Rendah",'B.kriteria &amp; R.kecocokan'!$C$72,J184="Sedang",'B.kriteria &amp; R.kecocokan'!$C$73,J184="Tinggi",'B.kriteria &amp; R.kecocokan'!$C$74)</f>
        <v>2.5</v>
      </c>
      <c r="L184" s="8" t="str">
        <f>'B.kriteria &amp; R.kecocokan'!$B$95</f>
        <v>Rendah</v>
      </c>
      <c r="M184" s="8">
        <f>_xlfn.IFS(L184="Rendah",'B.kriteria &amp; R.kecocokan'!$C$95,L184="Tinggi",'B.kriteria &amp; R.kecocokan'!$C$96)</f>
        <v>2.5</v>
      </c>
      <c r="N184" s="8" t="str">
        <f>'B.kriteria &amp; R.kecocokan'!$B$80</f>
        <v>Rendah</v>
      </c>
      <c r="O184" s="8">
        <f>_xlfn.IFS(N184="Rendah",'B.kriteria &amp; R.kecocokan'!$C$80,N184="Tinggi",'B.kriteria &amp; R.kecocokan'!$C$81)</f>
        <v>2.5</v>
      </c>
      <c r="P184" s="9" t="str">
        <f>'B.kriteria &amp; R.kecocokan'!$B$88</f>
        <v>Sedang</v>
      </c>
      <c r="Q184" s="8">
        <f>_xlfn.IFS(P184="Sedikit",'B.kriteria &amp; R.kecocokan'!$C$89,P184="Sedang",'B.kriteria &amp; R.kecocokan'!$C$88,P184="Sangat Sedikit",'B.kriteria &amp; R.kecocokan'!$C$90)</f>
        <v>5</v>
      </c>
      <c r="R184" s="8" t="str">
        <f>'B.kriteria &amp; R.kecocokan'!$B$49</f>
        <v>Rendah</v>
      </c>
      <c r="S184" s="8">
        <f>_xlfn.IFS(R184="Rendah",'B.kriteria &amp; R.kecocokan'!$C$49,R184="Sedang",'B.kriteria &amp; R.kecocokan'!$C$50,R184="Tinggi",'B.kriteria &amp; R.kecocokan'!$C$51)</f>
        <v>2.5</v>
      </c>
      <c r="T184" s="8" t="str">
        <f>'B.kriteria &amp; R.kecocokan'!$B$57</f>
        <v>Rendah</v>
      </c>
      <c r="U184" s="51">
        <f>_xlfn.IFS(T184="Rendah",'B.kriteria &amp; R.kecocokan'!$C$57,T184="Sedang",'B.kriteria &amp; R.kecocokan'!$C$58,T184="Tinggi",'B.kriteria &amp; R.kecocokan'!$C$59)</f>
        <v>2.5</v>
      </c>
      <c r="V184" s="51" t="str">
        <f>'B.kriteria &amp; R.kecocokan'!$B$65</f>
        <v>Rendah</v>
      </c>
      <c r="W184" s="9">
        <f>_xlfn.IFS(V184="Rendah",'B.kriteria &amp; R.kecocokan'!$C$65,V184="Sedang",'B.kriteria &amp; R.kecocokan'!$C$66,V184="Tinggi",'B.kriteria &amp; R.kecocokan'!$C$67)</f>
        <v>1</v>
      </c>
      <c r="X184" s="117">
        <f t="shared" si="17"/>
        <v>5.5272285376771766</v>
      </c>
      <c r="Y184" s="117">
        <f t="shared" si="18"/>
        <v>3.5355339059327378</v>
      </c>
      <c r="Z184" s="119">
        <f t="shared" si="19"/>
        <v>3.5355339059327378</v>
      </c>
      <c r="AA184" s="55" t="str">
        <f t="shared" si="20"/>
        <v>Tidak Layak</v>
      </c>
    </row>
    <row r="185" spans="1:27" x14ac:dyDescent="0.35">
      <c r="A185" s="5">
        <v>72</v>
      </c>
      <c r="B185" s="2" t="s">
        <v>225</v>
      </c>
      <c r="C185" s="11" t="s">
        <v>95</v>
      </c>
      <c r="D185" s="9" t="str">
        <f>'B.kriteria &amp; R.kecocokan'!$B$23</f>
        <v>Banyak</v>
      </c>
      <c r="E185" s="111">
        <f>_xlfn.IFS(D185="Banyak",'B.kriteria &amp; R.kecocokan'!$C$23,D185="Cukup",'B.kriteria &amp; R.kecocokan'!$C$24,D185="Sedikit",'B.kriteria &amp; R.kecocokan'!$C$25)</f>
        <v>2.5</v>
      </c>
      <c r="F185" s="9" t="str">
        <f>'B.kriteria &amp; R.kecocokan'!$B$34</f>
        <v>Tinggi</v>
      </c>
      <c r="G185" s="8">
        <f>_xlfn.IFS(F185="Tinggi",'B.kriteria &amp; R.kecocokan'!$C$34,F185="Sangat Tinggi",'B.kriteria &amp; R.kecocokan'!$C$35)</f>
        <v>7.5</v>
      </c>
      <c r="H185" s="8" t="str">
        <f>'B.kriteria &amp; R.kecocokan'!$B$41</f>
        <v>Rendah</v>
      </c>
      <c r="I185" s="8">
        <f>_xlfn.IFS(H185="Rendah",'B.kriteria &amp; R.kecocokan'!$C$41,H185="Sedang",'B.kriteria &amp; R.kecocokan'!$C$42,H185="Tinggi",'B.kriteria &amp; R.kecocokan'!$C$43)</f>
        <v>2.5</v>
      </c>
      <c r="J185" s="8" t="str">
        <f>'B.kriteria &amp; R.kecocokan'!$B$72</f>
        <v>Rendah</v>
      </c>
      <c r="K185" s="8">
        <f>_xlfn.IFS(J185="Rendah",'B.kriteria &amp; R.kecocokan'!$C$72,J185="Sedang",'B.kriteria &amp; R.kecocokan'!$C$73,J185="Tinggi",'B.kriteria &amp; R.kecocokan'!$C$74)</f>
        <v>2.5</v>
      </c>
      <c r="L185" s="8" t="str">
        <f>'B.kriteria &amp; R.kecocokan'!$B$95</f>
        <v>Rendah</v>
      </c>
      <c r="M185" s="8">
        <f>_xlfn.IFS(L185="Rendah",'B.kriteria &amp; R.kecocokan'!$C$95,L185="Tinggi",'B.kriteria &amp; R.kecocokan'!$C$96)</f>
        <v>2.5</v>
      </c>
      <c r="N185" s="9" t="str">
        <f>'B.kriteria &amp; R.kecocokan'!$B$81</f>
        <v>Tinggi</v>
      </c>
      <c r="O185" s="8">
        <f>_xlfn.IFS(N185="Rendah",'B.kriteria &amp; R.kecocokan'!$C$80,N185="Tinggi",'B.kriteria &amp; R.kecocokan'!$C$81)</f>
        <v>7.5</v>
      </c>
      <c r="P185" s="9" t="str">
        <f>'B.kriteria &amp; R.kecocokan'!$B$90</f>
        <v>Sangat Sedikit</v>
      </c>
      <c r="Q185" s="8">
        <f>_xlfn.IFS(P185="Sedikit",'B.kriteria &amp; R.kecocokan'!$C$89,P185="Sedang",'B.kriteria &amp; R.kecocokan'!$C$88,P185="Sangat Sedikit",'B.kriteria &amp; R.kecocokan'!$C$90)</f>
        <v>1</v>
      </c>
      <c r="R185" s="8" t="str">
        <f>'B.kriteria &amp; R.kecocokan'!$B$49</f>
        <v>Rendah</v>
      </c>
      <c r="S185" s="8">
        <f>_xlfn.IFS(R185="Rendah",'B.kriteria &amp; R.kecocokan'!$C$49,R185="Sedang",'B.kriteria &amp; R.kecocokan'!$C$50,R185="Tinggi",'B.kriteria &amp; R.kecocokan'!$C$51)</f>
        <v>2.5</v>
      </c>
      <c r="T185" s="8" t="str">
        <f>'B.kriteria &amp; R.kecocokan'!$B$57</f>
        <v>Rendah</v>
      </c>
      <c r="U185" s="51">
        <f>_xlfn.IFS(T185="Rendah",'B.kriteria &amp; R.kecocokan'!$C$57,T185="Sedang",'B.kriteria &amp; R.kecocokan'!$C$58,T185="Tinggi",'B.kriteria &amp; R.kecocokan'!$C$59)</f>
        <v>2.5</v>
      </c>
      <c r="V185" s="51" t="str">
        <f>'B.kriteria &amp; R.kecocokan'!$B$65</f>
        <v>Rendah</v>
      </c>
      <c r="W185" s="9">
        <f>_xlfn.IFS(V185="Rendah",'B.kriteria &amp; R.kecocokan'!$C$65,V185="Sedang",'B.kriteria &amp; R.kecocokan'!$C$66,V185="Tinggi",'B.kriteria &amp; R.kecocokan'!$C$67)</f>
        <v>1</v>
      </c>
      <c r="X185" s="117">
        <f t="shared" si="17"/>
        <v>3.90158768391202</v>
      </c>
      <c r="Y185" s="117">
        <f t="shared" si="18"/>
        <v>7.3143694191638966</v>
      </c>
      <c r="Z185" s="119">
        <f t="shared" si="19"/>
        <v>3.90158768391202</v>
      </c>
      <c r="AA185" s="55" t="str">
        <f t="shared" si="20"/>
        <v>Layak</v>
      </c>
    </row>
    <row r="186" spans="1:27" x14ac:dyDescent="0.35">
      <c r="A186" s="5">
        <v>73</v>
      </c>
      <c r="B186" s="2" t="s">
        <v>227</v>
      </c>
      <c r="C186" s="11" t="s">
        <v>95</v>
      </c>
      <c r="D186" s="9" t="str">
        <f>'B.kriteria &amp; R.kecocokan'!$B$23</f>
        <v>Banyak</v>
      </c>
      <c r="E186" s="111">
        <f>_xlfn.IFS(D186="Banyak",'B.kriteria &amp; R.kecocokan'!$C$23,D186="Cukup",'B.kriteria &amp; R.kecocokan'!$C$24,D186="Sedikit",'B.kriteria &amp; R.kecocokan'!$C$25)</f>
        <v>2.5</v>
      </c>
      <c r="F186" s="9" t="str">
        <f>'B.kriteria &amp; R.kecocokan'!$B$35</f>
        <v>Sangat Tinggi</v>
      </c>
      <c r="G186" s="8">
        <f>_xlfn.IFS(F186="Tinggi",'B.kriteria &amp; R.kecocokan'!$C$34,F186="Sangat Tinggi",'B.kriteria &amp; R.kecocokan'!$C$35)</f>
        <v>10</v>
      </c>
      <c r="H186" s="8" t="str">
        <f>'B.kriteria &amp; R.kecocokan'!$B$41</f>
        <v>Rendah</v>
      </c>
      <c r="I186" s="8">
        <f>_xlfn.IFS(H186="Rendah",'B.kriteria &amp; R.kecocokan'!$C$41,H186="Sedang",'B.kriteria &amp; R.kecocokan'!$C$42,H186="Tinggi",'B.kriteria &amp; R.kecocokan'!$C$43)</f>
        <v>2.5</v>
      </c>
      <c r="J186" s="8" t="str">
        <f>'B.kriteria &amp; R.kecocokan'!$B$72</f>
        <v>Rendah</v>
      </c>
      <c r="K186" s="8">
        <f>_xlfn.IFS(J186="Rendah",'B.kriteria &amp; R.kecocokan'!$C$72,J186="Sedang",'B.kriteria &amp; R.kecocokan'!$C$73,J186="Tinggi",'B.kriteria &amp; R.kecocokan'!$C$74)</f>
        <v>2.5</v>
      </c>
      <c r="L186" s="8" t="str">
        <f>'B.kriteria &amp; R.kecocokan'!$B$95</f>
        <v>Rendah</v>
      </c>
      <c r="M186" s="8">
        <f>_xlfn.IFS(L186="Rendah",'B.kriteria &amp; R.kecocokan'!$C$95,L186="Tinggi",'B.kriteria &amp; R.kecocokan'!$C$96)</f>
        <v>2.5</v>
      </c>
      <c r="N186" s="8" t="str">
        <f>'B.kriteria &amp; R.kecocokan'!$B$80</f>
        <v>Rendah</v>
      </c>
      <c r="O186" s="8">
        <f>_xlfn.IFS(N186="Rendah",'B.kriteria &amp; R.kecocokan'!$C$80,N186="Tinggi",'B.kriteria &amp; R.kecocokan'!$C$81)</f>
        <v>2.5</v>
      </c>
      <c r="P186" s="9" t="str">
        <f>'B.kriteria &amp; R.kecocokan'!$B$90</f>
        <v>Sangat Sedikit</v>
      </c>
      <c r="Q186" s="8">
        <f>_xlfn.IFS(P186="Sedikit",'B.kriteria &amp; R.kecocokan'!$C$89,P186="Sedang",'B.kriteria &amp; R.kecocokan'!$C$88,P186="Sangat Sedikit",'B.kriteria &amp; R.kecocokan'!$C$90)</f>
        <v>1</v>
      </c>
      <c r="R186" s="9" t="str">
        <f>'B.kriteria &amp; R.kecocokan'!$B$51</f>
        <v>Tinggi</v>
      </c>
      <c r="S186" s="8">
        <f>_xlfn.IFS(R186="Rendah",'B.kriteria &amp; R.kecocokan'!$C$49,R186="Sedang",'B.kriteria &amp; R.kecocokan'!$C$50,R186="Tinggi",'B.kriteria &amp; R.kecocokan'!$C$51)</f>
        <v>7.5</v>
      </c>
      <c r="T186" s="8" t="str">
        <f>'B.kriteria &amp; R.kecocokan'!$B$57</f>
        <v>Rendah</v>
      </c>
      <c r="U186" s="51">
        <f>_xlfn.IFS(T186="Rendah",'B.kriteria &amp; R.kecocokan'!$C$57,T186="Sedang",'B.kriteria &amp; R.kecocokan'!$C$58,T186="Tinggi",'B.kriteria &amp; R.kecocokan'!$C$59)</f>
        <v>2.5</v>
      </c>
      <c r="V186" s="51" t="str">
        <f>'B.kriteria &amp; R.kecocokan'!$B$65</f>
        <v>Rendah</v>
      </c>
      <c r="W186" s="9">
        <f>_xlfn.IFS(V186="Rendah",'B.kriteria &amp; R.kecocokan'!$C$65,V186="Sedang",'B.kriteria &amp; R.kecocokan'!$C$66,V186="Tinggi",'B.kriteria &amp; R.kecocokan'!$C$67)</f>
        <v>1</v>
      </c>
      <c r="X186" s="117">
        <f t="shared" si="17"/>
        <v>6.6342573104916083</v>
      </c>
      <c r="Y186" s="117">
        <f t="shared" si="18"/>
        <v>6.8738635424337602</v>
      </c>
      <c r="Z186" s="119">
        <f t="shared" si="19"/>
        <v>6.6342573104916083</v>
      </c>
      <c r="AA186" s="55" t="str">
        <f t="shared" si="20"/>
        <v>Layak</v>
      </c>
    </row>
    <row r="187" spans="1:27" x14ac:dyDescent="0.35">
      <c r="A187" s="1">
        <v>74</v>
      </c>
      <c r="B187" s="2" t="s">
        <v>245</v>
      </c>
      <c r="C187" s="11" t="s">
        <v>95</v>
      </c>
      <c r="D187" s="32" t="str">
        <f>'B.kriteria &amp; R.kecocokan'!$B$24</f>
        <v>Cukup</v>
      </c>
      <c r="E187" s="111">
        <f>_xlfn.IFS(D187="Banyak",'B.kriteria &amp; R.kecocokan'!$C$23,D187="Cukup",'B.kriteria &amp; R.kecocokan'!$C$24,D187="Sedikit",'B.kriteria &amp; R.kecocokan'!$C$25)</f>
        <v>5</v>
      </c>
      <c r="F187" s="9" t="str">
        <f>'B.kriteria &amp; R.kecocokan'!$B$34</f>
        <v>Tinggi</v>
      </c>
      <c r="G187" s="8">
        <f>_xlfn.IFS(F187="Tinggi",'B.kriteria &amp; R.kecocokan'!$C$34,F187="Sangat Tinggi",'B.kriteria &amp; R.kecocokan'!$C$35)</f>
        <v>7.5</v>
      </c>
      <c r="H187" s="8" t="str">
        <f>'B.kriteria &amp; R.kecocokan'!$B$41</f>
        <v>Rendah</v>
      </c>
      <c r="I187" s="8">
        <f>_xlfn.IFS(H187="Rendah",'B.kriteria &amp; R.kecocokan'!$C$41,H187="Sedang",'B.kriteria &amp; R.kecocokan'!$C$42,H187="Tinggi",'B.kriteria &amp; R.kecocokan'!$C$43)</f>
        <v>2.5</v>
      </c>
      <c r="J187" s="8" t="str">
        <f>'B.kriteria &amp; R.kecocokan'!$B$72</f>
        <v>Rendah</v>
      </c>
      <c r="K187" s="8">
        <f>_xlfn.IFS(J187="Rendah",'B.kriteria &amp; R.kecocokan'!$C$72,J187="Sedang",'B.kriteria &amp; R.kecocokan'!$C$73,J187="Tinggi",'B.kriteria &amp; R.kecocokan'!$C$74)</f>
        <v>2.5</v>
      </c>
      <c r="L187" s="8" t="str">
        <f>'B.kriteria &amp; R.kecocokan'!$B$95</f>
        <v>Rendah</v>
      </c>
      <c r="M187" s="8">
        <f>_xlfn.IFS(L187="Rendah",'B.kriteria &amp; R.kecocokan'!$C$95,L187="Tinggi",'B.kriteria &amp; R.kecocokan'!$C$96)</f>
        <v>2.5</v>
      </c>
      <c r="N187" s="8" t="str">
        <f>'B.kriteria &amp; R.kecocokan'!$B$80</f>
        <v>Rendah</v>
      </c>
      <c r="O187" s="8">
        <f>_xlfn.IFS(N187="Rendah",'B.kriteria &amp; R.kecocokan'!$C$80,N187="Tinggi",'B.kriteria &amp; R.kecocokan'!$C$81)</f>
        <v>2.5</v>
      </c>
      <c r="P187" s="8" t="str">
        <f>'B.kriteria &amp; R.kecocokan'!$B$89</f>
        <v>Sedikit</v>
      </c>
      <c r="Q187" s="8">
        <f>_xlfn.IFS(P187="Sedikit",'B.kriteria &amp; R.kecocokan'!$C$89,P187="Sedang",'B.kriteria &amp; R.kecocokan'!$C$88,P187="Sangat Sedikit",'B.kriteria &amp; R.kecocokan'!$C$90)</f>
        <v>2.5</v>
      </c>
      <c r="R187" s="8" t="str">
        <f>'B.kriteria &amp; R.kecocokan'!$B$49</f>
        <v>Rendah</v>
      </c>
      <c r="S187" s="8">
        <f>_xlfn.IFS(R187="Rendah",'B.kriteria &amp; R.kecocokan'!$C$49,R187="Sedang",'B.kriteria &amp; R.kecocokan'!$C$50,R187="Tinggi",'B.kriteria &amp; R.kecocokan'!$C$51)</f>
        <v>2.5</v>
      </c>
      <c r="T187" s="8" t="str">
        <f>'B.kriteria &amp; R.kecocokan'!$B$57</f>
        <v>Rendah</v>
      </c>
      <c r="U187" s="51">
        <f>_xlfn.IFS(T187="Rendah",'B.kriteria &amp; R.kecocokan'!$C$57,T187="Sedang",'B.kriteria &amp; R.kecocokan'!$C$58,T187="Tinggi",'B.kriteria &amp; R.kecocokan'!$C$59)</f>
        <v>2.5</v>
      </c>
      <c r="V187" s="51" t="str">
        <f>'B.kriteria &amp; R.kecocokan'!$B$65</f>
        <v>Rendah</v>
      </c>
      <c r="W187" s="9">
        <f>_xlfn.IFS(V187="Rendah",'B.kriteria &amp; R.kecocokan'!$C$65,V187="Sedang",'B.kriteria &amp; R.kecocokan'!$C$66,V187="Tinggi",'B.kriteria &amp; R.kecocokan'!$C$67)</f>
        <v>1</v>
      </c>
      <c r="X187" s="117">
        <f t="shared" si="17"/>
        <v>3.1779609241747817</v>
      </c>
      <c r="Y187" s="117">
        <f t="shared" si="18"/>
        <v>3.5355339059327378</v>
      </c>
      <c r="Z187" s="119">
        <f t="shared" si="19"/>
        <v>3.1779609241747817</v>
      </c>
      <c r="AA187" s="55" t="str">
        <f t="shared" si="20"/>
        <v>Layak</v>
      </c>
    </row>
    <row r="188" spans="1:27" x14ac:dyDescent="0.35">
      <c r="A188" s="5">
        <v>75</v>
      </c>
      <c r="B188" s="2" t="s">
        <v>155</v>
      </c>
      <c r="C188" s="11" t="s">
        <v>95</v>
      </c>
      <c r="D188" s="32" t="str">
        <f>'B.kriteria &amp; R.kecocokan'!$B$24</f>
        <v>Cukup</v>
      </c>
      <c r="E188" s="111">
        <f>_xlfn.IFS(D188="Banyak",'B.kriteria &amp; R.kecocokan'!$C$23,D188="Cukup",'B.kriteria &amp; R.kecocokan'!$C$24,D188="Sedikit",'B.kriteria &amp; R.kecocokan'!$C$25)</f>
        <v>5</v>
      </c>
      <c r="F188" s="9" t="str">
        <f>'B.kriteria &amp; R.kecocokan'!$B$34</f>
        <v>Tinggi</v>
      </c>
      <c r="G188" s="8">
        <f>_xlfn.IFS(F188="Tinggi",'B.kriteria &amp; R.kecocokan'!$C$34,F188="Sangat Tinggi",'B.kriteria &amp; R.kecocokan'!$C$35)</f>
        <v>7.5</v>
      </c>
      <c r="H188" s="9" t="str">
        <f>'B.kriteria &amp; R.kecocokan'!$B$43</f>
        <v>Tinggi</v>
      </c>
      <c r="I188" s="8">
        <f>_xlfn.IFS(H188="Rendah",'B.kriteria &amp; R.kecocokan'!$C$41,H188="Sedang",'B.kriteria &amp; R.kecocokan'!$C$42,H188="Tinggi",'B.kriteria &amp; R.kecocokan'!$C$43)</f>
        <v>7.5</v>
      </c>
      <c r="J188" s="8" t="str">
        <f>'B.kriteria &amp; R.kecocokan'!$B$72</f>
        <v>Rendah</v>
      </c>
      <c r="K188" s="8">
        <f>_xlfn.IFS(J188="Rendah",'B.kriteria &amp; R.kecocokan'!$C$72,J188="Sedang",'B.kriteria &amp; R.kecocokan'!$C$73,J188="Tinggi",'B.kriteria &amp; R.kecocokan'!$C$74)</f>
        <v>2.5</v>
      </c>
      <c r="L188" s="8" t="str">
        <f>'B.kriteria &amp; R.kecocokan'!$B$95</f>
        <v>Rendah</v>
      </c>
      <c r="M188" s="8">
        <f>_xlfn.IFS(L188="Rendah",'B.kriteria &amp; R.kecocokan'!$C$95,L188="Tinggi",'B.kriteria &amp; R.kecocokan'!$C$96)</f>
        <v>2.5</v>
      </c>
      <c r="N188" s="8" t="str">
        <f>'B.kriteria &amp; R.kecocokan'!$B$80</f>
        <v>Rendah</v>
      </c>
      <c r="O188" s="8">
        <f>_xlfn.IFS(N188="Rendah",'B.kriteria &amp; R.kecocokan'!$C$80,N188="Tinggi",'B.kriteria &amp; R.kecocokan'!$C$81)</f>
        <v>2.5</v>
      </c>
      <c r="P188" s="9" t="str">
        <f>'B.kriteria &amp; R.kecocokan'!$B$88</f>
        <v>Sedang</v>
      </c>
      <c r="Q188" s="8">
        <f>_xlfn.IFS(P188="Sedikit",'B.kriteria &amp; R.kecocokan'!$C$89,P188="Sedang",'B.kriteria &amp; R.kecocokan'!$C$88,P188="Sangat Sedikit",'B.kriteria &amp; R.kecocokan'!$C$90)</f>
        <v>5</v>
      </c>
      <c r="R188" s="8" t="str">
        <f>'B.kriteria &amp; R.kecocokan'!$B$49</f>
        <v>Rendah</v>
      </c>
      <c r="S188" s="8">
        <f>_xlfn.IFS(R188="Rendah",'B.kriteria &amp; R.kecocokan'!$C$49,R188="Sedang",'B.kriteria &amp; R.kecocokan'!$C$50,R188="Tinggi",'B.kriteria &amp; R.kecocokan'!$C$51)</f>
        <v>2.5</v>
      </c>
      <c r="T188" s="8" t="str">
        <f>'B.kriteria &amp; R.kecocokan'!$B$57</f>
        <v>Rendah</v>
      </c>
      <c r="U188" s="51">
        <f>_xlfn.IFS(T188="Rendah",'B.kriteria &amp; R.kecocokan'!$C$57,T188="Sedang",'B.kriteria &amp; R.kecocokan'!$C$58,T188="Tinggi",'B.kriteria &amp; R.kecocokan'!$C$59)</f>
        <v>2.5</v>
      </c>
      <c r="V188" s="51" t="str">
        <f>'B.kriteria &amp; R.kecocokan'!$B$65</f>
        <v>Rendah</v>
      </c>
      <c r="W188" s="9">
        <f>_xlfn.IFS(V188="Rendah",'B.kriteria &amp; R.kecocokan'!$C$65,V188="Sedang",'B.kriteria &amp; R.kecocokan'!$C$66,V188="Tinggi",'B.kriteria &amp; R.kecocokan'!$C$67)</f>
        <v>1</v>
      </c>
      <c r="X188" s="117">
        <f t="shared" si="17"/>
        <v>6.5221131717983667</v>
      </c>
      <c r="Y188" s="117">
        <f t="shared" si="18"/>
        <v>5.5901699437494745</v>
      </c>
      <c r="Z188" s="119">
        <f t="shared" si="19"/>
        <v>5.5901699437494745</v>
      </c>
      <c r="AA188" s="55" t="str">
        <f t="shared" si="20"/>
        <v>Tidak Layak</v>
      </c>
    </row>
    <row r="189" spans="1:27" x14ac:dyDescent="0.35">
      <c r="A189" s="5">
        <v>76</v>
      </c>
      <c r="B189" s="2" t="s">
        <v>152</v>
      </c>
      <c r="C189" s="11" t="s">
        <v>95</v>
      </c>
      <c r="D189" s="9" t="str">
        <f>'B.kriteria &amp; R.kecocokan'!$B$23</f>
        <v>Banyak</v>
      </c>
      <c r="E189" s="111">
        <f>_xlfn.IFS(D189="Banyak",'B.kriteria &amp; R.kecocokan'!$C$23,D189="Cukup",'B.kriteria &amp; R.kecocokan'!$C$24,D189="Sedikit",'B.kriteria &amp; R.kecocokan'!$C$25)</f>
        <v>2.5</v>
      </c>
      <c r="F189" s="9" t="str">
        <f>'B.kriteria &amp; R.kecocokan'!$B$34</f>
        <v>Tinggi</v>
      </c>
      <c r="G189" s="8">
        <f>_xlfn.IFS(F189="Tinggi",'B.kriteria &amp; R.kecocokan'!$C$34,F189="Sangat Tinggi",'B.kriteria &amp; R.kecocokan'!$C$35)</f>
        <v>7.5</v>
      </c>
      <c r="H189" s="8" t="str">
        <f>'B.kriteria &amp; R.kecocokan'!$B$41</f>
        <v>Rendah</v>
      </c>
      <c r="I189" s="8">
        <f>_xlfn.IFS(H189="Rendah",'B.kriteria &amp; R.kecocokan'!$C$41,H189="Sedang",'B.kriteria &amp; R.kecocokan'!$C$42,H189="Tinggi",'B.kriteria &amp; R.kecocokan'!$C$43)</f>
        <v>2.5</v>
      </c>
      <c r="J189" s="8" t="str">
        <f>'B.kriteria &amp; R.kecocokan'!$B$72</f>
        <v>Rendah</v>
      </c>
      <c r="K189" s="8">
        <f>_xlfn.IFS(J189="Rendah",'B.kriteria &amp; R.kecocokan'!$C$72,J189="Sedang",'B.kriteria &amp; R.kecocokan'!$C$73,J189="Tinggi",'B.kriteria &amp; R.kecocokan'!$C$74)</f>
        <v>2.5</v>
      </c>
      <c r="L189" s="8" t="str">
        <f>'B.kriteria &amp; R.kecocokan'!$B$95</f>
        <v>Rendah</v>
      </c>
      <c r="M189" s="8">
        <f>_xlfn.IFS(L189="Rendah",'B.kriteria &amp; R.kecocokan'!$C$95,L189="Tinggi",'B.kriteria &amp; R.kecocokan'!$C$96)</f>
        <v>2.5</v>
      </c>
      <c r="N189" s="9" t="str">
        <f>'B.kriteria &amp; R.kecocokan'!$B$81</f>
        <v>Tinggi</v>
      </c>
      <c r="O189" s="8">
        <f>_xlfn.IFS(N189="Rendah",'B.kriteria &amp; R.kecocokan'!$C$80,N189="Tinggi",'B.kriteria &amp; R.kecocokan'!$C$81)</f>
        <v>7.5</v>
      </c>
      <c r="P189" s="9" t="str">
        <f>'B.kriteria &amp; R.kecocokan'!$B$88</f>
        <v>Sedang</v>
      </c>
      <c r="Q189" s="8">
        <f>_xlfn.IFS(P189="Sedikit",'B.kriteria &amp; R.kecocokan'!$C$89,P189="Sedang",'B.kriteria &amp; R.kecocokan'!$C$88,P189="Sangat Sedikit",'B.kriteria &amp; R.kecocokan'!$C$90)</f>
        <v>5</v>
      </c>
      <c r="R189" s="8" t="str">
        <f>'B.kriteria &amp; R.kecocokan'!$B$49</f>
        <v>Rendah</v>
      </c>
      <c r="S189" s="8">
        <f>_xlfn.IFS(R189="Rendah",'B.kriteria &amp; R.kecocokan'!$C$49,R189="Sedang",'B.kriteria &amp; R.kecocokan'!$C$50,R189="Tinggi",'B.kriteria &amp; R.kecocokan'!$C$51)</f>
        <v>2.5</v>
      </c>
      <c r="T189" s="8" t="str">
        <f>'B.kriteria &amp; R.kecocokan'!$B$57</f>
        <v>Rendah</v>
      </c>
      <c r="U189" s="51">
        <f>_xlfn.IFS(T189="Rendah",'B.kriteria &amp; R.kecocokan'!$C$57,T189="Sedang",'B.kriteria &amp; R.kecocokan'!$C$58,T189="Tinggi",'B.kriteria &amp; R.kecocokan'!$C$59)</f>
        <v>2.5</v>
      </c>
      <c r="V189" s="51" t="str">
        <f>'B.kriteria &amp; R.kecocokan'!$B$65</f>
        <v>Rendah</v>
      </c>
      <c r="W189" s="9">
        <f>_xlfn.IFS(V189="Rendah",'B.kriteria &amp; R.kecocokan'!$C$65,V189="Sedang",'B.kriteria &amp; R.kecocokan'!$C$66,V189="Tinggi",'B.kriteria &amp; R.kecocokan'!$C$67)</f>
        <v>1</v>
      </c>
      <c r="X189" s="117">
        <f t="shared" si="17"/>
        <v>5.2613118942614108</v>
      </c>
      <c r="Y189" s="117">
        <f t="shared" si="18"/>
        <v>6.1237243569579451</v>
      </c>
      <c r="Z189" s="119">
        <f t="shared" si="19"/>
        <v>5.2613118942614108</v>
      </c>
      <c r="AA189" s="55" t="str">
        <f t="shared" si="20"/>
        <v>Layak</v>
      </c>
    </row>
    <row r="190" spans="1:27" x14ac:dyDescent="0.35">
      <c r="A190" s="1">
        <v>77</v>
      </c>
      <c r="B190" s="2" t="s">
        <v>157</v>
      </c>
      <c r="C190" s="11" t="s">
        <v>95</v>
      </c>
      <c r="D190" s="32" t="str">
        <f>'B.kriteria &amp; R.kecocokan'!$B$24</f>
        <v>Cukup</v>
      </c>
      <c r="E190" s="111">
        <f>_xlfn.IFS(D190="Banyak",'B.kriteria &amp; R.kecocokan'!$C$23,D190="Cukup",'B.kriteria &amp; R.kecocokan'!$C$24,D190="Sedikit",'B.kriteria &amp; R.kecocokan'!$C$25)</f>
        <v>5</v>
      </c>
      <c r="F190" s="9" t="str">
        <f>'B.kriteria &amp; R.kecocokan'!$B$34</f>
        <v>Tinggi</v>
      </c>
      <c r="G190" s="8">
        <f>_xlfn.IFS(F190="Tinggi",'B.kriteria &amp; R.kecocokan'!$C$34,F190="Sangat Tinggi",'B.kriteria &amp; R.kecocokan'!$C$35)</f>
        <v>7.5</v>
      </c>
      <c r="H190" s="8" t="str">
        <f>'B.kriteria &amp; R.kecocokan'!$B$41</f>
        <v>Rendah</v>
      </c>
      <c r="I190" s="8">
        <f>_xlfn.IFS(H190="Rendah",'B.kriteria &amp; R.kecocokan'!$C$41,H190="Sedang",'B.kriteria &amp; R.kecocokan'!$C$42,H190="Tinggi",'B.kriteria &amp; R.kecocokan'!$C$43)</f>
        <v>2.5</v>
      </c>
      <c r="J190" s="8" t="str">
        <f>'B.kriteria &amp; R.kecocokan'!$B$72</f>
        <v>Rendah</v>
      </c>
      <c r="K190" s="8">
        <f>_xlfn.IFS(J190="Rendah",'B.kriteria &amp; R.kecocokan'!$C$72,J190="Sedang",'B.kriteria &amp; R.kecocokan'!$C$73,J190="Tinggi",'B.kriteria &amp; R.kecocokan'!$C$74)</f>
        <v>2.5</v>
      </c>
      <c r="L190" s="8" t="str">
        <f>'B.kriteria &amp; R.kecocokan'!$B$95</f>
        <v>Rendah</v>
      </c>
      <c r="M190" s="8">
        <f>_xlfn.IFS(L190="Rendah",'B.kriteria &amp; R.kecocokan'!$C$95,L190="Tinggi",'B.kriteria &amp; R.kecocokan'!$C$96)</f>
        <v>2.5</v>
      </c>
      <c r="N190" s="9" t="str">
        <f>'B.kriteria &amp; R.kecocokan'!$B$81</f>
        <v>Tinggi</v>
      </c>
      <c r="O190" s="8">
        <f>_xlfn.IFS(N190="Rendah",'B.kriteria &amp; R.kecocokan'!$C$80,N190="Tinggi",'B.kriteria &amp; R.kecocokan'!$C$81)</f>
        <v>7.5</v>
      </c>
      <c r="P190" s="9" t="str">
        <f>'B.kriteria &amp; R.kecocokan'!$B$90</f>
        <v>Sangat Sedikit</v>
      </c>
      <c r="Q190" s="8">
        <f>_xlfn.IFS(P190="Sedikit",'B.kriteria &amp; R.kecocokan'!$C$89,P190="Sedang",'B.kriteria &amp; R.kecocokan'!$C$88,P190="Sangat Sedikit",'B.kriteria &amp; R.kecocokan'!$C$90)</f>
        <v>1</v>
      </c>
      <c r="R190" s="8" t="str">
        <f>'B.kriteria &amp; R.kecocokan'!$B$49</f>
        <v>Rendah</v>
      </c>
      <c r="S190" s="8">
        <f>_xlfn.IFS(R190="Rendah",'B.kriteria &amp; R.kecocokan'!$C$49,R190="Sedang",'B.kriteria &amp; R.kecocokan'!$C$50,R190="Tinggi",'B.kriteria &amp; R.kecocokan'!$C$51)</f>
        <v>2.5</v>
      </c>
      <c r="T190" s="8" t="str">
        <f>'B.kriteria &amp; R.kecocokan'!$B$57</f>
        <v>Rendah</v>
      </c>
      <c r="U190" s="51">
        <f>_xlfn.IFS(T190="Rendah",'B.kriteria &amp; R.kecocokan'!$C$57,T190="Sedang",'B.kriteria &amp; R.kecocokan'!$C$58,T190="Tinggi",'B.kriteria &amp; R.kecocokan'!$C$59)</f>
        <v>2.5</v>
      </c>
      <c r="V190" s="51" t="str">
        <f>'B.kriteria &amp; R.kecocokan'!$B$65</f>
        <v>Rendah</v>
      </c>
      <c r="W190" s="9">
        <f>_xlfn.IFS(V190="Rendah",'B.kriteria &amp; R.kecocokan'!$C$65,V190="Sedang",'B.kriteria &amp; R.kecocokan'!$C$66,V190="Tinggi",'B.kriteria &amp; R.kecocokan'!$C$67)</f>
        <v>1</v>
      </c>
      <c r="X190" s="117">
        <f t="shared" si="17"/>
        <v>2.5116631997591665</v>
      </c>
      <c r="Y190" s="117">
        <f t="shared" si="18"/>
        <v>6.8738635424337602</v>
      </c>
      <c r="Z190" s="119">
        <f t="shared" si="19"/>
        <v>2.5116631997591665</v>
      </c>
      <c r="AA190" s="55" t="str">
        <f t="shared" si="20"/>
        <v>Layak</v>
      </c>
    </row>
    <row r="191" spans="1:27" x14ac:dyDescent="0.35">
      <c r="A191" s="5">
        <v>78</v>
      </c>
      <c r="B191" s="2" t="s">
        <v>146</v>
      </c>
      <c r="C191" s="11" t="s">
        <v>235</v>
      </c>
      <c r="D191" s="32" t="str">
        <f>'B.kriteria &amp; R.kecocokan'!$B$24</f>
        <v>Cukup</v>
      </c>
      <c r="E191" s="111">
        <f>_xlfn.IFS(D191="Banyak",'B.kriteria &amp; R.kecocokan'!$C$23,D191="Cukup",'B.kriteria &amp; R.kecocokan'!$C$24,D191="Sedikit",'B.kriteria &amp; R.kecocokan'!$C$25)</f>
        <v>5</v>
      </c>
      <c r="F191" s="9" t="str">
        <f>'B.kriteria &amp; R.kecocokan'!$B$34</f>
        <v>Tinggi</v>
      </c>
      <c r="G191" s="8">
        <f>_xlfn.IFS(F191="Tinggi",'B.kriteria &amp; R.kecocokan'!$C$34,F191="Sangat Tinggi",'B.kriteria &amp; R.kecocokan'!$C$35)</f>
        <v>7.5</v>
      </c>
      <c r="H191" s="9" t="str">
        <f>'B.kriteria &amp; R.kecocokan'!$B$43</f>
        <v>Tinggi</v>
      </c>
      <c r="I191" s="8">
        <f>_xlfn.IFS(H191="Rendah",'B.kriteria &amp; R.kecocokan'!$C$41,H191="Sedang",'B.kriteria &amp; R.kecocokan'!$C$42,H191="Tinggi",'B.kriteria &amp; R.kecocokan'!$C$43)</f>
        <v>7.5</v>
      </c>
      <c r="J191" s="8" t="str">
        <f>'B.kriteria &amp; R.kecocokan'!$B$72</f>
        <v>Rendah</v>
      </c>
      <c r="K191" s="8">
        <f>_xlfn.IFS(J191="Rendah",'B.kriteria &amp; R.kecocokan'!$C$72,J191="Sedang",'B.kriteria &amp; R.kecocokan'!$C$73,J191="Tinggi",'B.kriteria &amp; R.kecocokan'!$C$74)</f>
        <v>2.5</v>
      </c>
      <c r="L191" s="8" t="str">
        <f>'B.kriteria &amp; R.kecocokan'!$B$95</f>
        <v>Rendah</v>
      </c>
      <c r="M191" s="8">
        <f>_xlfn.IFS(L191="Rendah",'B.kriteria &amp; R.kecocokan'!$C$95,L191="Tinggi",'B.kriteria &amp; R.kecocokan'!$C$96)</f>
        <v>2.5</v>
      </c>
      <c r="N191" s="8" t="str">
        <f>'B.kriteria &amp; R.kecocokan'!$B$80</f>
        <v>Rendah</v>
      </c>
      <c r="O191" s="8">
        <f>_xlfn.IFS(N191="Rendah",'B.kriteria &amp; R.kecocokan'!$C$80,N191="Tinggi",'B.kriteria &amp; R.kecocokan'!$C$81)</f>
        <v>2.5</v>
      </c>
      <c r="P191" s="9" t="str">
        <f>'B.kriteria &amp; R.kecocokan'!$B$90</f>
        <v>Sangat Sedikit</v>
      </c>
      <c r="Q191" s="8">
        <f>_xlfn.IFS(P191="Sedikit",'B.kriteria &amp; R.kecocokan'!$C$89,P191="Sedang",'B.kriteria &amp; R.kecocokan'!$C$88,P191="Sangat Sedikit",'B.kriteria &amp; R.kecocokan'!$C$90)</f>
        <v>1</v>
      </c>
      <c r="R191" s="8" t="str">
        <f>'B.kriteria &amp; R.kecocokan'!$B$49</f>
        <v>Rendah</v>
      </c>
      <c r="S191" s="8">
        <f>_xlfn.IFS(R191="Rendah",'B.kriteria &amp; R.kecocokan'!$C$49,R191="Sedang",'B.kriteria &amp; R.kecocokan'!$C$50,R191="Tinggi",'B.kriteria &amp; R.kecocokan'!$C$51)</f>
        <v>2.5</v>
      </c>
      <c r="T191" s="8" t="str">
        <f>'B.kriteria &amp; R.kecocokan'!$B$57</f>
        <v>Rendah</v>
      </c>
      <c r="U191" s="51">
        <f>_xlfn.IFS(T191="Rendah",'B.kriteria &amp; R.kecocokan'!$C$57,T191="Sedang",'B.kriteria &amp; R.kecocokan'!$C$58,T191="Tinggi",'B.kriteria &amp; R.kecocokan'!$C$59)</f>
        <v>2.5</v>
      </c>
      <c r="V191" s="51" t="str">
        <f>'B.kriteria &amp; R.kecocokan'!$B$65</f>
        <v>Rendah</v>
      </c>
      <c r="W191" s="9">
        <f>_xlfn.IFS(V191="Rendah",'B.kriteria &amp; R.kecocokan'!$C$65,V191="Sedang",'B.kriteria &amp; R.kecocokan'!$C$66,V191="Tinggi",'B.kriteria &amp; R.kecocokan'!$C$67)</f>
        <v>1</v>
      </c>
      <c r="X191" s="117">
        <f t="shared" si="17"/>
        <v>5.4844273932930454</v>
      </c>
      <c r="Y191" s="117">
        <f t="shared" si="18"/>
        <v>6.8738635424337602</v>
      </c>
      <c r="Z191" s="119">
        <f t="shared" si="19"/>
        <v>5.4844273932930454</v>
      </c>
      <c r="AA191" s="55" t="str">
        <f t="shared" si="20"/>
        <v>Layak</v>
      </c>
    </row>
    <row r="192" spans="1:27" x14ac:dyDescent="0.35">
      <c r="A192" s="5">
        <v>79</v>
      </c>
      <c r="B192" s="2" t="s">
        <v>173</v>
      </c>
      <c r="C192" s="11" t="s">
        <v>95</v>
      </c>
      <c r="D192" s="28" t="str">
        <f>'B.kriteria &amp; R.kecocokan'!$B$25</f>
        <v>Sedikit</v>
      </c>
      <c r="E192" s="111">
        <f>_xlfn.IFS(D192="Banyak",'B.kriteria &amp; R.kecocokan'!$C$23,D192="Cukup",'B.kriteria &amp; R.kecocokan'!$C$24,D192="Sedikit",'B.kriteria &amp; R.kecocokan'!$C$25)</f>
        <v>7.5</v>
      </c>
      <c r="F192" s="9" t="str">
        <f>'B.kriteria &amp; R.kecocokan'!$B$34</f>
        <v>Tinggi</v>
      </c>
      <c r="G192" s="8">
        <f>_xlfn.IFS(F192="Tinggi",'B.kriteria &amp; R.kecocokan'!$C$34,F192="Sangat Tinggi",'B.kriteria &amp; R.kecocokan'!$C$35)</f>
        <v>7.5</v>
      </c>
      <c r="H192" s="8" t="str">
        <f>'B.kriteria &amp; R.kecocokan'!$B$41</f>
        <v>Rendah</v>
      </c>
      <c r="I192" s="8">
        <f>_xlfn.IFS(H192="Rendah",'B.kriteria &amp; R.kecocokan'!$C$41,H192="Sedang",'B.kriteria &amp; R.kecocokan'!$C$42,H192="Tinggi",'B.kriteria &amp; R.kecocokan'!$C$43)</f>
        <v>2.5</v>
      </c>
      <c r="J192" s="8" t="str">
        <f>'B.kriteria &amp; R.kecocokan'!$B$72</f>
        <v>Rendah</v>
      </c>
      <c r="K192" s="8">
        <f>_xlfn.IFS(J192="Rendah",'B.kriteria &amp; R.kecocokan'!$C$72,J192="Sedang",'B.kriteria &amp; R.kecocokan'!$C$73,J192="Tinggi",'B.kriteria &amp; R.kecocokan'!$C$74)</f>
        <v>2.5</v>
      </c>
      <c r="L192" s="8" t="str">
        <f>'B.kriteria &amp; R.kecocokan'!$B$95</f>
        <v>Rendah</v>
      </c>
      <c r="M192" s="8">
        <f>_xlfn.IFS(L192="Rendah",'B.kriteria &amp; R.kecocokan'!$C$95,L192="Tinggi",'B.kriteria &amp; R.kecocokan'!$C$96)</f>
        <v>2.5</v>
      </c>
      <c r="N192" s="9" t="str">
        <f>'B.kriteria &amp; R.kecocokan'!$B$81</f>
        <v>Tinggi</v>
      </c>
      <c r="O192" s="8">
        <f>_xlfn.IFS(N192="Rendah",'B.kriteria &amp; R.kecocokan'!$C$80,N192="Tinggi",'B.kriteria &amp; R.kecocokan'!$C$81)</f>
        <v>7.5</v>
      </c>
      <c r="P192" s="9" t="str">
        <f>'B.kriteria &amp; R.kecocokan'!$B$90</f>
        <v>Sangat Sedikit</v>
      </c>
      <c r="Q192" s="8">
        <f>_xlfn.IFS(P192="Sedikit",'B.kriteria &amp; R.kecocokan'!$C$89,P192="Sedang",'B.kriteria &amp; R.kecocokan'!$C$88,P192="Sangat Sedikit",'B.kriteria &amp; R.kecocokan'!$C$90)</f>
        <v>1</v>
      </c>
      <c r="R192" s="8" t="str">
        <f>'B.kriteria &amp; R.kecocokan'!$B$49</f>
        <v>Rendah</v>
      </c>
      <c r="S192" s="8">
        <f>_xlfn.IFS(R192="Rendah",'B.kriteria &amp; R.kecocokan'!$C$49,R192="Sedang",'B.kriteria &amp; R.kecocokan'!$C$50,R192="Tinggi",'B.kriteria &amp; R.kecocokan'!$C$51)</f>
        <v>2.5</v>
      </c>
      <c r="T192" s="9" t="str">
        <f>'B.kriteria &amp; R.kecocokan'!$B$58</f>
        <v>Sedang</v>
      </c>
      <c r="U192" s="51">
        <f>_xlfn.IFS(T192="Rendah",'B.kriteria &amp; R.kecocokan'!$C$57,T192="Sedang",'B.kriteria &amp; R.kecocokan'!$C$58,T192="Tinggi",'B.kriteria &amp; R.kecocokan'!$C$59)</f>
        <v>5</v>
      </c>
      <c r="V192" s="51" t="str">
        <f>'B.kriteria &amp; R.kecocokan'!$B$65</f>
        <v>Rendah</v>
      </c>
      <c r="W192" s="9">
        <f>_xlfn.IFS(V192="Rendah",'B.kriteria &amp; R.kecocokan'!$C$65,V192="Sedang",'B.kriteria &amp; R.kecocokan'!$C$66,V192="Tinggi",'B.kriteria &amp; R.kecocokan'!$C$67)</f>
        <v>1</v>
      </c>
      <c r="X192" s="117">
        <f t="shared" si="17"/>
        <v>3.5582173971551962</v>
      </c>
      <c r="Y192" s="117">
        <f t="shared" si="18"/>
        <v>7.7298124168701534</v>
      </c>
      <c r="Z192" s="119">
        <f t="shared" si="19"/>
        <v>3.5582173971551962</v>
      </c>
      <c r="AA192" s="55" t="str">
        <f t="shared" si="20"/>
        <v>Layak</v>
      </c>
    </row>
    <row r="193" spans="1:27" x14ac:dyDescent="0.35">
      <c r="A193" s="1">
        <v>80</v>
      </c>
      <c r="B193" s="2" t="s">
        <v>150</v>
      </c>
      <c r="C193" s="11" t="s">
        <v>95</v>
      </c>
      <c r="D193" s="28" t="str">
        <f>'B.kriteria &amp; R.kecocokan'!$B$25</f>
        <v>Sedikit</v>
      </c>
      <c r="E193" s="111">
        <f>_xlfn.IFS(D193="Banyak",'B.kriteria &amp; R.kecocokan'!$C$23,D193="Cukup",'B.kriteria &amp; R.kecocokan'!$C$24,D193="Sedikit",'B.kriteria &amp; R.kecocokan'!$C$25)</f>
        <v>7.5</v>
      </c>
      <c r="F193" s="9" t="str">
        <f>'B.kriteria &amp; R.kecocokan'!$B$34</f>
        <v>Tinggi</v>
      </c>
      <c r="G193" s="8">
        <f>_xlfn.IFS(F193="Tinggi",'B.kriteria &amp; R.kecocokan'!$C$34,F193="Sangat Tinggi",'B.kriteria &amp; R.kecocokan'!$C$35)</f>
        <v>7.5</v>
      </c>
      <c r="H193" s="9" t="str">
        <f>'B.kriteria &amp; R.kecocokan'!$B$43</f>
        <v>Tinggi</v>
      </c>
      <c r="I193" s="8">
        <f>_xlfn.IFS(H193="Rendah",'B.kriteria &amp; R.kecocokan'!$C$41,H193="Sedang",'B.kriteria &amp; R.kecocokan'!$C$42,H193="Tinggi",'B.kriteria &amp; R.kecocokan'!$C$43)</f>
        <v>7.5</v>
      </c>
      <c r="J193" s="8" t="str">
        <f>'B.kriteria &amp; R.kecocokan'!$B$72</f>
        <v>Rendah</v>
      </c>
      <c r="K193" s="8">
        <f>_xlfn.IFS(J193="Rendah",'B.kriteria &amp; R.kecocokan'!$C$72,J193="Sedang",'B.kriteria &amp; R.kecocokan'!$C$73,J193="Tinggi",'B.kriteria &amp; R.kecocokan'!$C$74)</f>
        <v>2.5</v>
      </c>
      <c r="L193" s="9" t="str">
        <f>'B.kriteria &amp; R.kecocokan'!$B$96</f>
        <v>Tinggi</v>
      </c>
      <c r="M193" s="8">
        <f>_xlfn.IFS(L193="Rendah",'B.kriteria &amp; R.kecocokan'!$C$95,L193="Tinggi",'B.kriteria &amp; R.kecocokan'!$C$96)</f>
        <v>7.5</v>
      </c>
      <c r="N193" s="8" t="str">
        <f>'B.kriteria &amp; R.kecocokan'!$B$80</f>
        <v>Rendah</v>
      </c>
      <c r="O193" s="8">
        <f>_xlfn.IFS(N193="Rendah",'B.kriteria &amp; R.kecocokan'!$C$80,N193="Tinggi",'B.kriteria &amp; R.kecocokan'!$C$81)</f>
        <v>2.5</v>
      </c>
      <c r="P193" s="8" t="str">
        <f>'B.kriteria &amp; R.kecocokan'!$B$89</f>
        <v>Sedikit</v>
      </c>
      <c r="Q193" s="8">
        <f>_xlfn.IFS(P193="Sedikit",'B.kriteria &amp; R.kecocokan'!$C$89,P193="Sedang",'B.kriteria &amp; R.kecocokan'!$C$88,P193="Sangat Sedikit",'B.kriteria &amp; R.kecocokan'!$C$90)</f>
        <v>2.5</v>
      </c>
      <c r="R193" s="8" t="str">
        <f>'B.kriteria &amp; R.kecocokan'!$B$49</f>
        <v>Rendah</v>
      </c>
      <c r="S193" s="8">
        <f>_xlfn.IFS(R193="Rendah",'B.kriteria &amp; R.kecocokan'!$C$49,R193="Sedang",'B.kriteria &amp; R.kecocokan'!$C$50,R193="Tinggi",'B.kriteria &amp; R.kecocokan'!$C$51)</f>
        <v>2.5</v>
      </c>
      <c r="T193" s="8" t="str">
        <f>'B.kriteria &amp; R.kecocokan'!$B$57</f>
        <v>Rendah</v>
      </c>
      <c r="U193" s="51">
        <f>_xlfn.IFS(T193="Rendah",'B.kriteria &amp; R.kecocokan'!$C$57,T193="Sedang",'B.kriteria &amp; R.kecocokan'!$C$58,T193="Tinggi",'B.kriteria &amp; R.kecocokan'!$C$59)</f>
        <v>2.5</v>
      </c>
      <c r="V193" s="51" t="str">
        <f>'B.kriteria &amp; R.kecocokan'!$B$65</f>
        <v>Rendah</v>
      </c>
      <c r="W193" s="9">
        <f>_xlfn.IFS(V193="Rendah",'B.kriteria &amp; R.kecocokan'!$C$65,V193="Sedang",'B.kriteria &amp; R.kecocokan'!$C$66,V193="Tinggi",'B.kriteria &amp; R.kecocokan'!$C$67)</f>
        <v>1</v>
      </c>
      <c r="X193" s="117">
        <f t="shared" si="17"/>
        <v>7.6123449929256051</v>
      </c>
      <c r="Y193" s="117">
        <f t="shared" si="18"/>
        <v>8.2915619758885004</v>
      </c>
      <c r="Z193" s="119">
        <f t="shared" si="19"/>
        <v>7.6123449929256051</v>
      </c>
      <c r="AA193" s="55" t="str">
        <f t="shared" si="20"/>
        <v>Layak</v>
      </c>
    </row>
    <row r="194" spans="1:27" x14ac:dyDescent="0.35">
      <c r="A194" s="5">
        <v>81</v>
      </c>
      <c r="B194" s="2" t="s">
        <v>147</v>
      </c>
      <c r="C194" s="11" t="s">
        <v>95</v>
      </c>
      <c r="D194" s="28" t="str">
        <f>'B.kriteria &amp; R.kecocokan'!$B$25</f>
        <v>Sedikit</v>
      </c>
      <c r="E194" s="111">
        <f>_xlfn.IFS(D194="Banyak",'B.kriteria &amp; R.kecocokan'!$C$23,D194="Cukup",'B.kriteria &amp; R.kecocokan'!$C$24,D194="Sedikit",'B.kriteria &amp; R.kecocokan'!$C$25)</f>
        <v>7.5</v>
      </c>
      <c r="F194" s="9" t="str">
        <f>'B.kriteria &amp; R.kecocokan'!$B$34</f>
        <v>Tinggi</v>
      </c>
      <c r="G194" s="8">
        <f>_xlfn.IFS(F194="Tinggi",'B.kriteria &amp; R.kecocokan'!$C$34,F194="Sangat Tinggi",'B.kriteria &amp; R.kecocokan'!$C$35)</f>
        <v>7.5</v>
      </c>
      <c r="H194" s="8" t="str">
        <f>'B.kriteria &amp; R.kecocokan'!$B$41</f>
        <v>Rendah</v>
      </c>
      <c r="I194" s="8">
        <f>_xlfn.IFS(H194="Rendah",'B.kriteria &amp; R.kecocokan'!$C$41,H194="Sedang",'B.kriteria &amp; R.kecocokan'!$C$42,H194="Tinggi",'B.kriteria &amp; R.kecocokan'!$C$43)</f>
        <v>2.5</v>
      </c>
      <c r="J194" s="8" t="str">
        <f>'B.kriteria &amp; R.kecocokan'!$B$72</f>
        <v>Rendah</v>
      </c>
      <c r="K194" s="8">
        <f>_xlfn.IFS(J194="Rendah",'B.kriteria &amp; R.kecocokan'!$C$72,J194="Sedang",'B.kriteria &amp; R.kecocokan'!$C$73,J194="Tinggi",'B.kriteria &amp; R.kecocokan'!$C$74)</f>
        <v>2.5</v>
      </c>
      <c r="L194" s="8" t="str">
        <f>'B.kriteria &amp; R.kecocokan'!$B$95</f>
        <v>Rendah</v>
      </c>
      <c r="M194" s="8">
        <f>_xlfn.IFS(L194="Rendah",'B.kriteria &amp; R.kecocokan'!$C$95,L194="Tinggi",'B.kriteria &amp; R.kecocokan'!$C$96)</f>
        <v>2.5</v>
      </c>
      <c r="N194" s="9" t="str">
        <f>'B.kriteria &amp; R.kecocokan'!$B$81</f>
        <v>Tinggi</v>
      </c>
      <c r="O194" s="8">
        <f>_xlfn.IFS(N194="Rendah",'B.kriteria &amp; R.kecocokan'!$C$80,N194="Tinggi",'B.kriteria &amp; R.kecocokan'!$C$81)</f>
        <v>7.5</v>
      </c>
      <c r="P194" s="9" t="str">
        <f>'B.kriteria &amp; R.kecocokan'!$B$90</f>
        <v>Sangat Sedikit</v>
      </c>
      <c r="Q194" s="8">
        <f>_xlfn.IFS(P194="Sedikit",'B.kriteria &amp; R.kecocokan'!$C$89,P194="Sedang",'B.kriteria &amp; R.kecocokan'!$C$88,P194="Sangat Sedikit",'B.kriteria &amp; R.kecocokan'!$C$90)</f>
        <v>1</v>
      </c>
      <c r="R194" s="8" t="str">
        <f>'B.kriteria &amp; R.kecocokan'!$B$49</f>
        <v>Rendah</v>
      </c>
      <c r="S194" s="8">
        <f>_xlfn.IFS(R194="Rendah",'B.kriteria &amp; R.kecocokan'!$C$49,R194="Sedang",'B.kriteria &amp; R.kecocokan'!$C$50,R194="Tinggi",'B.kriteria &amp; R.kecocokan'!$C$51)</f>
        <v>2.5</v>
      </c>
      <c r="T194" s="8" t="str">
        <f>'B.kriteria &amp; R.kecocokan'!$B$57</f>
        <v>Rendah</v>
      </c>
      <c r="U194" s="51">
        <f>_xlfn.IFS(T194="Rendah",'B.kriteria &amp; R.kecocokan'!$C$57,T194="Sedang",'B.kriteria &amp; R.kecocokan'!$C$58,T194="Tinggi",'B.kriteria &amp; R.kecocokan'!$C$59)</f>
        <v>2.5</v>
      </c>
      <c r="V194" s="51" t="str">
        <f>'B.kriteria &amp; R.kecocokan'!$B$65</f>
        <v>Rendah</v>
      </c>
      <c r="W194" s="9">
        <f>_xlfn.IFS(V194="Rendah",'B.kriteria &amp; R.kecocokan'!$C$65,V194="Sedang",'B.kriteria &amp; R.kecocokan'!$C$66,V194="Tinggi",'B.kriteria &amp; R.kecocokan'!$C$67)</f>
        <v>1</v>
      </c>
      <c r="X194" s="117">
        <f t="shared" si="17"/>
        <v>3.1455552137571754</v>
      </c>
      <c r="Y194" s="117">
        <f t="shared" si="18"/>
        <v>7.3143694191638966</v>
      </c>
      <c r="Z194" s="119">
        <f t="shared" si="19"/>
        <v>3.1455552137571754</v>
      </c>
      <c r="AA194" s="55" t="str">
        <f t="shared" si="20"/>
        <v>Layak</v>
      </c>
    </row>
    <row r="195" spans="1:27" x14ac:dyDescent="0.35">
      <c r="A195" s="5">
        <v>82</v>
      </c>
      <c r="B195" s="2" t="s">
        <v>126</v>
      </c>
      <c r="C195" s="11" t="s">
        <v>95</v>
      </c>
      <c r="D195" s="28" t="str">
        <f>'B.kriteria &amp; R.kecocokan'!$B$25</f>
        <v>Sedikit</v>
      </c>
      <c r="E195" s="111">
        <f>_xlfn.IFS(D195="Banyak",'B.kriteria &amp; R.kecocokan'!$C$23,D195="Cukup",'B.kriteria &amp; R.kecocokan'!$C$24,D195="Sedikit",'B.kriteria &amp; R.kecocokan'!$C$25)</f>
        <v>7.5</v>
      </c>
      <c r="F195" s="9" t="str">
        <f>'B.kriteria &amp; R.kecocokan'!$B$34</f>
        <v>Tinggi</v>
      </c>
      <c r="G195" s="8">
        <f>_xlfn.IFS(F195="Tinggi",'B.kriteria &amp; R.kecocokan'!$C$34,F195="Sangat Tinggi",'B.kriteria &amp; R.kecocokan'!$C$35)</f>
        <v>7.5</v>
      </c>
      <c r="H195" s="8" t="str">
        <f>'B.kriteria &amp; R.kecocokan'!$B$41</f>
        <v>Rendah</v>
      </c>
      <c r="I195" s="8">
        <f>_xlfn.IFS(H195="Rendah",'B.kriteria &amp; R.kecocokan'!$C$41,H195="Sedang",'B.kriteria &amp; R.kecocokan'!$C$42,H195="Tinggi",'B.kriteria &amp; R.kecocokan'!$C$43)</f>
        <v>2.5</v>
      </c>
      <c r="J195" s="8" t="str">
        <f>'B.kriteria &amp; R.kecocokan'!$B$72</f>
        <v>Rendah</v>
      </c>
      <c r="K195" s="8">
        <f>_xlfn.IFS(J195="Rendah",'B.kriteria &amp; R.kecocokan'!$C$72,J195="Sedang",'B.kriteria &amp; R.kecocokan'!$C$73,J195="Tinggi",'B.kriteria &amp; R.kecocokan'!$C$74)</f>
        <v>2.5</v>
      </c>
      <c r="L195" s="8" t="str">
        <f>'B.kriteria &amp; R.kecocokan'!$B$95</f>
        <v>Rendah</v>
      </c>
      <c r="M195" s="8">
        <f>_xlfn.IFS(L195="Rendah",'B.kriteria &amp; R.kecocokan'!$C$95,L195="Tinggi",'B.kriteria &amp; R.kecocokan'!$C$96)</f>
        <v>2.5</v>
      </c>
      <c r="N195" s="8" t="str">
        <f>'B.kriteria &amp; R.kecocokan'!$B$80</f>
        <v>Rendah</v>
      </c>
      <c r="O195" s="8">
        <f>_xlfn.IFS(N195="Rendah",'B.kriteria &amp; R.kecocokan'!$C$80,N195="Tinggi",'B.kriteria &amp; R.kecocokan'!$C$81)</f>
        <v>2.5</v>
      </c>
      <c r="P195" s="9" t="str">
        <f>'B.kriteria &amp; R.kecocokan'!$B$88</f>
        <v>Sedang</v>
      </c>
      <c r="Q195" s="8">
        <f>_xlfn.IFS(P195="Sedikit",'B.kriteria &amp; R.kecocokan'!$C$89,P195="Sedang",'B.kriteria &amp; R.kecocokan'!$C$88,P195="Sangat Sedikit",'B.kriteria &amp; R.kecocokan'!$C$90)</f>
        <v>5</v>
      </c>
      <c r="R195" s="8" t="str">
        <f>'B.kriteria &amp; R.kecocokan'!$B$49</f>
        <v>Rendah</v>
      </c>
      <c r="S195" s="8">
        <f>_xlfn.IFS(R195="Rendah",'B.kriteria &amp; R.kecocokan'!$C$49,R195="Sedang",'B.kriteria &amp; R.kecocokan'!$C$50,R195="Tinggi",'B.kriteria &amp; R.kecocokan'!$C$51)</f>
        <v>2.5</v>
      </c>
      <c r="T195" s="8" t="str">
        <f>'B.kriteria &amp; R.kecocokan'!$B$57</f>
        <v>Rendah</v>
      </c>
      <c r="U195" s="51">
        <f>_xlfn.IFS(T195="Rendah",'B.kriteria &amp; R.kecocokan'!$C$57,T195="Sedang",'B.kriteria &amp; R.kecocokan'!$C$58,T195="Tinggi",'B.kriteria &amp; R.kecocokan'!$C$59)</f>
        <v>2.5</v>
      </c>
      <c r="V195" s="51" t="str">
        <f>'B.kriteria &amp; R.kecocokan'!$B$65</f>
        <v>Rendah</v>
      </c>
      <c r="W195" s="9">
        <f>_xlfn.IFS(V195="Rendah",'B.kriteria &amp; R.kecocokan'!$C$65,V195="Sedang",'B.kriteria &amp; R.kecocokan'!$C$66,V195="Tinggi",'B.kriteria &amp; R.kecocokan'!$C$67)</f>
        <v>1</v>
      </c>
      <c r="X195" s="117">
        <f t="shared" si="17"/>
        <v>5.0221894085402603</v>
      </c>
      <c r="Y195" s="117">
        <f t="shared" si="18"/>
        <v>3.5355339059327378</v>
      </c>
      <c r="Z195" s="119">
        <f t="shared" si="19"/>
        <v>3.5355339059327378</v>
      </c>
      <c r="AA195" s="55" t="str">
        <f t="shared" si="20"/>
        <v>Tidak Layak</v>
      </c>
    </row>
    <row r="196" spans="1:27" x14ac:dyDescent="0.35">
      <c r="A196" s="1">
        <v>83</v>
      </c>
      <c r="B196" s="2" t="s">
        <v>178</v>
      </c>
      <c r="C196" s="11" t="s">
        <v>95</v>
      </c>
      <c r="D196" s="32" t="str">
        <f>'B.kriteria &amp; R.kecocokan'!$B$24</f>
        <v>Cukup</v>
      </c>
      <c r="E196" s="111">
        <f>_xlfn.IFS(D196="Banyak",'B.kriteria &amp; R.kecocokan'!$C$23,D196="Cukup",'B.kriteria &amp; R.kecocokan'!$C$24,D196="Sedikit",'B.kriteria &amp; R.kecocokan'!$C$25)</f>
        <v>5</v>
      </c>
      <c r="F196" s="9" t="str">
        <f>'B.kriteria &amp; R.kecocokan'!$B$34</f>
        <v>Tinggi</v>
      </c>
      <c r="G196" s="8">
        <f>_xlfn.IFS(F196="Tinggi",'B.kriteria &amp; R.kecocokan'!$C$34,F196="Sangat Tinggi",'B.kriteria &amp; R.kecocokan'!$C$35)</f>
        <v>7.5</v>
      </c>
      <c r="H196" s="8" t="str">
        <f>'B.kriteria &amp; R.kecocokan'!$B$41</f>
        <v>Rendah</v>
      </c>
      <c r="I196" s="8">
        <f>_xlfn.IFS(H196="Rendah",'B.kriteria &amp; R.kecocokan'!$C$41,H196="Sedang",'B.kriteria &amp; R.kecocokan'!$C$42,H196="Tinggi",'B.kriteria &amp; R.kecocokan'!$C$43)</f>
        <v>2.5</v>
      </c>
      <c r="J196" s="8" t="str">
        <f>'B.kriteria &amp; R.kecocokan'!$B$72</f>
        <v>Rendah</v>
      </c>
      <c r="K196" s="8">
        <f>_xlfn.IFS(J196="Rendah",'B.kriteria &amp; R.kecocokan'!$C$72,J196="Sedang",'B.kriteria &amp; R.kecocokan'!$C$73,J196="Tinggi",'B.kriteria &amp; R.kecocokan'!$C$74)</f>
        <v>2.5</v>
      </c>
      <c r="L196" s="8" t="str">
        <f>'B.kriteria &amp; R.kecocokan'!$B$95</f>
        <v>Rendah</v>
      </c>
      <c r="M196" s="8">
        <f>_xlfn.IFS(L196="Rendah",'B.kriteria &amp; R.kecocokan'!$C$95,L196="Tinggi",'B.kriteria &amp; R.kecocokan'!$C$96)</f>
        <v>2.5</v>
      </c>
      <c r="N196" s="8" t="str">
        <f>'B.kriteria &amp; R.kecocokan'!$B$80</f>
        <v>Rendah</v>
      </c>
      <c r="O196" s="8">
        <f>_xlfn.IFS(N196="Rendah",'B.kriteria &amp; R.kecocokan'!$C$80,N196="Tinggi",'B.kriteria &amp; R.kecocokan'!$C$81)</f>
        <v>2.5</v>
      </c>
      <c r="P196" s="8" t="str">
        <f>'B.kriteria &amp; R.kecocokan'!$B$89</f>
        <v>Sedikit</v>
      </c>
      <c r="Q196" s="8">
        <f>_xlfn.IFS(P196="Sedikit",'B.kriteria &amp; R.kecocokan'!$C$89,P196="Sedang",'B.kriteria &amp; R.kecocokan'!$C$88,P196="Sangat Sedikit",'B.kriteria &amp; R.kecocokan'!$C$90)</f>
        <v>2.5</v>
      </c>
      <c r="R196" s="8" t="str">
        <f>'B.kriteria &amp; R.kecocokan'!$B$49</f>
        <v>Rendah</v>
      </c>
      <c r="S196" s="8">
        <f>_xlfn.IFS(R196="Rendah",'B.kriteria &amp; R.kecocokan'!$C$49,R196="Sedang",'B.kriteria &amp; R.kecocokan'!$C$50,R196="Tinggi",'B.kriteria &amp; R.kecocokan'!$C$51)</f>
        <v>2.5</v>
      </c>
      <c r="T196" s="9" t="str">
        <f>'B.kriteria &amp; R.kecocokan'!$B$58</f>
        <v>Sedang</v>
      </c>
      <c r="U196" s="51">
        <f>_xlfn.IFS(T196="Rendah",'B.kriteria &amp; R.kecocokan'!$C$57,T196="Sedang",'B.kriteria &amp; R.kecocokan'!$C$58,T196="Tinggi",'B.kriteria &amp; R.kecocokan'!$C$59)</f>
        <v>5</v>
      </c>
      <c r="V196" s="51" t="str">
        <f>'B.kriteria &amp; R.kecocokan'!$B$65</f>
        <v>Rendah</v>
      </c>
      <c r="W196" s="9">
        <f>_xlfn.IFS(V196="Rendah",'B.kriteria &amp; R.kecocokan'!$C$65,V196="Sedang",'B.kriteria &amp; R.kecocokan'!$C$66,V196="Tinggi",'B.kriteria &amp; R.kecocokan'!$C$67)</f>
        <v>1</v>
      </c>
      <c r="X196" s="117">
        <f t="shared" si="17"/>
        <v>3.5868968591534358</v>
      </c>
      <c r="Y196" s="117">
        <f t="shared" si="18"/>
        <v>4.3301270189221936</v>
      </c>
      <c r="Z196" s="119">
        <f t="shared" si="19"/>
        <v>3.5868968591534358</v>
      </c>
      <c r="AA196" s="55" t="str">
        <f t="shared" si="20"/>
        <v>Layak</v>
      </c>
    </row>
    <row r="197" spans="1:27" x14ac:dyDescent="0.35">
      <c r="A197" s="5">
        <v>84</v>
      </c>
      <c r="B197" s="2" t="s">
        <v>133</v>
      </c>
      <c r="C197" s="11" t="s">
        <v>95</v>
      </c>
      <c r="D197" s="32" t="str">
        <f>'B.kriteria &amp; R.kecocokan'!$B$24</f>
        <v>Cukup</v>
      </c>
      <c r="E197" s="111">
        <f>_xlfn.IFS(D197="Banyak",'B.kriteria &amp; R.kecocokan'!$C$23,D197="Cukup",'B.kriteria &amp; R.kecocokan'!$C$24,D197="Sedikit",'B.kriteria &amp; R.kecocokan'!$C$25)</f>
        <v>5</v>
      </c>
      <c r="F197" s="9" t="str">
        <f>'B.kriteria &amp; R.kecocokan'!$B$34</f>
        <v>Tinggi</v>
      </c>
      <c r="G197" s="8">
        <f>_xlfn.IFS(F197="Tinggi",'B.kriteria &amp; R.kecocokan'!$C$34,F197="Sangat Tinggi",'B.kriteria &amp; R.kecocokan'!$C$35)</f>
        <v>7.5</v>
      </c>
      <c r="H197" s="8" t="str">
        <f>'B.kriteria &amp; R.kecocokan'!$B$41</f>
        <v>Rendah</v>
      </c>
      <c r="I197" s="8">
        <f>_xlfn.IFS(H197="Rendah",'B.kriteria &amp; R.kecocokan'!$C$41,H197="Sedang",'B.kriteria &amp; R.kecocokan'!$C$42,H197="Tinggi",'B.kriteria &amp; R.kecocokan'!$C$43)</f>
        <v>2.5</v>
      </c>
      <c r="J197" s="8" t="str">
        <f>'B.kriteria &amp; R.kecocokan'!$B$72</f>
        <v>Rendah</v>
      </c>
      <c r="K197" s="8">
        <f>_xlfn.IFS(J197="Rendah",'B.kriteria &amp; R.kecocokan'!$C$72,J197="Sedang",'B.kriteria &amp; R.kecocokan'!$C$73,J197="Tinggi",'B.kriteria &amp; R.kecocokan'!$C$74)</f>
        <v>2.5</v>
      </c>
      <c r="L197" s="8" t="str">
        <f>'B.kriteria &amp; R.kecocokan'!$B$95</f>
        <v>Rendah</v>
      </c>
      <c r="M197" s="8">
        <f>_xlfn.IFS(L197="Rendah",'B.kriteria &amp; R.kecocokan'!$C$95,L197="Tinggi",'B.kriteria &amp; R.kecocokan'!$C$96)</f>
        <v>2.5</v>
      </c>
      <c r="N197" s="8" t="str">
        <f>'B.kriteria &amp; R.kecocokan'!$B$80</f>
        <v>Rendah</v>
      </c>
      <c r="O197" s="8">
        <f>_xlfn.IFS(N197="Rendah",'B.kriteria &amp; R.kecocokan'!$C$80,N197="Tinggi",'B.kriteria &amp; R.kecocokan'!$C$81)</f>
        <v>2.5</v>
      </c>
      <c r="P197" s="9" t="str">
        <f>'B.kriteria &amp; R.kecocokan'!$B$90</f>
        <v>Sangat Sedikit</v>
      </c>
      <c r="Q197" s="8">
        <f>_xlfn.IFS(P197="Sedikit",'B.kriteria &amp; R.kecocokan'!$C$89,P197="Sedang",'B.kriteria &amp; R.kecocokan'!$C$88,P197="Sangat Sedikit",'B.kriteria &amp; R.kecocokan'!$C$90)</f>
        <v>1</v>
      </c>
      <c r="R197" s="8" t="str">
        <f>'B.kriteria &amp; R.kecocokan'!$B$49</f>
        <v>Rendah</v>
      </c>
      <c r="S197" s="8">
        <f>_xlfn.IFS(R197="Rendah",'B.kriteria &amp; R.kecocokan'!$C$49,R197="Sedang",'B.kriteria &amp; R.kecocokan'!$C$50,R197="Tinggi",'B.kriteria &amp; R.kecocokan'!$C$51)</f>
        <v>2.5</v>
      </c>
      <c r="T197" s="8" t="str">
        <f>'B.kriteria &amp; R.kecocokan'!$B$57</f>
        <v>Rendah</v>
      </c>
      <c r="U197" s="51">
        <f>_xlfn.IFS(T197="Rendah",'B.kriteria &amp; R.kecocokan'!$C$57,T197="Sedang",'B.kriteria &amp; R.kecocokan'!$C$58,T197="Tinggi",'B.kriteria &amp; R.kecocokan'!$C$59)</f>
        <v>2.5</v>
      </c>
      <c r="V197" s="51" t="str">
        <f>'B.kriteria &amp; R.kecocokan'!$B$65</f>
        <v>Rendah</v>
      </c>
      <c r="W197" s="9">
        <f>_xlfn.IFS(V197="Rendah",'B.kriteria &amp; R.kecocokan'!$C$65,V197="Sedang",'B.kriteria &amp; R.kecocokan'!$C$66,V197="Tinggi",'B.kriteria &amp; R.kecocokan'!$C$67)</f>
        <v>1</v>
      </c>
      <c r="X197" s="117">
        <f t="shared" si="17"/>
        <v>3.029406623093184</v>
      </c>
      <c r="Y197" s="117">
        <f t="shared" si="18"/>
        <v>4.7169905660283016</v>
      </c>
      <c r="Z197" s="119">
        <f t="shared" si="19"/>
        <v>3.029406623093184</v>
      </c>
      <c r="AA197" s="55" t="str">
        <f t="shared" si="20"/>
        <v>Layak</v>
      </c>
    </row>
    <row r="198" spans="1:27" x14ac:dyDescent="0.35">
      <c r="A198" s="5">
        <v>85</v>
      </c>
      <c r="B198" s="2" t="s">
        <v>159</v>
      </c>
      <c r="C198" s="11" t="s">
        <v>95</v>
      </c>
      <c r="D198" s="9" t="str">
        <f>'B.kriteria &amp; R.kecocokan'!$B$23</f>
        <v>Banyak</v>
      </c>
      <c r="E198" s="111">
        <f>_xlfn.IFS(D198="Banyak",'B.kriteria &amp; R.kecocokan'!$C$23,D198="Cukup",'B.kriteria &amp; R.kecocokan'!$C$24,D198="Sedikit",'B.kriteria &amp; R.kecocokan'!$C$25)</f>
        <v>2.5</v>
      </c>
      <c r="F198" s="9" t="str">
        <f>'B.kriteria &amp; R.kecocokan'!$B$34</f>
        <v>Tinggi</v>
      </c>
      <c r="G198" s="8">
        <f>_xlfn.IFS(F198="Tinggi",'B.kriteria &amp; R.kecocokan'!$C$34,F198="Sangat Tinggi",'B.kriteria &amp; R.kecocokan'!$C$35)</f>
        <v>7.5</v>
      </c>
      <c r="H198" s="8" t="str">
        <f>'B.kriteria &amp; R.kecocokan'!$B$41</f>
        <v>Rendah</v>
      </c>
      <c r="I198" s="8">
        <f>_xlfn.IFS(H198="Rendah",'B.kriteria &amp; R.kecocokan'!$C$41,H198="Sedang",'B.kriteria &amp; R.kecocokan'!$C$42,H198="Tinggi",'B.kriteria &amp; R.kecocokan'!$C$43)</f>
        <v>2.5</v>
      </c>
      <c r="J198" s="8" t="str">
        <f>'B.kriteria &amp; R.kecocokan'!$B$72</f>
        <v>Rendah</v>
      </c>
      <c r="K198" s="8">
        <f>_xlfn.IFS(J198="Rendah",'B.kriteria &amp; R.kecocokan'!$C$72,J198="Sedang",'B.kriteria &amp; R.kecocokan'!$C$73,J198="Tinggi",'B.kriteria &amp; R.kecocokan'!$C$74)</f>
        <v>2.5</v>
      </c>
      <c r="L198" s="9" t="str">
        <f>'B.kriteria &amp; R.kecocokan'!$B$96</f>
        <v>Tinggi</v>
      </c>
      <c r="M198" s="8">
        <f>_xlfn.IFS(L198="Rendah",'B.kriteria &amp; R.kecocokan'!$C$95,L198="Tinggi",'B.kriteria &amp; R.kecocokan'!$C$96)</f>
        <v>7.5</v>
      </c>
      <c r="N198" s="8" t="str">
        <f>'B.kriteria &amp; R.kecocokan'!$B$80</f>
        <v>Rendah</v>
      </c>
      <c r="O198" s="8">
        <f>_xlfn.IFS(N198="Rendah",'B.kriteria &amp; R.kecocokan'!$C$80,N198="Tinggi",'B.kriteria &amp; R.kecocokan'!$C$81)</f>
        <v>2.5</v>
      </c>
      <c r="P198" s="9" t="str">
        <f>'B.kriteria &amp; R.kecocokan'!$B$90</f>
        <v>Sangat Sedikit</v>
      </c>
      <c r="Q198" s="8">
        <f>_xlfn.IFS(P198="Sedikit",'B.kriteria &amp; R.kecocokan'!$C$89,P198="Sedang",'B.kriteria &amp; R.kecocokan'!$C$88,P198="Sangat Sedikit",'B.kriteria &amp; R.kecocokan'!$C$90)</f>
        <v>1</v>
      </c>
      <c r="R198" s="8" t="str">
        <f>'B.kriteria &amp; R.kecocokan'!$B$49</f>
        <v>Rendah</v>
      </c>
      <c r="S198" s="8">
        <f>_xlfn.IFS(R198="Rendah",'B.kriteria &amp; R.kecocokan'!$C$49,R198="Sedang",'B.kriteria &amp; R.kecocokan'!$C$50,R198="Tinggi",'B.kriteria &amp; R.kecocokan'!$C$51)</f>
        <v>2.5</v>
      </c>
      <c r="T198" s="8" t="str">
        <f>'B.kriteria &amp; R.kecocokan'!$B$57</f>
        <v>Rendah</v>
      </c>
      <c r="U198" s="51">
        <f>_xlfn.IFS(T198="Rendah",'B.kriteria &amp; R.kecocokan'!$C$57,T198="Sedang",'B.kriteria &amp; R.kecocokan'!$C$58,T198="Tinggi",'B.kriteria &amp; R.kecocokan'!$C$59)</f>
        <v>2.5</v>
      </c>
      <c r="V198" s="51" t="str">
        <f>'B.kriteria &amp; R.kecocokan'!$B$65</f>
        <v>Rendah</v>
      </c>
      <c r="W198" s="9">
        <f>_xlfn.IFS(V198="Rendah",'B.kriteria &amp; R.kecocokan'!$C$65,V198="Sedang",'B.kriteria &amp; R.kecocokan'!$C$66,V198="Tinggi",'B.kriteria &amp; R.kecocokan'!$C$67)</f>
        <v>1</v>
      </c>
      <c r="X198" s="117">
        <f t="shared" si="17"/>
        <v>6.4383145816257903</v>
      </c>
      <c r="Y198" s="117">
        <f t="shared" si="18"/>
        <v>7.3143694191638966</v>
      </c>
      <c r="Z198" s="119">
        <f t="shared" si="19"/>
        <v>6.4383145816257903</v>
      </c>
      <c r="AA198" s="55" t="str">
        <f t="shared" si="20"/>
        <v>Layak</v>
      </c>
    </row>
    <row r="199" spans="1:27" x14ac:dyDescent="0.35">
      <c r="A199" s="1">
        <v>86</v>
      </c>
      <c r="B199" s="2" t="s">
        <v>165</v>
      </c>
      <c r="C199" s="11" t="s">
        <v>95</v>
      </c>
      <c r="D199" s="28" t="str">
        <f>'B.kriteria &amp; R.kecocokan'!$B$25</f>
        <v>Sedikit</v>
      </c>
      <c r="E199" s="111">
        <f>_xlfn.IFS(D199="Banyak",'B.kriteria &amp; R.kecocokan'!$C$23,D199="Cukup",'B.kriteria &amp; R.kecocokan'!$C$24,D199="Sedikit",'B.kriteria &amp; R.kecocokan'!$C$25)</f>
        <v>7.5</v>
      </c>
      <c r="F199" s="9" t="str">
        <f>'B.kriteria &amp; R.kecocokan'!$B$34</f>
        <v>Tinggi</v>
      </c>
      <c r="G199" s="8">
        <f>_xlfn.IFS(F199="Tinggi",'B.kriteria &amp; R.kecocokan'!$C$34,F199="Sangat Tinggi",'B.kriteria &amp; R.kecocokan'!$C$35)</f>
        <v>7.5</v>
      </c>
      <c r="H199" s="8" t="str">
        <f>'B.kriteria &amp; R.kecocokan'!$B$41</f>
        <v>Rendah</v>
      </c>
      <c r="I199" s="8">
        <f>_xlfn.IFS(H199="Rendah",'B.kriteria &amp; R.kecocokan'!$C$41,H199="Sedang",'B.kriteria &amp; R.kecocokan'!$C$42,H199="Tinggi",'B.kriteria &amp; R.kecocokan'!$C$43)</f>
        <v>2.5</v>
      </c>
      <c r="J199" s="8" t="str">
        <f>'B.kriteria &amp; R.kecocokan'!$B$72</f>
        <v>Rendah</v>
      </c>
      <c r="K199" s="8">
        <f>_xlfn.IFS(J199="Rendah",'B.kriteria &amp; R.kecocokan'!$C$72,J199="Sedang",'B.kriteria &amp; R.kecocokan'!$C$73,J199="Tinggi",'B.kriteria &amp; R.kecocokan'!$C$74)</f>
        <v>2.5</v>
      </c>
      <c r="L199" s="8" t="str">
        <f>'B.kriteria &amp; R.kecocokan'!$B$95</f>
        <v>Rendah</v>
      </c>
      <c r="M199" s="8">
        <f>_xlfn.IFS(L199="Rendah",'B.kriteria &amp; R.kecocokan'!$C$95,L199="Tinggi",'B.kriteria &amp; R.kecocokan'!$C$96)</f>
        <v>2.5</v>
      </c>
      <c r="N199" s="9" t="str">
        <f>'B.kriteria &amp; R.kecocokan'!$B$81</f>
        <v>Tinggi</v>
      </c>
      <c r="O199" s="8">
        <f>_xlfn.IFS(N199="Rendah",'B.kriteria &amp; R.kecocokan'!$C$80,N199="Tinggi",'B.kriteria &amp; R.kecocokan'!$C$81)</f>
        <v>7.5</v>
      </c>
      <c r="P199" s="9" t="str">
        <f>'B.kriteria &amp; R.kecocokan'!$B$90</f>
        <v>Sangat Sedikit</v>
      </c>
      <c r="Q199" s="8">
        <f>_xlfn.IFS(P199="Sedikit",'B.kriteria &amp; R.kecocokan'!$C$89,P199="Sedang",'B.kriteria &amp; R.kecocokan'!$C$88,P199="Sangat Sedikit",'B.kriteria &amp; R.kecocokan'!$C$90)</f>
        <v>1</v>
      </c>
      <c r="R199" s="8" t="str">
        <f>'B.kriteria &amp; R.kecocokan'!$B$49</f>
        <v>Rendah</v>
      </c>
      <c r="S199" s="8">
        <f>_xlfn.IFS(R199="Rendah",'B.kriteria &amp; R.kecocokan'!$C$49,R199="Sedang",'B.kriteria &amp; R.kecocokan'!$C$50,R199="Tinggi",'B.kriteria &amp; R.kecocokan'!$C$51)</f>
        <v>2.5</v>
      </c>
      <c r="T199" s="8" t="str">
        <f>'B.kriteria &amp; R.kecocokan'!$B$57</f>
        <v>Rendah</v>
      </c>
      <c r="U199" s="51">
        <f>_xlfn.IFS(T199="Rendah",'B.kriteria &amp; R.kecocokan'!$C$57,T199="Sedang",'B.kriteria &amp; R.kecocokan'!$C$58,T199="Tinggi",'B.kriteria &amp; R.kecocokan'!$C$59)</f>
        <v>2.5</v>
      </c>
      <c r="V199" s="51" t="str">
        <f>'B.kriteria &amp; R.kecocokan'!$B$65</f>
        <v>Rendah</v>
      </c>
      <c r="W199" s="9">
        <f>_xlfn.IFS(V199="Rendah",'B.kriteria &amp; R.kecocokan'!$C$65,V199="Sedang",'B.kriteria &amp; R.kecocokan'!$C$66,V199="Tinggi",'B.kriteria &amp; R.kecocokan'!$C$67)</f>
        <v>1</v>
      </c>
      <c r="X199" s="117">
        <f t="shared" si="17"/>
        <v>3.1455552137571754</v>
      </c>
      <c r="Y199" s="117">
        <f t="shared" si="18"/>
        <v>7.3143694191638966</v>
      </c>
      <c r="Z199" s="119">
        <f t="shared" si="19"/>
        <v>3.1455552137571754</v>
      </c>
      <c r="AA199" s="55" t="str">
        <f t="shared" si="20"/>
        <v>Layak</v>
      </c>
    </row>
    <row r="200" spans="1:27" x14ac:dyDescent="0.35">
      <c r="A200" s="5">
        <v>87</v>
      </c>
      <c r="B200" s="2" t="s">
        <v>163</v>
      </c>
      <c r="C200" s="11" t="s">
        <v>248</v>
      </c>
      <c r="D200" s="28" t="str">
        <f>'B.kriteria &amp; R.kecocokan'!$B$25</f>
        <v>Sedikit</v>
      </c>
      <c r="E200" s="111">
        <f>_xlfn.IFS(D200="Banyak",'B.kriteria &amp; R.kecocokan'!$C$23,D200="Cukup",'B.kriteria &amp; R.kecocokan'!$C$24,D200="Sedikit",'B.kriteria &amp; R.kecocokan'!$C$25)</f>
        <v>7.5</v>
      </c>
      <c r="F200" s="9" t="str">
        <f>'B.kriteria &amp; R.kecocokan'!$B$35</f>
        <v>Sangat Tinggi</v>
      </c>
      <c r="G200" s="8">
        <f>_xlfn.IFS(F200="Tinggi",'B.kriteria &amp; R.kecocokan'!$C$34,F200="Sangat Tinggi",'B.kriteria &amp; R.kecocokan'!$C$35)</f>
        <v>10</v>
      </c>
      <c r="H200" s="9" t="str">
        <f>'B.kriteria &amp; R.kecocokan'!$B$43</f>
        <v>Tinggi</v>
      </c>
      <c r="I200" s="8">
        <f>_xlfn.IFS(H200="Rendah",'B.kriteria &amp; R.kecocokan'!$C$41,H200="Sedang",'B.kriteria &amp; R.kecocokan'!$C$42,H200="Tinggi",'B.kriteria &amp; R.kecocokan'!$C$43)</f>
        <v>7.5</v>
      </c>
      <c r="J200" s="8" t="str">
        <f>'B.kriteria &amp; R.kecocokan'!$B$72</f>
        <v>Rendah</v>
      </c>
      <c r="K200" s="8">
        <f>_xlfn.IFS(J200="Rendah",'B.kriteria &amp; R.kecocokan'!$C$72,J200="Sedang",'B.kriteria &amp; R.kecocokan'!$C$73,J200="Tinggi",'B.kriteria &amp; R.kecocokan'!$C$74)</f>
        <v>2.5</v>
      </c>
      <c r="L200" s="8" t="str">
        <f>'B.kriteria &amp; R.kecocokan'!$B$95</f>
        <v>Rendah</v>
      </c>
      <c r="M200" s="8">
        <f>_xlfn.IFS(L200="Rendah",'B.kriteria &amp; R.kecocokan'!$C$95,L200="Tinggi",'B.kriteria &amp; R.kecocokan'!$C$96)</f>
        <v>2.5</v>
      </c>
      <c r="N200" s="8" t="str">
        <f>'B.kriteria &amp; R.kecocokan'!$B$80</f>
        <v>Rendah</v>
      </c>
      <c r="O200" s="8">
        <f>_xlfn.IFS(N200="Rendah",'B.kriteria &amp; R.kecocokan'!$C$80,N200="Tinggi",'B.kriteria &amp; R.kecocokan'!$C$81)</f>
        <v>2.5</v>
      </c>
      <c r="P200" s="8" t="str">
        <f>'B.kriteria &amp; R.kecocokan'!$B$89</f>
        <v>Sedikit</v>
      </c>
      <c r="Q200" s="8">
        <f>_xlfn.IFS(P200="Sedikit",'B.kriteria &amp; R.kecocokan'!$C$89,P200="Sedang",'B.kriteria &amp; R.kecocokan'!$C$88,P200="Sangat Sedikit",'B.kriteria &amp; R.kecocokan'!$C$90)</f>
        <v>2.5</v>
      </c>
      <c r="R200" s="8" t="str">
        <f>'B.kriteria &amp; R.kecocokan'!$B$49</f>
        <v>Rendah</v>
      </c>
      <c r="S200" s="8">
        <f>_xlfn.IFS(R200="Rendah",'B.kriteria &amp; R.kecocokan'!$C$49,R200="Sedang",'B.kriteria &amp; R.kecocokan'!$C$50,R200="Tinggi",'B.kriteria &amp; R.kecocokan'!$C$51)</f>
        <v>2.5</v>
      </c>
      <c r="T200" s="8" t="str">
        <f>'B.kriteria &amp; R.kecocokan'!$B$57</f>
        <v>Rendah</v>
      </c>
      <c r="U200" s="51">
        <f>_xlfn.IFS(T200="Rendah",'B.kriteria &amp; R.kecocokan'!$C$57,T200="Sedang",'B.kriteria &amp; R.kecocokan'!$C$58,T200="Tinggi",'B.kriteria &amp; R.kecocokan'!$C$59)</f>
        <v>2.5</v>
      </c>
      <c r="V200" s="51" t="str">
        <f>'B.kriteria &amp; R.kecocokan'!$B$65</f>
        <v>Rendah</v>
      </c>
      <c r="W200" s="9">
        <f>_xlfn.IFS(V200="Rendah",'B.kriteria &amp; R.kecocokan'!$C$65,V200="Sedang",'B.kriteria &amp; R.kecocokan'!$C$66,V200="Tinggi",'B.kriteria &amp; R.kecocokan'!$C$67)</f>
        <v>1</v>
      </c>
      <c r="X200" s="117">
        <f t="shared" si="17"/>
        <v>6.2608143472969662</v>
      </c>
      <c r="Y200" s="117">
        <f t="shared" si="18"/>
        <v>6.1237243569579451</v>
      </c>
      <c r="Z200" s="119">
        <f t="shared" si="19"/>
        <v>6.1237243569579451</v>
      </c>
      <c r="AA200" s="55" t="str">
        <f t="shared" si="20"/>
        <v>Tidak Layak</v>
      </c>
    </row>
    <row r="201" spans="1:27" x14ac:dyDescent="0.35">
      <c r="A201" s="5">
        <v>88</v>
      </c>
      <c r="B201" s="30" t="s">
        <v>24</v>
      </c>
      <c r="C201" s="11" t="s">
        <v>248</v>
      </c>
      <c r="D201" s="28" t="str">
        <f>'B.kriteria &amp; R.kecocokan'!$B$25</f>
        <v>Sedikit</v>
      </c>
      <c r="E201" s="111">
        <f>_xlfn.IFS(D201="Banyak",'B.kriteria &amp; R.kecocokan'!$C$23,D201="Cukup",'B.kriteria &amp; R.kecocokan'!$C$24,D201="Sedikit",'B.kriteria &amp; R.kecocokan'!$C$25)</f>
        <v>7.5</v>
      </c>
      <c r="F201" s="9" t="str">
        <f>'B.kriteria &amp; R.kecocokan'!$B$35</f>
        <v>Sangat Tinggi</v>
      </c>
      <c r="G201" s="8">
        <f>_xlfn.IFS(F201="Tinggi",'B.kriteria &amp; R.kecocokan'!$C$34,F201="Sangat Tinggi",'B.kriteria &amp; R.kecocokan'!$C$35)</f>
        <v>10</v>
      </c>
      <c r="H201" s="8" t="str">
        <f>'B.kriteria &amp; R.kecocokan'!$B$41</f>
        <v>Rendah</v>
      </c>
      <c r="I201" s="8">
        <f>_xlfn.IFS(H201="Rendah",'B.kriteria &amp; R.kecocokan'!$C$41,H201="Sedang",'B.kriteria &amp; R.kecocokan'!$C$42,H201="Tinggi",'B.kriteria &amp; R.kecocokan'!$C$43)</f>
        <v>2.5</v>
      </c>
      <c r="J201" s="8" t="str">
        <f>'B.kriteria &amp; R.kecocokan'!$B$72</f>
        <v>Rendah</v>
      </c>
      <c r="K201" s="8">
        <f>_xlfn.IFS(J201="Rendah",'B.kriteria &amp; R.kecocokan'!$C$72,J201="Sedang",'B.kriteria &amp; R.kecocokan'!$C$73,J201="Tinggi",'B.kriteria &amp; R.kecocokan'!$C$74)</f>
        <v>2.5</v>
      </c>
      <c r="L201" s="8" t="str">
        <f>'B.kriteria &amp; R.kecocokan'!$B$95</f>
        <v>Rendah</v>
      </c>
      <c r="M201" s="8">
        <f>_xlfn.IFS(L201="Rendah",'B.kriteria &amp; R.kecocokan'!$C$95,L201="Tinggi",'B.kriteria &amp; R.kecocokan'!$C$96)</f>
        <v>2.5</v>
      </c>
      <c r="N201" s="9" t="str">
        <f>'B.kriteria &amp; R.kecocokan'!$B$81</f>
        <v>Tinggi</v>
      </c>
      <c r="O201" s="8">
        <f>_xlfn.IFS(N201="Rendah",'B.kriteria &amp; R.kecocokan'!$C$80,N201="Tinggi",'B.kriteria &amp; R.kecocokan'!$C$81)</f>
        <v>7.5</v>
      </c>
      <c r="P201" s="9" t="str">
        <f>'B.kriteria &amp; R.kecocokan'!$B$90</f>
        <v>Sangat Sedikit</v>
      </c>
      <c r="Q201" s="8">
        <f>_xlfn.IFS(P201="Sedikit",'B.kriteria &amp; R.kecocokan'!$C$89,P201="Sedang",'B.kriteria &amp; R.kecocokan'!$C$88,P201="Sangat Sedikit",'B.kriteria &amp; R.kecocokan'!$C$90)</f>
        <v>1</v>
      </c>
      <c r="R201" s="9" t="str">
        <f>'B.kriteria &amp; R.kecocokan'!$B$51</f>
        <v>Tinggi</v>
      </c>
      <c r="S201" s="8">
        <f>_xlfn.IFS(R201="Rendah",'B.kriteria &amp; R.kecocokan'!$C$49,R201="Sedang",'B.kriteria &amp; R.kecocokan'!$C$50,R201="Tinggi",'B.kriteria &amp; R.kecocokan'!$C$51)</f>
        <v>7.5</v>
      </c>
      <c r="T201" s="9" t="str">
        <f>'B.kriteria &amp; R.kecocokan'!$B$59</f>
        <v>Tinggi</v>
      </c>
      <c r="U201" s="51">
        <f>_xlfn.IFS(T201="Rendah",'B.kriteria &amp; R.kecocokan'!$C$57,T201="Sedang",'B.kriteria &amp; R.kecocokan'!$C$58,T201="Tinggi",'B.kriteria &amp; R.kecocokan'!$C$59)</f>
        <v>7.5</v>
      </c>
      <c r="V201" s="51" t="str">
        <f>'B.kriteria &amp; R.kecocokan'!$B$65</f>
        <v>Rendah</v>
      </c>
      <c r="W201" s="9">
        <f>_xlfn.IFS(V201="Rendah",'B.kriteria &amp; R.kecocokan'!$C$65,V201="Sedang",'B.kriteria &amp; R.kecocokan'!$C$66,V201="Tinggi",'B.kriteria &amp; R.kecocokan'!$C$67)</f>
        <v>1</v>
      </c>
      <c r="X201" s="117">
        <f t="shared" si="17"/>
        <v>7.3382174699024718</v>
      </c>
      <c r="Y201" s="117">
        <f t="shared" si="18"/>
        <v>9.8615414616580104</v>
      </c>
      <c r="Z201" s="119">
        <f t="shared" si="19"/>
        <v>7.3382174699024718</v>
      </c>
      <c r="AA201" s="55" t="str">
        <f t="shared" si="20"/>
        <v>Layak</v>
      </c>
    </row>
    <row r="202" spans="1:27" x14ac:dyDescent="0.35">
      <c r="A202" s="1">
        <v>89</v>
      </c>
      <c r="B202" s="2" t="s">
        <v>128</v>
      </c>
      <c r="C202" s="11" t="s">
        <v>95</v>
      </c>
      <c r="D202" s="32" t="str">
        <f>'B.kriteria &amp; R.kecocokan'!$B$24</f>
        <v>Cukup</v>
      </c>
      <c r="E202" s="111">
        <f>_xlfn.IFS(D202="Banyak",'B.kriteria &amp; R.kecocokan'!$C$23,D202="Cukup",'B.kriteria &amp; R.kecocokan'!$C$24,D202="Sedikit",'B.kriteria &amp; R.kecocokan'!$C$25)</f>
        <v>5</v>
      </c>
      <c r="F202" s="9" t="str">
        <f>'B.kriteria &amp; R.kecocokan'!$B$34</f>
        <v>Tinggi</v>
      </c>
      <c r="G202" s="8">
        <f>_xlfn.IFS(F202="Tinggi",'B.kriteria &amp; R.kecocokan'!$C$34,F202="Sangat Tinggi",'B.kriteria &amp; R.kecocokan'!$C$35)</f>
        <v>7.5</v>
      </c>
      <c r="H202" s="8" t="str">
        <f>'B.kriteria &amp; R.kecocokan'!$B$41</f>
        <v>Rendah</v>
      </c>
      <c r="I202" s="8">
        <f>_xlfn.IFS(H202="Rendah",'B.kriteria &amp; R.kecocokan'!$C$41,H202="Sedang",'B.kriteria &amp; R.kecocokan'!$C$42,H202="Tinggi",'B.kriteria &amp; R.kecocokan'!$C$43)</f>
        <v>2.5</v>
      </c>
      <c r="J202" s="8" t="str">
        <f>'B.kriteria &amp; R.kecocokan'!$B$72</f>
        <v>Rendah</v>
      </c>
      <c r="K202" s="8">
        <f>_xlfn.IFS(J202="Rendah",'B.kriteria &amp; R.kecocokan'!$C$72,J202="Sedang",'B.kriteria &amp; R.kecocokan'!$C$73,J202="Tinggi",'B.kriteria &amp; R.kecocokan'!$C$74)</f>
        <v>2.5</v>
      </c>
      <c r="L202" s="8" t="str">
        <f>'B.kriteria &amp; R.kecocokan'!$B$95</f>
        <v>Rendah</v>
      </c>
      <c r="M202" s="8">
        <f>_xlfn.IFS(L202="Rendah",'B.kriteria &amp; R.kecocokan'!$C$95,L202="Tinggi",'B.kriteria &amp; R.kecocokan'!$C$96)</f>
        <v>2.5</v>
      </c>
      <c r="N202" s="9" t="str">
        <f>'B.kriteria &amp; R.kecocokan'!$B$81</f>
        <v>Tinggi</v>
      </c>
      <c r="O202" s="8">
        <f>_xlfn.IFS(N202="Rendah",'B.kriteria &amp; R.kecocokan'!$C$80,N202="Tinggi",'B.kriteria &amp; R.kecocokan'!$C$81)</f>
        <v>7.5</v>
      </c>
      <c r="P202" s="9" t="str">
        <f>'B.kriteria &amp; R.kecocokan'!$B$90</f>
        <v>Sangat Sedikit</v>
      </c>
      <c r="Q202" s="8">
        <f>_xlfn.IFS(P202="Sedikit",'B.kriteria &amp; R.kecocokan'!$C$89,P202="Sedang",'B.kriteria &amp; R.kecocokan'!$C$88,P202="Sangat Sedikit",'B.kriteria &amp; R.kecocokan'!$C$90)</f>
        <v>1</v>
      </c>
      <c r="R202" s="8" t="str">
        <f>'B.kriteria &amp; R.kecocokan'!$B$49</f>
        <v>Rendah</v>
      </c>
      <c r="S202" s="8">
        <f>_xlfn.IFS(R202="Rendah",'B.kriteria &amp; R.kecocokan'!$C$49,R202="Sedang",'B.kriteria &amp; R.kecocokan'!$C$50,R202="Tinggi",'B.kriteria &amp; R.kecocokan'!$C$51)</f>
        <v>2.5</v>
      </c>
      <c r="T202" s="8" t="str">
        <f>'B.kriteria &amp; R.kecocokan'!$B$57</f>
        <v>Rendah</v>
      </c>
      <c r="U202" s="51">
        <f>_xlfn.IFS(T202="Rendah",'B.kriteria &amp; R.kecocokan'!$C$57,T202="Sedang",'B.kriteria &amp; R.kecocokan'!$C$58,T202="Tinggi",'B.kriteria &amp; R.kecocokan'!$C$59)</f>
        <v>2.5</v>
      </c>
      <c r="V202" s="51" t="str">
        <f>'B.kriteria &amp; R.kecocokan'!$B$65</f>
        <v>Rendah</v>
      </c>
      <c r="W202" s="9">
        <f>_xlfn.IFS(V202="Rendah",'B.kriteria &amp; R.kecocokan'!$C$65,V202="Sedang",'B.kriteria &amp; R.kecocokan'!$C$66,V202="Tinggi",'B.kriteria &amp; R.kecocokan'!$C$67)</f>
        <v>1</v>
      </c>
      <c r="X202" s="117">
        <f t="shared" si="17"/>
        <v>2.5116631997591665</v>
      </c>
      <c r="Y202" s="117">
        <f t="shared" si="18"/>
        <v>6.8738635424337602</v>
      </c>
      <c r="Z202" s="119">
        <f t="shared" si="19"/>
        <v>2.5116631997591665</v>
      </c>
      <c r="AA202" s="55" t="str">
        <f t="shared" si="20"/>
        <v>Layak</v>
      </c>
    </row>
    <row r="203" spans="1:27" x14ac:dyDescent="0.35">
      <c r="A203" s="5">
        <v>90</v>
      </c>
      <c r="B203" s="30" t="s">
        <v>136</v>
      </c>
      <c r="C203" s="11" t="s">
        <v>95</v>
      </c>
      <c r="D203" s="28" t="str">
        <f>'B.kriteria &amp; R.kecocokan'!$B$25</f>
        <v>Sedikit</v>
      </c>
      <c r="E203" s="111">
        <f>_xlfn.IFS(D203="Banyak",'B.kriteria &amp; R.kecocokan'!$C$23,D203="Cukup",'B.kriteria &amp; R.kecocokan'!$C$24,D203="Sedikit",'B.kriteria &amp; R.kecocokan'!$C$25)</f>
        <v>7.5</v>
      </c>
      <c r="F203" s="9" t="str">
        <f>'B.kriteria &amp; R.kecocokan'!$B$35</f>
        <v>Sangat Tinggi</v>
      </c>
      <c r="G203" s="8">
        <f>_xlfn.IFS(F203="Tinggi",'B.kriteria &amp; R.kecocokan'!$C$34,F203="Sangat Tinggi",'B.kriteria &amp; R.kecocokan'!$C$35)</f>
        <v>10</v>
      </c>
      <c r="H203" s="8" t="str">
        <f>'B.kriteria &amp; R.kecocokan'!$B$41</f>
        <v>Rendah</v>
      </c>
      <c r="I203" s="8">
        <f>_xlfn.IFS(H203="Rendah",'B.kriteria &amp; R.kecocokan'!$C$41,H203="Sedang",'B.kriteria &amp; R.kecocokan'!$C$42,H203="Tinggi",'B.kriteria &amp; R.kecocokan'!$C$43)</f>
        <v>2.5</v>
      </c>
      <c r="J203" s="8" t="str">
        <f>'B.kriteria &amp; R.kecocokan'!$B$72</f>
        <v>Rendah</v>
      </c>
      <c r="K203" s="8">
        <f>_xlfn.IFS(J203="Rendah",'B.kriteria &amp; R.kecocokan'!$C$72,J203="Sedang",'B.kriteria &amp; R.kecocokan'!$C$73,J203="Tinggi",'B.kriteria &amp; R.kecocokan'!$C$74)</f>
        <v>2.5</v>
      </c>
      <c r="L203" s="8" t="str">
        <f>'B.kriteria &amp; R.kecocokan'!$B$95</f>
        <v>Rendah</v>
      </c>
      <c r="M203" s="8">
        <f>_xlfn.IFS(L203="Rendah",'B.kriteria &amp; R.kecocokan'!$C$95,L203="Tinggi",'B.kriteria &amp; R.kecocokan'!$C$96)</f>
        <v>2.5</v>
      </c>
      <c r="N203" s="9" t="str">
        <f>'B.kriteria &amp; R.kecocokan'!$B$81</f>
        <v>Tinggi</v>
      </c>
      <c r="O203" s="8">
        <f>_xlfn.IFS(N203="Rendah",'B.kriteria &amp; R.kecocokan'!$C$80,N203="Tinggi",'B.kriteria &amp; R.kecocokan'!$C$81)</f>
        <v>7.5</v>
      </c>
      <c r="P203" s="9" t="str">
        <f>'B.kriteria &amp; R.kecocokan'!$B$90</f>
        <v>Sangat Sedikit</v>
      </c>
      <c r="Q203" s="8">
        <f>_xlfn.IFS(P203="Sedikit",'B.kriteria &amp; R.kecocokan'!$C$89,P203="Sedang",'B.kriteria &amp; R.kecocokan'!$C$88,P203="Sangat Sedikit",'B.kriteria &amp; R.kecocokan'!$C$90)</f>
        <v>1</v>
      </c>
      <c r="R203" s="9" t="str">
        <f>'B.kriteria &amp; R.kecocokan'!$B$51</f>
        <v>Tinggi</v>
      </c>
      <c r="S203" s="8">
        <f>_xlfn.IFS(R203="Rendah",'B.kriteria &amp; R.kecocokan'!$C$49,R203="Sedang",'B.kriteria &amp; R.kecocokan'!$C$50,R203="Tinggi",'B.kriteria &amp; R.kecocokan'!$C$51)</f>
        <v>7.5</v>
      </c>
      <c r="T203" s="9" t="str">
        <f>'B.kriteria &amp; R.kecocokan'!$B$59</f>
        <v>Tinggi</v>
      </c>
      <c r="U203" s="51">
        <f>_xlfn.IFS(T203="Rendah",'B.kriteria &amp; R.kecocokan'!$C$57,T203="Sedang",'B.kriteria &amp; R.kecocokan'!$C$58,T203="Tinggi",'B.kriteria &amp; R.kecocokan'!$C$59)</f>
        <v>7.5</v>
      </c>
      <c r="V203" s="51" t="str">
        <f>'B.kriteria &amp; R.kecocokan'!$B$65</f>
        <v>Rendah</v>
      </c>
      <c r="W203" s="9">
        <f>_xlfn.IFS(V203="Rendah",'B.kriteria &amp; R.kecocokan'!$C$65,V203="Sedang",'B.kriteria &amp; R.kecocokan'!$C$66,V203="Tinggi",'B.kriteria &amp; R.kecocokan'!$C$67)</f>
        <v>1</v>
      </c>
      <c r="X203" s="117">
        <f t="shared" si="17"/>
        <v>7.3382174699024718</v>
      </c>
      <c r="Y203" s="117">
        <f t="shared" si="18"/>
        <v>9.8615414616580104</v>
      </c>
      <c r="Z203" s="119">
        <f t="shared" si="19"/>
        <v>7.3382174699024718</v>
      </c>
      <c r="AA203" s="55" t="str">
        <f t="shared" si="20"/>
        <v>Layak</v>
      </c>
    </row>
    <row r="204" spans="1:27" x14ac:dyDescent="0.35">
      <c r="A204" s="5">
        <v>91</v>
      </c>
      <c r="B204" s="2" t="s">
        <v>140</v>
      </c>
      <c r="C204" s="11" t="s">
        <v>95</v>
      </c>
      <c r="D204" s="28" t="str">
        <f>'B.kriteria &amp; R.kecocokan'!$B$25</f>
        <v>Sedikit</v>
      </c>
      <c r="E204" s="111">
        <f>_xlfn.IFS(D204="Banyak",'B.kriteria &amp; R.kecocokan'!$C$23,D204="Cukup",'B.kriteria &amp; R.kecocokan'!$C$24,D204="Sedikit",'B.kriteria &amp; R.kecocokan'!$C$25)</f>
        <v>7.5</v>
      </c>
      <c r="F204" s="9" t="str">
        <f>'B.kriteria &amp; R.kecocokan'!$B$34</f>
        <v>Tinggi</v>
      </c>
      <c r="G204" s="8">
        <f>_xlfn.IFS(F204="Tinggi",'B.kriteria &amp; R.kecocokan'!$C$34,F204="Sangat Tinggi",'B.kriteria &amp; R.kecocokan'!$C$35)</f>
        <v>7.5</v>
      </c>
      <c r="H204" s="8" t="str">
        <f>'B.kriteria &amp; R.kecocokan'!$B$41</f>
        <v>Rendah</v>
      </c>
      <c r="I204" s="8">
        <f>_xlfn.IFS(H204="Rendah",'B.kriteria &amp; R.kecocokan'!$C$41,H204="Sedang",'B.kriteria &amp; R.kecocokan'!$C$42,H204="Tinggi",'B.kriteria &amp; R.kecocokan'!$C$43)</f>
        <v>2.5</v>
      </c>
      <c r="J204" s="8" t="str">
        <f>'B.kriteria &amp; R.kecocokan'!$B$72</f>
        <v>Rendah</v>
      </c>
      <c r="K204" s="8">
        <f>_xlfn.IFS(J204="Rendah",'B.kriteria &amp; R.kecocokan'!$C$72,J204="Sedang",'B.kriteria &amp; R.kecocokan'!$C$73,J204="Tinggi",'B.kriteria &amp; R.kecocokan'!$C$74)</f>
        <v>2.5</v>
      </c>
      <c r="L204" s="8" t="str">
        <f>'B.kriteria &amp; R.kecocokan'!$B$95</f>
        <v>Rendah</v>
      </c>
      <c r="M204" s="8">
        <f>_xlfn.IFS(L204="Rendah",'B.kriteria &amp; R.kecocokan'!$C$95,L204="Tinggi",'B.kriteria &amp; R.kecocokan'!$C$96)</f>
        <v>2.5</v>
      </c>
      <c r="N204" s="9" t="str">
        <f>'B.kriteria &amp; R.kecocokan'!$B$81</f>
        <v>Tinggi</v>
      </c>
      <c r="O204" s="8">
        <f>_xlfn.IFS(N204="Rendah",'B.kriteria &amp; R.kecocokan'!$C$80,N204="Tinggi",'B.kriteria &amp; R.kecocokan'!$C$81)</f>
        <v>7.5</v>
      </c>
      <c r="P204" s="9" t="str">
        <f>'B.kriteria &amp; R.kecocokan'!$B$90</f>
        <v>Sangat Sedikit</v>
      </c>
      <c r="Q204" s="8">
        <f>_xlfn.IFS(P204="Sedikit",'B.kriteria &amp; R.kecocokan'!$C$89,P204="Sedang",'B.kriteria &amp; R.kecocokan'!$C$88,P204="Sangat Sedikit",'B.kriteria &amp; R.kecocokan'!$C$90)</f>
        <v>1</v>
      </c>
      <c r="R204" s="8" t="str">
        <f>'B.kriteria &amp; R.kecocokan'!$B$49</f>
        <v>Rendah</v>
      </c>
      <c r="S204" s="8">
        <f>_xlfn.IFS(R204="Rendah",'B.kriteria &amp; R.kecocokan'!$C$49,R204="Sedang",'B.kriteria &amp; R.kecocokan'!$C$50,R204="Tinggi",'B.kriteria &amp; R.kecocokan'!$C$51)</f>
        <v>2.5</v>
      </c>
      <c r="T204" s="9" t="str">
        <f>'B.kriteria &amp; R.kecocokan'!$B$58</f>
        <v>Sedang</v>
      </c>
      <c r="U204" s="51">
        <f>_xlfn.IFS(T204="Rendah",'B.kriteria &amp; R.kecocokan'!$C$57,T204="Sedang",'B.kriteria &amp; R.kecocokan'!$C$58,T204="Tinggi",'B.kriteria &amp; R.kecocokan'!$C$59)</f>
        <v>5</v>
      </c>
      <c r="V204" s="51" t="str">
        <f>'B.kriteria &amp; R.kecocokan'!$B$65</f>
        <v>Rendah</v>
      </c>
      <c r="W204" s="9">
        <f>_xlfn.IFS(V204="Rendah",'B.kriteria &amp; R.kecocokan'!$C$65,V204="Sedang",'B.kriteria &amp; R.kecocokan'!$C$66,V204="Tinggi",'B.kriteria &amp; R.kecocokan'!$C$67)</f>
        <v>1</v>
      </c>
      <c r="X204" s="117">
        <f t="shared" si="17"/>
        <v>3.5582173971551962</v>
      </c>
      <c r="Y204" s="117">
        <f t="shared" si="18"/>
        <v>7.7298124168701534</v>
      </c>
      <c r="Z204" s="119">
        <f t="shared" si="19"/>
        <v>3.5582173971551962</v>
      </c>
      <c r="AA204" s="55" t="str">
        <f t="shared" si="20"/>
        <v>Layak</v>
      </c>
    </row>
    <row r="205" spans="1:27" x14ac:dyDescent="0.35">
      <c r="A205" s="1">
        <v>92</v>
      </c>
      <c r="B205" s="2" t="s">
        <v>251</v>
      </c>
      <c r="C205" s="11" t="s">
        <v>95</v>
      </c>
      <c r="D205" s="28" t="str">
        <f>'B.kriteria &amp; R.kecocokan'!$B$25</f>
        <v>Sedikit</v>
      </c>
      <c r="E205" s="111">
        <f>_xlfn.IFS(D205="Banyak",'B.kriteria &amp; R.kecocokan'!$C$23,D205="Cukup",'B.kriteria &amp; R.kecocokan'!$C$24,D205="Sedikit",'B.kriteria &amp; R.kecocokan'!$C$25)</f>
        <v>7.5</v>
      </c>
      <c r="F205" s="9" t="str">
        <f>'B.kriteria &amp; R.kecocokan'!$B$34</f>
        <v>Tinggi</v>
      </c>
      <c r="G205" s="8">
        <f>_xlfn.IFS(F205="Tinggi",'B.kriteria &amp; R.kecocokan'!$C$34,F205="Sangat Tinggi",'B.kriteria &amp; R.kecocokan'!$C$35)</f>
        <v>7.5</v>
      </c>
      <c r="H205" s="8" t="str">
        <f>'B.kriteria &amp; R.kecocokan'!$B$41</f>
        <v>Rendah</v>
      </c>
      <c r="I205" s="8">
        <f>_xlfn.IFS(H205="Rendah",'B.kriteria &amp; R.kecocokan'!$C$41,H205="Sedang",'B.kriteria &amp; R.kecocokan'!$C$42,H205="Tinggi",'B.kriteria &amp; R.kecocokan'!$C$43)</f>
        <v>2.5</v>
      </c>
      <c r="J205" s="8" t="str">
        <f>'B.kriteria &amp; R.kecocokan'!$B$72</f>
        <v>Rendah</v>
      </c>
      <c r="K205" s="8">
        <f>_xlfn.IFS(J205="Rendah",'B.kriteria &amp; R.kecocokan'!$C$72,J205="Sedang",'B.kriteria &amp; R.kecocokan'!$C$73,J205="Tinggi",'B.kriteria &amp; R.kecocokan'!$C$74)</f>
        <v>2.5</v>
      </c>
      <c r="L205" s="8" t="str">
        <f>'B.kriteria &amp; R.kecocokan'!$B$95</f>
        <v>Rendah</v>
      </c>
      <c r="M205" s="8">
        <f>_xlfn.IFS(L205="Rendah",'B.kriteria &amp; R.kecocokan'!$C$95,L205="Tinggi",'B.kriteria &amp; R.kecocokan'!$C$96)</f>
        <v>2.5</v>
      </c>
      <c r="N205" s="8" t="str">
        <f>'B.kriteria &amp; R.kecocokan'!$B$80</f>
        <v>Rendah</v>
      </c>
      <c r="O205" s="8">
        <f>_xlfn.IFS(N205="Rendah",'B.kriteria &amp; R.kecocokan'!$C$80,N205="Tinggi",'B.kriteria &amp; R.kecocokan'!$C$81)</f>
        <v>2.5</v>
      </c>
      <c r="P205" s="9" t="str">
        <f>'B.kriteria &amp; R.kecocokan'!$B$88</f>
        <v>Sedang</v>
      </c>
      <c r="Q205" s="8">
        <f>_xlfn.IFS(P205="Sedikit",'B.kriteria &amp; R.kecocokan'!$C$89,P205="Sedang",'B.kriteria &amp; R.kecocokan'!$C$88,P205="Sangat Sedikit",'B.kriteria &amp; R.kecocokan'!$C$90)</f>
        <v>5</v>
      </c>
      <c r="R205" s="8" t="str">
        <f>'B.kriteria &amp; R.kecocokan'!$B$49</f>
        <v>Rendah</v>
      </c>
      <c r="S205" s="8">
        <f>_xlfn.IFS(R205="Rendah",'B.kriteria &amp; R.kecocokan'!$C$49,R205="Sedang",'B.kriteria &amp; R.kecocokan'!$C$50,R205="Tinggi",'B.kriteria &amp; R.kecocokan'!$C$51)</f>
        <v>2.5</v>
      </c>
      <c r="T205" s="9" t="str">
        <f>'B.kriteria &amp; R.kecocokan'!$B$58</f>
        <v>Sedang</v>
      </c>
      <c r="U205" s="51">
        <f>_xlfn.IFS(T205="Rendah",'B.kriteria &amp; R.kecocokan'!$C$57,T205="Sedang",'B.kriteria &amp; R.kecocokan'!$C$58,T205="Tinggi",'B.kriteria &amp; R.kecocokan'!$C$59)</f>
        <v>5</v>
      </c>
      <c r="V205" s="51" t="str">
        <f>'B.kriteria &amp; R.kecocokan'!$B$65</f>
        <v>Rendah</v>
      </c>
      <c r="W205" s="9">
        <f>_xlfn.IFS(V205="Rendah",'B.kriteria &amp; R.kecocokan'!$C$65,V205="Sedang",'B.kriteria &amp; R.kecocokan'!$C$66,V205="Tinggi",'B.kriteria &amp; R.kecocokan'!$C$67)</f>
        <v>1</v>
      </c>
      <c r="X205" s="117">
        <f t="shared" si="17"/>
        <v>5.2904423159010934</v>
      </c>
      <c r="Y205" s="117">
        <f t="shared" si="18"/>
        <v>4.3301270189221936</v>
      </c>
      <c r="Z205" s="119">
        <f t="shared" si="19"/>
        <v>4.3301270189221936</v>
      </c>
      <c r="AA205" s="55" t="str">
        <f t="shared" si="20"/>
        <v>Tidak Layak</v>
      </c>
    </row>
    <row r="206" spans="1:27" x14ac:dyDescent="0.35">
      <c r="A206" s="5">
        <v>93</v>
      </c>
      <c r="B206" s="2" t="s">
        <v>252</v>
      </c>
      <c r="C206" s="11" t="s">
        <v>95</v>
      </c>
      <c r="D206" s="9" t="str">
        <f>'B.kriteria &amp; R.kecocokan'!$B$23</f>
        <v>Banyak</v>
      </c>
      <c r="E206" s="111">
        <f>_xlfn.IFS(D206="Banyak",'B.kriteria &amp; R.kecocokan'!$C$23,D206="Cukup",'B.kriteria &amp; R.kecocokan'!$C$24,D206="Sedikit",'B.kriteria &amp; R.kecocokan'!$C$25)</f>
        <v>2.5</v>
      </c>
      <c r="F206" s="9" t="str">
        <f>'B.kriteria &amp; R.kecocokan'!$B$34</f>
        <v>Tinggi</v>
      </c>
      <c r="G206" s="8">
        <f>_xlfn.IFS(F206="Tinggi",'B.kriteria &amp; R.kecocokan'!$C$34,F206="Sangat Tinggi",'B.kriteria &amp; R.kecocokan'!$C$35)</f>
        <v>7.5</v>
      </c>
      <c r="H206" s="8" t="str">
        <f>'B.kriteria &amp; R.kecocokan'!$B$41</f>
        <v>Rendah</v>
      </c>
      <c r="I206" s="8">
        <f>_xlfn.IFS(H206="Rendah",'B.kriteria &amp; R.kecocokan'!$C$41,H206="Sedang",'B.kriteria &amp; R.kecocokan'!$C$42,H206="Tinggi",'B.kriteria &amp; R.kecocokan'!$C$43)</f>
        <v>2.5</v>
      </c>
      <c r="J206" s="8" t="str">
        <f>'B.kriteria &amp; R.kecocokan'!$B$72</f>
        <v>Rendah</v>
      </c>
      <c r="K206" s="8">
        <f>_xlfn.IFS(J206="Rendah",'B.kriteria &amp; R.kecocokan'!$C$72,J206="Sedang",'B.kriteria &amp; R.kecocokan'!$C$73,J206="Tinggi",'B.kriteria &amp; R.kecocokan'!$C$74)</f>
        <v>2.5</v>
      </c>
      <c r="L206" s="8" t="str">
        <f>'B.kriteria &amp; R.kecocokan'!$B$95</f>
        <v>Rendah</v>
      </c>
      <c r="M206" s="8">
        <f>_xlfn.IFS(L206="Rendah",'B.kriteria &amp; R.kecocokan'!$C$95,L206="Tinggi",'B.kriteria &amp; R.kecocokan'!$C$96)</f>
        <v>2.5</v>
      </c>
      <c r="N206" s="8" t="str">
        <f>'B.kriteria &amp; R.kecocokan'!$B$80</f>
        <v>Rendah</v>
      </c>
      <c r="O206" s="8">
        <f>_xlfn.IFS(N206="Rendah",'B.kriteria &amp; R.kecocokan'!$C$80,N206="Tinggi",'B.kriteria &amp; R.kecocokan'!$C$81)</f>
        <v>2.5</v>
      </c>
      <c r="P206" s="9" t="str">
        <f>'B.kriteria &amp; R.kecocokan'!$B$88</f>
        <v>Sedang</v>
      </c>
      <c r="Q206" s="8">
        <f>_xlfn.IFS(P206="Sedikit",'B.kriteria &amp; R.kecocokan'!$C$89,P206="Sedang",'B.kriteria &amp; R.kecocokan'!$C$88,P206="Sangat Sedikit",'B.kriteria &amp; R.kecocokan'!$C$90)</f>
        <v>5</v>
      </c>
      <c r="R206" s="8" t="str">
        <f>'B.kriteria &amp; R.kecocokan'!$B$49</f>
        <v>Rendah</v>
      </c>
      <c r="S206" s="8">
        <f>_xlfn.IFS(R206="Rendah",'B.kriteria &amp; R.kecocokan'!$C$49,R206="Sedang",'B.kriteria &amp; R.kecocokan'!$C$50,R206="Tinggi",'B.kriteria &amp; R.kecocokan'!$C$51)</f>
        <v>2.5</v>
      </c>
      <c r="T206" s="8" t="str">
        <f>'B.kriteria &amp; R.kecocokan'!$B$57</f>
        <v>Rendah</v>
      </c>
      <c r="U206" s="51">
        <f>_xlfn.IFS(T206="Rendah",'B.kriteria &amp; R.kecocokan'!$C$57,T206="Sedang",'B.kriteria &amp; R.kecocokan'!$C$58,T206="Tinggi",'B.kriteria &amp; R.kecocokan'!$C$59)</f>
        <v>2.5</v>
      </c>
      <c r="V206" s="51" t="str">
        <f>'B.kriteria &amp; R.kecocokan'!$B$65</f>
        <v>Rendah</v>
      </c>
      <c r="W206" s="9">
        <f>_xlfn.IFS(V206="Rendah",'B.kriteria &amp; R.kecocokan'!$C$65,V206="Sedang",'B.kriteria &amp; R.kecocokan'!$C$66,V206="Tinggi",'B.kriteria &amp; R.kecocokan'!$C$67)</f>
        <v>1</v>
      </c>
      <c r="X206" s="117">
        <f t="shared" si="17"/>
        <v>5.5272285376771766</v>
      </c>
      <c r="Y206" s="117">
        <f t="shared" si="18"/>
        <v>3.5355339059327378</v>
      </c>
      <c r="Z206" s="119">
        <f t="shared" si="19"/>
        <v>3.5355339059327378</v>
      </c>
      <c r="AA206" s="55" t="str">
        <f t="shared" si="20"/>
        <v>Tidak Layak</v>
      </c>
    </row>
    <row r="207" spans="1:27" x14ac:dyDescent="0.35">
      <c r="A207" s="1"/>
      <c r="B207" s="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52"/>
      <c r="V207" s="52"/>
      <c r="W207" s="52"/>
      <c r="X207" s="52"/>
      <c r="Y207" s="52"/>
      <c r="Z207" s="52"/>
      <c r="AA207" s="17"/>
    </row>
    <row r="208" spans="1:27" x14ac:dyDescent="0.35">
      <c r="A208" s="1"/>
      <c r="B208" s="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52"/>
      <c r="V208" s="52"/>
      <c r="W208" s="52"/>
      <c r="X208" s="52"/>
      <c r="Y208" s="52"/>
      <c r="Z208" s="52"/>
      <c r="AA208" s="17"/>
    </row>
    <row r="209" spans="1:27" x14ac:dyDescent="0.35">
      <c r="A209" s="1"/>
      <c r="B209" s="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52"/>
      <c r="V209" s="52"/>
      <c r="W209" s="52"/>
      <c r="X209" s="52"/>
      <c r="Y209" s="52"/>
      <c r="Z209" s="52"/>
      <c r="AA209" s="17"/>
    </row>
    <row r="210" spans="1:27" ht="15" thickBot="1" x14ac:dyDescent="0.4">
      <c r="A210" s="3"/>
      <c r="B210" s="4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53"/>
      <c r="V210" s="53"/>
      <c r="W210" s="53"/>
      <c r="X210" s="53"/>
      <c r="Y210" s="53"/>
      <c r="Z210" s="53"/>
      <c r="AA210" s="18"/>
    </row>
    <row r="211" spans="1:27" ht="15" thickTop="1" x14ac:dyDescent="0.35"/>
    <row r="212" spans="1:27" x14ac:dyDescent="0.35">
      <c r="Z212" t="s">
        <v>412</v>
      </c>
    </row>
    <row r="213" spans="1:27" x14ac:dyDescent="0.35">
      <c r="Y213" t="s">
        <v>413</v>
      </c>
      <c r="Z213">
        <f>COUNTIF($AA$114:$AA$206,$AA$204)</f>
        <v>59</v>
      </c>
    </row>
    <row r="214" spans="1:27" x14ac:dyDescent="0.35">
      <c r="Y214" t="s">
        <v>409</v>
      </c>
      <c r="Z214">
        <f>COUNTIF($AA$114:$AA$206,$AA$206)</f>
        <v>34</v>
      </c>
    </row>
    <row r="215" spans="1:27" x14ac:dyDescent="0.35">
      <c r="Z215">
        <f>SUM(Z213:Z214)</f>
        <v>93</v>
      </c>
    </row>
    <row r="216" spans="1:27" x14ac:dyDescent="0.35">
      <c r="B216" s="43" t="s">
        <v>414</v>
      </c>
    </row>
    <row r="217" spans="1:27" x14ac:dyDescent="0.35">
      <c r="B217" s="80" t="s">
        <v>404</v>
      </c>
      <c r="E217" s="80">
        <f>(SUMIF($AA$114:$AA$206,$AA$204,E$114:E$206))/59</f>
        <v>5.7627118644067794</v>
      </c>
      <c r="F217" s="80">
        <f t="shared" ref="F217:W217" si="21">(SUMIF($AA$114:$AA$206,$AA$204,F$114:F$206))/59</f>
        <v>0</v>
      </c>
      <c r="G217" s="80">
        <f t="shared" si="21"/>
        <v>7.8389830508474576</v>
      </c>
      <c r="H217" s="80">
        <f t="shared" si="21"/>
        <v>0</v>
      </c>
      <c r="I217" s="80">
        <f t="shared" si="21"/>
        <v>2.9237288135593222</v>
      </c>
      <c r="J217" s="80">
        <f t="shared" si="21"/>
        <v>0</v>
      </c>
      <c r="K217" s="80">
        <f t="shared" si="21"/>
        <v>2.5847457627118646</v>
      </c>
      <c r="L217" s="80">
        <f t="shared" si="21"/>
        <v>0</v>
      </c>
      <c r="M217" s="80">
        <f t="shared" si="21"/>
        <v>2.6694915254237288</v>
      </c>
      <c r="N217" s="80">
        <f t="shared" si="21"/>
        <v>0</v>
      </c>
      <c r="O217" s="80">
        <f t="shared" si="21"/>
        <v>5.7203389830508478</v>
      </c>
      <c r="P217" s="80">
        <f t="shared" si="21"/>
        <v>0</v>
      </c>
      <c r="Q217" s="80">
        <f t="shared" si="21"/>
        <v>1.6016949152542372</v>
      </c>
      <c r="R217" s="80">
        <f t="shared" si="21"/>
        <v>0</v>
      </c>
      <c r="S217" s="80">
        <f t="shared" si="21"/>
        <v>3.0084745762711864</v>
      </c>
      <c r="T217" s="80">
        <f t="shared" si="21"/>
        <v>0</v>
      </c>
      <c r="U217" s="80">
        <f t="shared" si="21"/>
        <v>3.3050847457627119</v>
      </c>
      <c r="V217" s="80">
        <f t="shared" si="21"/>
        <v>0</v>
      </c>
      <c r="W217" s="80">
        <f t="shared" si="21"/>
        <v>1.0169491525423728</v>
      </c>
    </row>
    <row r="218" spans="1:27" x14ac:dyDescent="0.35">
      <c r="B218" s="80" t="s">
        <v>405</v>
      </c>
      <c r="E218" s="80">
        <f>(SUMIF($AA$114:$AA$206,$AA$206,E$114:E$206))/34</f>
        <v>4.5588235294117645</v>
      </c>
      <c r="F218" s="80">
        <f t="shared" ref="F218:W218" si="22">(SUMIF($AA$114:$AA$206,$AA$206,F$114:F$206))/34</f>
        <v>0</v>
      </c>
      <c r="G218" s="80">
        <f t="shared" si="22"/>
        <v>8.0882352941176467</v>
      </c>
      <c r="H218" s="80">
        <f t="shared" si="22"/>
        <v>0</v>
      </c>
      <c r="I218" s="80">
        <f t="shared" si="22"/>
        <v>3.3823529411764706</v>
      </c>
      <c r="J218" s="80">
        <f t="shared" si="22"/>
        <v>0</v>
      </c>
      <c r="K218" s="80">
        <f t="shared" si="22"/>
        <v>2.5</v>
      </c>
      <c r="L218" s="80">
        <f t="shared" si="22"/>
        <v>0</v>
      </c>
      <c r="M218" s="80">
        <f t="shared" si="22"/>
        <v>2.5</v>
      </c>
      <c r="N218" s="80">
        <f t="shared" si="22"/>
        <v>0</v>
      </c>
      <c r="O218" s="80">
        <f t="shared" si="22"/>
        <v>2.5</v>
      </c>
      <c r="P218" s="80">
        <f t="shared" si="22"/>
        <v>0</v>
      </c>
      <c r="Q218" s="80">
        <f t="shared" si="22"/>
        <v>4.2941176470588234</v>
      </c>
      <c r="R218" s="80">
        <f t="shared" si="22"/>
        <v>0</v>
      </c>
      <c r="S218" s="80">
        <f t="shared" si="22"/>
        <v>2.7941176470588234</v>
      </c>
      <c r="T218" s="80">
        <f t="shared" si="22"/>
        <v>0</v>
      </c>
      <c r="U218" s="80">
        <f t="shared" si="22"/>
        <v>3.0882352941176472</v>
      </c>
      <c r="V218" s="80">
        <f t="shared" si="22"/>
        <v>0</v>
      </c>
      <c r="W218" s="80">
        <f t="shared" si="22"/>
        <v>1</v>
      </c>
    </row>
    <row r="220" spans="1:27" ht="15" thickBot="1" x14ac:dyDescent="0.4"/>
    <row r="221" spans="1:27" ht="59" thickTop="1" thickBot="1" x14ac:dyDescent="0.4">
      <c r="A221" s="13" t="s">
        <v>0</v>
      </c>
      <c r="B221" s="15" t="s">
        <v>2</v>
      </c>
      <c r="C221" s="14" t="s">
        <v>3</v>
      </c>
      <c r="D221" s="14" t="s">
        <v>4</v>
      </c>
      <c r="E221" s="14" t="str">
        <f>$D$6</f>
        <v xml:space="preserve">Penghasilan </v>
      </c>
      <c r="F221" s="15" t="s">
        <v>5</v>
      </c>
      <c r="G221" s="15" t="str">
        <f>$F$6</f>
        <v>Luas Rumah</v>
      </c>
      <c r="H221" s="15" t="s">
        <v>6</v>
      </c>
      <c r="I221" s="15" t="str">
        <f>$H$6</f>
        <v xml:space="preserve">Status Kepemilikan Rumah </v>
      </c>
      <c r="J221" s="15" t="s">
        <v>21</v>
      </c>
      <c r="K221" s="15" t="str">
        <f>$J$6</f>
        <v>Sumber Air</v>
      </c>
      <c r="L221" s="15" t="s">
        <v>7</v>
      </c>
      <c r="M221" s="15" t="str">
        <f>$L$6</f>
        <v>ibu Hamil / menyusui</v>
      </c>
      <c r="N221" s="15" t="s">
        <v>8</v>
      </c>
      <c r="O221" s="15" t="str">
        <f>$N$6</f>
        <v>lansia</v>
      </c>
      <c r="P221" s="15" t="s">
        <v>25</v>
      </c>
      <c r="Q221" s="15" t="str">
        <f>$P$6</f>
        <v>jumlah tanggungan (Anak)</v>
      </c>
      <c r="R221" s="15" t="s">
        <v>9</v>
      </c>
      <c r="S221" s="15" t="str">
        <f>$R$6</f>
        <v>jenis dinding</v>
      </c>
      <c r="T221" s="15" t="s">
        <v>10</v>
      </c>
      <c r="U221" s="50" t="str">
        <f>$T$6</f>
        <v xml:space="preserve">jenis lantai </v>
      </c>
      <c r="V221" s="50" t="s">
        <v>11</v>
      </c>
      <c r="W221" s="120" t="str">
        <f>$V$6</f>
        <v>jenis atap</v>
      </c>
      <c r="X221" s="109" t="s">
        <v>400</v>
      </c>
      <c r="Y221" s="109" t="s">
        <v>401</v>
      </c>
      <c r="Z221" s="109" t="s">
        <v>402</v>
      </c>
      <c r="AA221" s="54" t="s">
        <v>403</v>
      </c>
    </row>
    <row r="222" spans="1:27" ht="15" thickTop="1" x14ac:dyDescent="0.35">
      <c r="A222" s="5">
        <v>1</v>
      </c>
      <c r="B222" s="6" t="s">
        <v>12</v>
      </c>
      <c r="C222" s="7" t="s">
        <v>13</v>
      </c>
      <c r="D222" s="32" t="str">
        <f>'B.kriteria &amp; R.kecocokan'!$B$24</f>
        <v>Cukup</v>
      </c>
      <c r="E222" s="111">
        <f>_xlfn.IFS(D222="Banyak",'B.kriteria &amp; R.kecocokan'!$C$23,D222="Cukup",'B.kriteria &amp; R.kecocokan'!$C$24,D222="Sedikit",'B.kriteria &amp; R.kecocokan'!$C$25)</f>
        <v>5</v>
      </c>
      <c r="F222" s="8" t="str">
        <f>'B.kriteria &amp; R.kecocokan'!$B$34</f>
        <v>Tinggi</v>
      </c>
      <c r="G222" s="8">
        <f>_xlfn.IFS(F222="Tinggi",'B.kriteria &amp; R.kecocokan'!$C$34,F222="Sangat Tinggi",'B.kriteria &amp; R.kecocokan'!$C$35)</f>
        <v>7.5</v>
      </c>
      <c r="H222" s="8" t="str">
        <f>'B.kriteria &amp; R.kecocokan'!$B$41</f>
        <v>Rendah</v>
      </c>
      <c r="I222" s="8">
        <f>_xlfn.IFS(H222="Rendah",'B.kriteria &amp; R.kecocokan'!$C$41,H222="Sedang",'B.kriteria &amp; R.kecocokan'!$C$42,H222="Tinggi",'B.kriteria &amp; R.kecocokan'!$C$43)</f>
        <v>2.5</v>
      </c>
      <c r="J222" s="8" t="str">
        <f>'B.kriteria &amp; R.kecocokan'!$B$72</f>
        <v>Rendah</v>
      </c>
      <c r="K222" s="8">
        <f>_xlfn.IFS(J222="Rendah",'B.kriteria &amp; R.kecocokan'!$C$72,J222="Sedang",'B.kriteria &amp; R.kecocokan'!$C$73,J222="Tinggi",'B.kriteria &amp; R.kecocokan'!$C$74)</f>
        <v>2.5</v>
      </c>
      <c r="L222" s="8" t="str">
        <f>'B.kriteria &amp; R.kecocokan'!$B$95</f>
        <v>Rendah</v>
      </c>
      <c r="M222" s="8">
        <f>_xlfn.IFS(L222="Rendah",'B.kriteria &amp; R.kecocokan'!$C$95,L222="Tinggi",'B.kriteria &amp; R.kecocokan'!$C$96)</f>
        <v>2.5</v>
      </c>
      <c r="N222" s="8" t="str">
        <f>'B.kriteria &amp; R.kecocokan'!$B$80</f>
        <v>Rendah</v>
      </c>
      <c r="O222" s="8">
        <f>_xlfn.IFS(N222="Rendah",'B.kriteria &amp; R.kecocokan'!$C$80,N222="Tinggi",'B.kriteria &amp; R.kecocokan'!$C$81)</f>
        <v>2.5</v>
      </c>
      <c r="P222" s="8" t="str">
        <f>'B.kriteria &amp; R.kecocokan'!$B$89</f>
        <v>Sedikit</v>
      </c>
      <c r="Q222" s="8">
        <f>_xlfn.IFS(P222="Sedikit",'B.kriteria &amp; R.kecocokan'!$C$89,P222="Sedang",'B.kriteria &amp; R.kecocokan'!$C$88,P222="Sangat Sedikit",'B.kriteria &amp; R.kecocokan'!$C$90)</f>
        <v>2.5</v>
      </c>
      <c r="R222" s="8" t="str">
        <f>'B.kriteria &amp; R.kecocokan'!$B$49</f>
        <v>Rendah</v>
      </c>
      <c r="S222" s="8">
        <f>_xlfn.IFS(R222="Rendah",'B.kriteria &amp; R.kecocokan'!$C$49,R222="Sedang",'B.kriteria &amp; R.kecocokan'!$C$50,R222="Tinggi",'B.kriteria &amp; R.kecocokan'!$C$51)</f>
        <v>2.5</v>
      </c>
      <c r="T222" s="8" t="str">
        <f>'B.kriteria &amp; R.kecocokan'!$B$57</f>
        <v>Rendah</v>
      </c>
      <c r="U222" s="51">
        <f>_xlfn.IFS(T222="Rendah",'B.kriteria &amp; R.kecocokan'!$C$57,T222="Sedang",'B.kriteria &amp; R.kecocokan'!$C$58,T222="Tinggi",'B.kriteria &amp; R.kecocokan'!$C$59)</f>
        <v>2.5</v>
      </c>
      <c r="V222" s="51" t="str">
        <f>'B.kriteria &amp; R.kecocokan'!$B$65</f>
        <v>Rendah</v>
      </c>
      <c r="W222" s="110">
        <f>_xlfn.IFS(V222="Rendah",'B.kriteria &amp; R.kecocokan'!$C$65,V222="Sedang",'B.kriteria &amp; R.kecocokan'!$C$66,V222="Tinggi",'B.kriteria &amp; R.kecocokan'!$C$67)</f>
        <v>1</v>
      </c>
      <c r="X222" s="116">
        <f>SQRT(((E222-$E$217)^2)+((G222-$G$217)^2)+((I222-$I$217)^2+((K222-$K$217)^2)+((M222-$M$217)^2)+((O222-$O$217)^2)+((Q222-$Q$217)^2)+((S222-$S$217)^2)+((U222-$U$217)^2)+((W222-$W$217)^2)))</f>
        <v>3.6050831520479694</v>
      </c>
      <c r="Y222" s="116">
        <f>SQRT(((E222-$E$218)^2)+((G222-$G$218)^2)+((I222-$I$218)^2)+((K222-$K$218)^2)+((M222-$M$218)^2+((O222-$O$218)^2)+((Q222-$Q$218)^2)+((S222-$S$218)^2)+((U222-$U$218)^2)+((W222-$W$218)^2)))</f>
        <v>2.2294816068526147</v>
      </c>
      <c r="Z222" s="118">
        <f>MIN(X222:Y222)</f>
        <v>2.2294816068526147</v>
      </c>
      <c r="AA222" s="121" t="str">
        <f>IF(X222&lt;Y222,"Layak","Tidak Layak")</f>
        <v>Tidak Layak</v>
      </c>
    </row>
    <row r="223" spans="1:27" x14ac:dyDescent="0.35">
      <c r="A223" s="1">
        <v>2</v>
      </c>
      <c r="B223" s="2" t="s">
        <v>24</v>
      </c>
      <c r="C223" s="11" t="s">
        <v>13</v>
      </c>
      <c r="D223" s="32" t="str">
        <f>'B.kriteria &amp; R.kecocokan'!$B$24</f>
        <v>Cukup</v>
      </c>
      <c r="E223" s="111">
        <f>_xlfn.IFS(D223="Banyak",'B.kriteria &amp; R.kecocokan'!$C$23,D223="Cukup",'B.kriteria &amp; R.kecocokan'!$C$24,D223="Sedikit",'B.kriteria &amp; R.kecocokan'!$C$25)</f>
        <v>5</v>
      </c>
      <c r="F223" s="9" t="str">
        <f>'B.kriteria &amp; R.kecocokan'!$B$34</f>
        <v>Tinggi</v>
      </c>
      <c r="G223" s="8">
        <f>_xlfn.IFS(F223="Tinggi",'B.kriteria &amp; R.kecocokan'!$C$34,F223="Sangat Tinggi",'B.kriteria &amp; R.kecocokan'!$C$35)</f>
        <v>7.5</v>
      </c>
      <c r="H223" s="8" t="str">
        <f>'B.kriteria &amp; R.kecocokan'!$B$41</f>
        <v>Rendah</v>
      </c>
      <c r="I223" s="8">
        <f>_xlfn.IFS(H223="Rendah",'B.kriteria &amp; R.kecocokan'!$C$41,H223="Sedang",'B.kriteria &amp; R.kecocokan'!$C$42,H223="Tinggi",'B.kriteria &amp; R.kecocokan'!$C$43)</f>
        <v>2.5</v>
      </c>
      <c r="J223" s="8" t="str">
        <f>'B.kriteria &amp; R.kecocokan'!$B$72</f>
        <v>Rendah</v>
      </c>
      <c r="K223" s="8">
        <f>_xlfn.IFS(J223="Rendah",'B.kriteria &amp; R.kecocokan'!$C$72,J223="Sedang",'B.kriteria &amp; R.kecocokan'!$C$73,J223="Tinggi",'B.kriteria &amp; R.kecocokan'!$C$74)</f>
        <v>2.5</v>
      </c>
      <c r="L223" s="8" t="str">
        <f>'B.kriteria &amp; R.kecocokan'!$B$95</f>
        <v>Rendah</v>
      </c>
      <c r="M223" s="8">
        <f>_xlfn.IFS(L223="Rendah",'B.kriteria &amp; R.kecocokan'!$C$95,L223="Tinggi",'B.kriteria &amp; R.kecocokan'!$C$96)</f>
        <v>2.5</v>
      </c>
      <c r="N223" s="9" t="str">
        <f>'B.kriteria &amp; R.kecocokan'!$B$81</f>
        <v>Tinggi</v>
      </c>
      <c r="O223" s="8">
        <f>_xlfn.IFS(N223="Rendah",'B.kriteria &amp; R.kecocokan'!$C$80,N223="Tinggi",'B.kriteria &amp; R.kecocokan'!$C$81)</f>
        <v>7.5</v>
      </c>
      <c r="P223" s="9" t="str">
        <f>'B.kriteria &amp; R.kecocokan'!$B$90</f>
        <v>Sangat Sedikit</v>
      </c>
      <c r="Q223" s="8">
        <f>_xlfn.IFS(P223="Sedikit",'B.kriteria &amp; R.kecocokan'!$C$89,P223="Sedang",'B.kriteria &amp; R.kecocokan'!$C$88,P223="Sangat Sedikit",'B.kriteria &amp; R.kecocokan'!$C$90)</f>
        <v>1</v>
      </c>
      <c r="R223" s="8" t="str">
        <f>'B.kriteria &amp; R.kecocokan'!$B$49</f>
        <v>Rendah</v>
      </c>
      <c r="S223" s="8">
        <f>_xlfn.IFS(R223="Rendah",'B.kriteria &amp; R.kecocokan'!$C$49,R223="Sedang",'B.kriteria &amp; R.kecocokan'!$C$50,R223="Tinggi",'B.kriteria &amp; R.kecocokan'!$C$51)</f>
        <v>2.5</v>
      </c>
      <c r="T223" s="8" t="str">
        <f>'B.kriteria &amp; R.kecocokan'!$B$57</f>
        <v>Rendah</v>
      </c>
      <c r="U223" s="51">
        <f>_xlfn.IFS(T223="Rendah",'B.kriteria &amp; R.kecocokan'!$C$57,T223="Sedang",'B.kriteria &amp; R.kecocokan'!$C$58,T223="Tinggi",'B.kriteria &amp; R.kecocokan'!$C$59)</f>
        <v>2.5</v>
      </c>
      <c r="V223" s="51" t="str">
        <f>'B.kriteria &amp; R.kecocokan'!$B$65</f>
        <v>Rendah</v>
      </c>
      <c r="W223" s="9">
        <f>_xlfn.IFS(V223="Rendah",'B.kriteria &amp; R.kecocokan'!$C$65,V223="Sedang",'B.kriteria &amp; R.kecocokan'!$C$66,V223="Tinggi",'B.kriteria &amp; R.kecocokan'!$C$67)</f>
        <v>1</v>
      </c>
      <c r="X223" s="117">
        <f>SQRT(((E223-$E$217)^2)+((G223-$G$217)^2)+((I223-$I$217)^2+((K223-$K$217)^2)+((M223-$M$217)^2)+((O223-$O$217)^2)+((Q223-$Q$217)^2)+((S223-$S$217)^2)+((U223-$U$217)^2)+((W223-$W$217)^2)))</f>
        <v>2.3126433898105336</v>
      </c>
      <c r="Y223" s="117">
        <f>SQRT(((E223-$E$218)^2)+((G223-$G$218)^2)+((I223-$I$218)^2)+((K223-$K$218)^2)+((M223-$M$218)^2+((O223-$O$218)^2)+((Q223-$Q$218)^2)+((S223-$S$218)^2)+((U223-$U$218)^2)+((W223-$W$218)^2)))</f>
        <v>6.1321237085100124</v>
      </c>
      <c r="Z223" s="119">
        <f>MIN(X223:Y223)</f>
        <v>2.3126433898105336</v>
      </c>
      <c r="AA223" s="55" t="str">
        <f>IF(X223&lt;Y223,"Layak","Tidak Layak")</f>
        <v>Layak</v>
      </c>
    </row>
    <row r="224" spans="1:27" x14ac:dyDescent="0.35">
      <c r="A224" s="5">
        <v>3</v>
      </c>
      <c r="B224" s="2" t="s">
        <v>26</v>
      </c>
      <c r="C224" s="11" t="s">
        <v>13</v>
      </c>
      <c r="D224" s="9" t="str">
        <f>'B.kriteria &amp; R.kecocokan'!$B$23</f>
        <v>Banyak</v>
      </c>
      <c r="E224" s="111">
        <f>_xlfn.IFS(D224="Banyak",'B.kriteria &amp; R.kecocokan'!$C$23,D224="Cukup",'B.kriteria &amp; R.kecocokan'!$C$24,D224="Sedikit",'B.kriteria &amp; R.kecocokan'!$C$25)</f>
        <v>2.5</v>
      </c>
      <c r="F224" s="9" t="str">
        <f>'B.kriteria &amp; R.kecocokan'!$B$34</f>
        <v>Tinggi</v>
      </c>
      <c r="G224" s="8">
        <f>_xlfn.IFS(F224="Tinggi",'B.kriteria &amp; R.kecocokan'!$C$34,F224="Sangat Tinggi",'B.kriteria &amp; R.kecocokan'!$C$35)</f>
        <v>7.5</v>
      </c>
      <c r="H224" s="8" t="str">
        <f>'B.kriteria &amp; R.kecocokan'!$B$41</f>
        <v>Rendah</v>
      </c>
      <c r="I224" s="8">
        <f>_xlfn.IFS(H224="Rendah",'B.kriteria &amp; R.kecocokan'!$C$41,H224="Sedang",'B.kriteria &amp; R.kecocokan'!$C$42,H224="Tinggi",'B.kriteria &amp; R.kecocokan'!$C$43)</f>
        <v>2.5</v>
      </c>
      <c r="J224" s="8" t="str">
        <f>'B.kriteria &amp; R.kecocokan'!$B$72</f>
        <v>Rendah</v>
      </c>
      <c r="K224" s="8">
        <f>_xlfn.IFS(J224="Rendah",'B.kriteria &amp; R.kecocokan'!$C$72,J224="Sedang",'B.kriteria &amp; R.kecocokan'!$C$73,J224="Tinggi",'B.kriteria &amp; R.kecocokan'!$C$74)</f>
        <v>2.5</v>
      </c>
      <c r="L224" s="8" t="str">
        <f>'B.kriteria &amp; R.kecocokan'!$B$95</f>
        <v>Rendah</v>
      </c>
      <c r="M224" s="8">
        <f>_xlfn.IFS(L224="Rendah",'B.kriteria &amp; R.kecocokan'!$C$95,L224="Tinggi",'B.kriteria &amp; R.kecocokan'!$C$96)</f>
        <v>2.5</v>
      </c>
      <c r="N224" s="8" t="str">
        <f>'B.kriteria &amp; R.kecocokan'!$B$80</f>
        <v>Rendah</v>
      </c>
      <c r="O224" s="8">
        <f>_xlfn.IFS(N224="Rendah",'B.kriteria &amp; R.kecocokan'!$C$80,N224="Tinggi",'B.kriteria &amp; R.kecocokan'!$C$81)</f>
        <v>2.5</v>
      </c>
      <c r="P224" s="9" t="str">
        <f>'B.kriteria &amp; R.kecocokan'!$B$90</f>
        <v>Sangat Sedikit</v>
      </c>
      <c r="Q224" s="8">
        <f>_xlfn.IFS(P224="Sedikit",'B.kriteria &amp; R.kecocokan'!$C$89,P224="Sedang",'B.kriteria &amp; R.kecocokan'!$C$88,P224="Sangat Sedikit",'B.kriteria &amp; R.kecocokan'!$C$90)</f>
        <v>1</v>
      </c>
      <c r="R224" s="8" t="str">
        <f>'B.kriteria &amp; R.kecocokan'!$B$49</f>
        <v>Rendah</v>
      </c>
      <c r="S224" s="8">
        <f>_xlfn.IFS(R224="Rendah",'B.kriteria &amp; R.kecocokan'!$C$49,R224="Sedang",'B.kriteria &amp; R.kecocokan'!$C$50,R224="Tinggi",'B.kriteria &amp; R.kecocokan'!$C$51)</f>
        <v>2.5</v>
      </c>
      <c r="T224" s="8" t="str">
        <f>'B.kriteria &amp; R.kecocokan'!$B$57</f>
        <v>Rendah</v>
      </c>
      <c r="U224" s="51">
        <f>_xlfn.IFS(T224="Rendah",'B.kriteria &amp; R.kecocokan'!$C$57,T224="Sedang",'B.kriteria &amp; R.kecocokan'!$C$58,T224="Tinggi",'B.kriteria &amp; R.kecocokan'!$C$59)</f>
        <v>2.5</v>
      </c>
      <c r="V224" s="51" t="str">
        <f>'B.kriteria &amp; R.kecocokan'!$B$65</f>
        <v>Rendah</v>
      </c>
      <c r="W224" s="9">
        <f>_xlfn.IFS(V224="Rendah",'B.kriteria &amp; R.kecocokan'!$C$65,V224="Sedang",'B.kriteria &amp; R.kecocokan'!$C$66,V224="Tinggi",'B.kriteria &amp; R.kecocokan'!$C$67)</f>
        <v>1</v>
      </c>
      <c r="X224" s="117">
        <f t="shared" ref="X224:X287" si="23">SQRT(((E224-$E$217)^2)+((G224-$G$217)^2)+((I224-$I$217)^2+((K224-$K$217)^2)+((M224-$M$217)^2)+((O224-$O$217)^2)+((Q224-$Q$217)^2)+((S224-$S$217)^2)+((U224-$U$217)^2)+((W224-$W$217)^2)))</f>
        <v>4.7555513456356175</v>
      </c>
      <c r="Y224" s="117">
        <f t="shared" ref="Y224:Y287" si="24">SQRT(((E224-$E$218)^2)+((G224-$G$218)^2)+((I224-$I$218)^2)+((K224-$K$218)^2)+((M224-$M$218)^2+((O224-$O$218)^2)+((Q224-$Q$218)^2)+((S224-$S$218)^2)+((U224-$U$218)^2)+((W224-$W$218)^2)))</f>
        <v>4.0800807373787853</v>
      </c>
      <c r="Z224" s="119">
        <f t="shared" ref="Z224:Z287" si="25">MIN(X224:Y224)</f>
        <v>4.0800807373787853</v>
      </c>
      <c r="AA224" s="55" t="str">
        <f t="shared" ref="AA224:AA287" si="26">IF(X224&lt;Y224,"Layak","Tidak Layak")</f>
        <v>Tidak Layak</v>
      </c>
    </row>
    <row r="225" spans="1:27" x14ac:dyDescent="0.35">
      <c r="A225" s="134">
        <v>4</v>
      </c>
      <c r="B225" s="135" t="s">
        <v>27</v>
      </c>
      <c r="C225" s="136" t="s">
        <v>13</v>
      </c>
      <c r="D225" s="137" t="str">
        <f>'B.kriteria &amp; R.kecocokan'!$B$24</f>
        <v>Cukup</v>
      </c>
      <c r="E225" s="138">
        <f>_xlfn.IFS(D225="Banyak",'B.kriteria &amp; R.kecocokan'!$C$23,D225="Cukup",'B.kriteria &amp; R.kecocokan'!$C$24,D225="Sedikit",'B.kriteria &amp; R.kecocokan'!$C$25)</f>
        <v>5</v>
      </c>
      <c r="F225" s="139" t="str">
        <f>'B.kriteria &amp; R.kecocokan'!$B$34</f>
        <v>Tinggi</v>
      </c>
      <c r="G225" s="140">
        <f>_xlfn.IFS(F225="Tinggi",'B.kriteria &amp; R.kecocokan'!$C$34,F225="Sangat Tinggi",'B.kriteria &amp; R.kecocokan'!$C$35)</f>
        <v>7.5</v>
      </c>
      <c r="H225" s="140" t="str">
        <f>'B.kriteria &amp; R.kecocokan'!$B$41</f>
        <v>Rendah</v>
      </c>
      <c r="I225" s="140">
        <f>_xlfn.IFS(H225="Rendah",'B.kriteria &amp; R.kecocokan'!$C$41,H225="Sedang",'B.kriteria &amp; R.kecocokan'!$C$42,H225="Tinggi",'B.kriteria &amp; R.kecocokan'!$C$43)</f>
        <v>2.5</v>
      </c>
      <c r="J225" s="140" t="str">
        <f>'B.kriteria &amp; R.kecocokan'!$B$72</f>
        <v>Rendah</v>
      </c>
      <c r="K225" s="140">
        <f>_xlfn.IFS(J225="Rendah",'B.kriteria &amp; R.kecocokan'!$C$72,J225="Sedang",'B.kriteria &amp; R.kecocokan'!$C$73,J225="Tinggi",'B.kriteria &amp; R.kecocokan'!$C$74)</f>
        <v>2.5</v>
      </c>
      <c r="L225" s="140" t="str">
        <f>'B.kriteria &amp; R.kecocokan'!$B$95</f>
        <v>Rendah</v>
      </c>
      <c r="M225" s="140">
        <f>_xlfn.IFS(L225="Rendah",'B.kriteria &amp; R.kecocokan'!$C$95,L225="Tinggi",'B.kriteria &amp; R.kecocokan'!$C$96)</f>
        <v>2.5</v>
      </c>
      <c r="N225" s="140" t="str">
        <f>'B.kriteria &amp; R.kecocokan'!$B$80</f>
        <v>Rendah</v>
      </c>
      <c r="O225" s="140">
        <f>_xlfn.IFS(N225="Rendah",'B.kriteria &amp; R.kecocokan'!$C$80,N225="Tinggi",'B.kriteria &amp; R.kecocokan'!$C$81)</f>
        <v>2.5</v>
      </c>
      <c r="P225" s="140" t="str">
        <f>'B.kriteria &amp; R.kecocokan'!$B$89</f>
        <v>Sedikit</v>
      </c>
      <c r="Q225" s="140">
        <f>_xlfn.IFS(P225="Sedikit",'B.kriteria &amp; R.kecocokan'!$C$89,P225="Sedang",'B.kriteria &amp; R.kecocokan'!$C$88,P225="Sangat Sedikit",'B.kriteria &amp; R.kecocokan'!$C$90)</f>
        <v>2.5</v>
      </c>
      <c r="R225" s="140" t="str">
        <f>'B.kriteria &amp; R.kecocokan'!$B$49</f>
        <v>Rendah</v>
      </c>
      <c r="S225" s="140">
        <f>_xlfn.IFS(R225="Rendah",'B.kriteria &amp; R.kecocokan'!$C$49,R225="Sedang",'B.kriteria &amp; R.kecocokan'!$C$50,R225="Tinggi",'B.kriteria &amp; R.kecocokan'!$C$51)</f>
        <v>2.5</v>
      </c>
      <c r="T225" s="140" t="str">
        <f>'B.kriteria &amp; R.kecocokan'!$B$57</f>
        <v>Rendah</v>
      </c>
      <c r="U225" s="141">
        <f>_xlfn.IFS(T225="Rendah",'B.kriteria &amp; R.kecocokan'!$C$57,T225="Sedang",'B.kriteria &amp; R.kecocokan'!$C$58,T225="Tinggi",'B.kriteria &amp; R.kecocokan'!$C$59)</f>
        <v>2.5</v>
      </c>
      <c r="V225" s="141" t="str">
        <f>'B.kriteria &amp; R.kecocokan'!$B$65</f>
        <v>Rendah</v>
      </c>
      <c r="W225" s="139">
        <f>_xlfn.IFS(V225="Rendah",'B.kriteria &amp; R.kecocokan'!$C$65,V225="Sedang",'B.kriteria &amp; R.kecocokan'!$C$66,V225="Tinggi",'B.kriteria &amp; R.kecocokan'!$C$67)</f>
        <v>1</v>
      </c>
      <c r="X225" s="117">
        <f t="shared" si="23"/>
        <v>3.6050831520479694</v>
      </c>
      <c r="Y225" s="117">
        <f t="shared" si="24"/>
        <v>2.2294816068526147</v>
      </c>
      <c r="Z225" s="143">
        <f t="shared" si="25"/>
        <v>2.2294816068526147</v>
      </c>
      <c r="AA225" s="144" t="str">
        <f t="shared" si="26"/>
        <v>Tidak Layak</v>
      </c>
    </row>
    <row r="226" spans="1:27" x14ac:dyDescent="0.35">
      <c r="A226" s="1">
        <v>5</v>
      </c>
      <c r="B226" s="2" t="s">
        <v>31</v>
      </c>
      <c r="C226" s="11" t="s">
        <v>95</v>
      </c>
      <c r="D226" s="32" t="str">
        <f>'B.kriteria &amp; R.kecocokan'!$B$24</f>
        <v>Cukup</v>
      </c>
      <c r="E226" s="111">
        <f>_xlfn.IFS(D226="Banyak",'B.kriteria &amp; R.kecocokan'!$C$23,D226="Cukup",'B.kriteria &amp; R.kecocokan'!$C$24,D226="Sedikit",'B.kriteria &amp; R.kecocokan'!$C$25)</f>
        <v>5</v>
      </c>
      <c r="F226" s="9" t="str">
        <f>'B.kriteria &amp; R.kecocokan'!$B$34</f>
        <v>Tinggi</v>
      </c>
      <c r="G226" s="8">
        <f>_xlfn.IFS(F226="Tinggi",'B.kriteria &amp; R.kecocokan'!$C$34,F226="Sangat Tinggi",'B.kriteria &amp; R.kecocokan'!$C$35)</f>
        <v>7.5</v>
      </c>
      <c r="H226" s="8" t="str">
        <f>'B.kriteria &amp; R.kecocokan'!$B$41</f>
        <v>Rendah</v>
      </c>
      <c r="I226" s="8">
        <f>_xlfn.IFS(H226="Rendah",'B.kriteria &amp; R.kecocokan'!$C$41,H226="Sedang",'B.kriteria &amp; R.kecocokan'!$C$42,H226="Tinggi",'B.kriteria &amp; R.kecocokan'!$C$43)</f>
        <v>2.5</v>
      </c>
      <c r="J226" s="8" t="str">
        <f>'B.kriteria &amp; R.kecocokan'!$B$72</f>
        <v>Rendah</v>
      </c>
      <c r="K226" s="8">
        <f>_xlfn.IFS(J226="Rendah",'B.kriteria &amp; R.kecocokan'!$C$72,J226="Sedang",'B.kriteria &amp; R.kecocokan'!$C$73,J226="Tinggi",'B.kriteria &amp; R.kecocokan'!$C$74)</f>
        <v>2.5</v>
      </c>
      <c r="L226" s="8" t="str">
        <f>'B.kriteria &amp; R.kecocokan'!$B$95</f>
        <v>Rendah</v>
      </c>
      <c r="M226" s="8">
        <f>_xlfn.IFS(L226="Rendah",'B.kriteria &amp; R.kecocokan'!$C$95,L226="Tinggi",'B.kriteria &amp; R.kecocokan'!$C$96)</f>
        <v>2.5</v>
      </c>
      <c r="N226" s="8" t="str">
        <f>'B.kriteria &amp; R.kecocokan'!$B$80</f>
        <v>Rendah</v>
      </c>
      <c r="O226" s="8">
        <f>_xlfn.IFS(N226="Rendah",'B.kriteria &amp; R.kecocokan'!$C$80,N226="Tinggi",'B.kriteria &amp; R.kecocokan'!$C$81)</f>
        <v>2.5</v>
      </c>
      <c r="P226" s="9" t="str">
        <f>'B.kriteria &amp; R.kecocokan'!$B$88</f>
        <v>Sedang</v>
      </c>
      <c r="Q226" s="8">
        <f>_xlfn.IFS(P226="Sedikit",'B.kriteria &amp; R.kecocokan'!$C$89,P226="Sedang",'B.kriteria &amp; R.kecocokan'!$C$88,P226="Sangat Sedikit",'B.kriteria &amp; R.kecocokan'!$C$90)</f>
        <v>5</v>
      </c>
      <c r="R226" s="8" t="str">
        <f>'B.kriteria &amp; R.kecocokan'!$B$49</f>
        <v>Rendah</v>
      </c>
      <c r="S226" s="8">
        <f>_xlfn.IFS(R226="Rendah",'B.kriteria &amp; R.kecocokan'!$C$49,R226="Sedang",'B.kriteria &amp; R.kecocokan'!$C$50,R226="Tinggi",'B.kriteria &amp; R.kecocokan'!$C$51)</f>
        <v>2.5</v>
      </c>
      <c r="T226" s="8" t="str">
        <f>'B.kriteria &amp; R.kecocokan'!$B$57</f>
        <v>Rendah</v>
      </c>
      <c r="U226" s="51">
        <f>_xlfn.IFS(T226="Rendah",'B.kriteria &amp; R.kecocokan'!$C$57,T226="Sedang",'B.kriteria &amp; R.kecocokan'!$C$58,T226="Tinggi",'B.kriteria &amp; R.kecocokan'!$C$59)</f>
        <v>2.5</v>
      </c>
      <c r="V226" s="51" t="str">
        <f>'B.kriteria &amp; R.kecocokan'!$B$65</f>
        <v>Rendah</v>
      </c>
      <c r="W226" s="9">
        <f>_xlfn.IFS(V226="Rendah",'B.kriteria &amp; R.kecocokan'!$C$65,V226="Sedang",'B.kriteria &amp; R.kecocokan'!$C$66,V226="Tinggi",'B.kriteria &amp; R.kecocokan'!$C$67)</f>
        <v>1</v>
      </c>
      <c r="X226" s="117">
        <f t="shared" si="23"/>
        <v>4.8721812319441629</v>
      </c>
      <c r="Y226" s="117">
        <f t="shared" si="24"/>
        <v>1.5</v>
      </c>
      <c r="Z226" s="119">
        <f t="shared" si="25"/>
        <v>1.5</v>
      </c>
      <c r="AA226" s="55" t="str">
        <f t="shared" si="26"/>
        <v>Tidak Layak</v>
      </c>
    </row>
    <row r="227" spans="1:27" x14ac:dyDescent="0.35">
      <c r="A227" s="5">
        <v>6</v>
      </c>
      <c r="B227" s="2" t="s">
        <v>32</v>
      </c>
      <c r="C227" s="11" t="s">
        <v>13</v>
      </c>
      <c r="D227" s="9" t="str">
        <f>'B.kriteria &amp; R.kecocokan'!$B$23</f>
        <v>Banyak</v>
      </c>
      <c r="E227" s="111">
        <f>_xlfn.IFS(D227="Banyak",'B.kriteria &amp; R.kecocokan'!$C$23,D227="Cukup",'B.kriteria &amp; R.kecocokan'!$C$24,D227="Sedikit",'B.kriteria &amp; R.kecocokan'!$C$25)</f>
        <v>2.5</v>
      </c>
      <c r="F227" s="9" t="str">
        <f>'B.kriteria &amp; R.kecocokan'!$B$34</f>
        <v>Tinggi</v>
      </c>
      <c r="G227" s="8">
        <f>_xlfn.IFS(F227="Tinggi",'B.kriteria &amp; R.kecocokan'!$C$34,F227="Sangat Tinggi",'B.kriteria &amp; R.kecocokan'!$C$35)</f>
        <v>7.5</v>
      </c>
      <c r="H227" s="8" t="str">
        <f>'B.kriteria &amp; R.kecocokan'!$B$41</f>
        <v>Rendah</v>
      </c>
      <c r="I227" s="8">
        <f>_xlfn.IFS(H227="Rendah",'B.kriteria &amp; R.kecocokan'!$C$41,H227="Sedang",'B.kriteria &amp; R.kecocokan'!$C$42,H227="Tinggi",'B.kriteria &amp; R.kecocokan'!$C$43)</f>
        <v>2.5</v>
      </c>
      <c r="J227" s="8" t="str">
        <f>'B.kriteria &amp; R.kecocokan'!$B$72</f>
        <v>Rendah</v>
      </c>
      <c r="K227" s="8">
        <f>_xlfn.IFS(J227="Rendah",'B.kriteria &amp; R.kecocokan'!$C$72,J227="Sedang",'B.kriteria &amp; R.kecocokan'!$C$73,J227="Tinggi",'B.kriteria &amp; R.kecocokan'!$C$74)</f>
        <v>2.5</v>
      </c>
      <c r="L227" s="8" t="str">
        <f>'B.kriteria &amp; R.kecocokan'!$B$95</f>
        <v>Rendah</v>
      </c>
      <c r="M227" s="8">
        <f>_xlfn.IFS(L227="Rendah",'B.kriteria &amp; R.kecocokan'!$C$95,L227="Tinggi",'B.kriteria &amp; R.kecocokan'!$C$96)</f>
        <v>2.5</v>
      </c>
      <c r="N227" s="8" t="str">
        <f>'B.kriteria &amp; R.kecocokan'!$B$80</f>
        <v>Rendah</v>
      </c>
      <c r="O227" s="8">
        <f>_xlfn.IFS(N227="Rendah",'B.kriteria &amp; R.kecocokan'!$C$80,N227="Tinggi",'B.kriteria &amp; R.kecocokan'!$C$81)</f>
        <v>2.5</v>
      </c>
      <c r="P227" s="8" t="str">
        <f>'B.kriteria &amp; R.kecocokan'!$B$89</f>
        <v>Sedikit</v>
      </c>
      <c r="Q227" s="8">
        <f>_xlfn.IFS(P227="Sedikit",'B.kriteria &amp; R.kecocokan'!$C$89,P227="Sedang",'B.kriteria &amp; R.kecocokan'!$C$88,P227="Sangat Sedikit",'B.kriteria &amp; R.kecocokan'!$C$90)</f>
        <v>2.5</v>
      </c>
      <c r="R227" s="8" t="str">
        <f>'B.kriteria &amp; R.kecocokan'!$B$49</f>
        <v>Rendah</v>
      </c>
      <c r="S227" s="8">
        <f>_xlfn.IFS(R227="Rendah",'B.kriteria &amp; R.kecocokan'!$C$49,R227="Sedang",'B.kriteria &amp; R.kecocokan'!$C$50,R227="Tinggi",'B.kriteria &amp; R.kecocokan'!$C$51)</f>
        <v>2.5</v>
      </c>
      <c r="T227" s="8" t="str">
        <f>'B.kriteria &amp; R.kecocokan'!$B$57</f>
        <v>Rendah</v>
      </c>
      <c r="U227" s="51">
        <f>_xlfn.IFS(T227="Rendah",'B.kriteria &amp; R.kecocokan'!$C$57,T227="Sedang",'B.kriteria &amp; R.kecocokan'!$C$58,T227="Tinggi",'B.kriteria &amp; R.kecocokan'!$C$59)</f>
        <v>2.5</v>
      </c>
      <c r="V227" s="51" t="str">
        <f>'B.kriteria &amp; R.kecocokan'!$B$65</f>
        <v>Rendah</v>
      </c>
      <c r="W227" s="9">
        <f>_xlfn.IFS(V227="Rendah",'B.kriteria &amp; R.kecocokan'!$C$65,V227="Sedang",'B.kriteria &amp; R.kecocokan'!$C$66,V227="Tinggi",'B.kriteria &amp; R.kecocokan'!$C$67)</f>
        <v>1</v>
      </c>
      <c r="X227" s="117">
        <f t="shared" si="23"/>
        <v>4.8021020246569126</v>
      </c>
      <c r="Y227" s="117">
        <f t="shared" si="24"/>
        <v>3.0024499799918298</v>
      </c>
      <c r="Z227" s="119">
        <f t="shared" si="25"/>
        <v>3.0024499799918298</v>
      </c>
      <c r="AA227" s="55" t="str">
        <f t="shared" si="26"/>
        <v>Tidak Layak</v>
      </c>
    </row>
    <row r="228" spans="1:27" x14ac:dyDescent="0.35">
      <c r="A228" s="5">
        <v>7</v>
      </c>
      <c r="B228" s="2" t="s">
        <v>34</v>
      </c>
      <c r="C228" s="11" t="s">
        <v>13</v>
      </c>
      <c r="D228" s="9" t="str">
        <f>'B.kriteria &amp; R.kecocokan'!$B$23</f>
        <v>Banyak</v>
      </c>
      <c r="E228" s="111">
        <f>_xlfn.IFS(D228="Banyak",'B.kriteria &amp; R.kecocokan'!$C$23,D228="Cukup",'B.kriteria &amp; R.kecocokan'!$C$24,D228="Sedikit",'B.kriteria &amp; R.kecocokan'!$C$25)</f>
        <v>2.5</v>
      </c>
      <c r="F228" s="9" t="str">
        <f>'B.kriteria &amp; R.kecocokan'!$B$34</f>
        <v>Tinggi</v>
      </c>
      <c r="G228" s="8">
        <f>_xlfn.IFS(F228="Tinggi",'B.kriteria &amp; R.kecocokan'!$C$34,F228="Sangat Tinggi",'B.kriteria &amp; R.kecocokan'!$C$35)</f>
        <v>7.5</v>
      </c>
      <c r="H228" s="8" t="str">
        <f>'B.kriteria &amp; R.kecocokan'!$B$41</f>
        <v>Rendah</v>
      </c>
      <c r="I228" s="8">
        <f>_xlfn.IFS(H228="Rendah",'B.kriteria &amp; R.kecocokan'!$C$41,H228="Sedang",'B.kriteria &amp; R.kecocokan'!$C$42,H228="Tinggi",'B.kriteria &amp; R.kecocokan'!$C$43)</f>
        <v>2.5</v>
      </c>
      <c r="J228" s="8" t="str">
        <f>'B.kriteria &amp; R.kecocokan'!$B$72</f>
        <v>Rendah</v>
      </c>
      <c r="K228" s="8">
        <f>_xlfn.IFS(J228="Rendah",'B.kriteria &amp; R.kecocokan'!$C$72,J228="Sedang",'B.kriteria &amp; R.kecocokan'!$C$73,J228="Tinggi",'B.kriteria &amp; R.kecocokan'!$C$74)</f>
        <v>2.5</v>
      </c>
      <c r="L228" s="8" t="str">
        <f>'B.kriteria &amp; R.kecocokan'!$B$95</f>
        <v>Rendah</v>
      </c>
      <c r="M228" s="8">
        <f>_xlfn.IFS(L228="Rendah",'B.kriteria &amp; R.kecocokan'!$C$95,L228="Tinggi",'B.kriteria &amp; R.kecocokan'!$C$96)</f>
        <v>2.5</v>
      </c>
      <c r="N228" s="9" t="str">
        <f>'B.kriteria &amp; R.kecocokan'!$B$81</f>
        <v>Tinggi</v>
      </c>
      <c r="O228" s="8">
        <f>_xlfn.IFS(N228="Rendah",'B.kriteria &amp; R.kecocokan'!$C$80,N228="Tinggi",'B.kriteria &amp; R.kecocokan'!$C$81)</f>
        <v>7.5</v>
      </c>
      <c r="P228" s="9" t="str">
        <f>'B.kriteria &amp; R.kecocokan'!$B$88</f>
        <v>Sedang</v>
      </c>
      <c r="Q228" s="8">
        <f>_xlfn.IFS(P228="Sedikit",'B.kriteria &amp; R.kecocokan'!$C$89,P228="Sedang",'B.kriteria &amp; R.kecocokan'!$C$88,P228="Sangat Sedikit",'B.kriteria &amp; R.kecocokan'!$C$90)</f>
        <v>5</v>
      </c>
      <c r="R228" s="8" t="str">
        <f>'B.kriteria &amp; R.kecocokan'!$B$49</f>
        <v>Rendah</v>
      </c>
      <c r="S228" s="8">
        <f>_xlfn.IFS(R228="Rendah",'B.kriteria &amp; R.kecocokan'!$C$49,R228="Sedang",'B.kriteria &amp; R.kecocokan'!$C$50,R228="Tinggi",'B.kriteria &amp; R.kecocokan'!$C$51)</f>
        <v>2.5</v>
      </c>
      <c r="T228" s="8" t="str">
        <f>'B.kriteria &amp; R.kecocokan'!$B$57</f>
        <v>Rendah</v>
      </c>
      <c r="U228" s="51">
        <f>_xlfn.IFS(T228="Rendah",'B.kriteria &amp; R.kecocokan'!$C$57,T228="Sedang",'B.kriteria &amp; R.kecocokan'!$C$58,T228="Tinggi",'B.kriteria &amp; R.kecocokan'!$C$59)</f>
        <v>2.5</v>
      </c>
      <c r="V228" s="51" t="str">
        <f>'B.kriteria &amp; R.kecocokan'!$B$65</f>
        <v>Rendah</v>
      </c>
      <c r="W228" s="9">
        <f>_xlfn.IFS(V228="Rendah",'B.kriteria &amp; R.kecocokan'!$C$65,V228="Sedang",'B.kriteria &amp; R.kecocokan'!$C$66,V228="Tinggi",'B.kriteria &amp; R.kecocokan'!$C$67)</f>
        <v>1</v>
      </c>
      <c r="X228" s="117">
        <f t="shared" si="23"/>
        <v>5.15735585823146</v>
      </c>
      <c r="Y228" s="117">
        <f t="shared" si="24"/>
        <v>5.5941145543382307</v>
      </c>
      <c r="Z228" s="119">
        <f t="shared" si="25"/>
        <v>5.15735585823146</v>
      </c>
      <c r="AA228" s="55" t="str">
        <f t="shared" si="26"/>
        <v>Layak</v>
      </c>
    </row>
    <row r="229" spans="1:27" x14ac:dyDescent="0.35">
      <c r="A229" s="1">
        <v>8</v>
      </c>
      <c r="B229" s="2" t="s">
        <v>35</v>
      </c>
      <c r="C229" s="12" t="s">
        <v>13</v>
      </c>
      <c r="D229" s="32" t="str">
        <f>'B.kriteria &amp; R.kecocokan'!$B$24</f>
        <v>Cukup</v>
      </c>
      <c r="E229" s="111">
        <f>_xlfn.IFS(D229="Banyak",'B.kriteria &amp; R.kecocokan'!$C$23,D229="Cukup",'B.kriteria &amp; R.kecocokan'!$C$24,D229="Sedikit",'B.kriteria &amp; R.kecocokan'!$C$25)</f>
        <v>5</v>
      </c>
      <c r="F229" s="9" t="str">
        <f>'B.kriteria &amp; R.kecocokan'!$B$34</f>
        <v>Tinggi</v>
      </c>
      <c r="G229" s="8">
        <f>_xlfn.IFS(F229="Tinggi",'B.kriteria &amp; R.kecocokan'!$C$34,F229="Sangat Tinggi",'B.kriteria &amp; R.kecocokan'!$C$35)</f>
        <v>7.5</v>
      </c>
      <c r="H229" s="8" t="str">
        <f>'B.kriteria &amp; R.kecocokan'!$B$41</f>
        <v>Rendah</v>
      </c>
      <c r="I229" s="8">
        <f>_xlfn.IFS(H229="Rendah",'B.kriteria &amp; R.kecocokan'!$C$41,H229="Sedang",'B.kriteria &amp; R.kecocokan'!$C$42,H229="Tinggi",'B.kriteria &amp; R.kecocokan'!$C$43)</f>
        <v>2.5</v>
      </c>
      <c r="J229" s="8" t="str">
        <f>'B.kriteria &amp; R.kecocokan'!$B$72</f>
        <v>Rendah</v>
      </c>
      <c r="K229" s="8">
        <f>_xlfn.IFS(J229="Rendah",'B.kriteria &amp; R.kecocokan'!$C$72,J229="Sedang",'B.kriteria &amp; R.kecocokan'!$C$73,J229="Tinggi",'B.kriteria &amp; R.kecocokan'!$C$74)</f>
        <v>2.5</v>
      </c>
      <c r="L229" s="8" t="str">
        <f>'B.kriteria &amp; R.kecocokan'!$B$95</f>
        <v>Rendah</v>
      </c>
      <c r="M229" s="8">
        <f>_xlfn.IFS(L229="Rendah",'B.kriteria &amp; R.kecocokan'!$C$95,L229="Tinggi",'B.kriteria &amp; R.kecocokan'!$C$96)</f>
        <v>2.5</v>
      </c>
      <c r="N229" s="8" t="str">
        <f>'B.kriteria &amp; R.kecocokan'!$B$80</f>
        <v>Rendah</v>
      </c>
      <c r="O229" s="8">
        <f>_xlfn.IFS(N229="Rendah",'B.kriteria &amp; R.kecocokan'!$C$80,N229="Tinggi",'B.kriteria &amp; R.kecocokan'!$C$81)</f>
        <v>2.5</v>
      </c>
      <c r="P229" s="8" t="str">
        <f>'B.kriteria &amp; R.kecocokan'!$B$89</f>
        <v>Sedikit</v>
      </c>
      <c r="Q229" s="8">
        <f>_xlfn.IFS(P229="Sedikit",'B.kriteria &amp; R.kecocokan'!$C$89,P229="Sedang",'B.kriteria &amp; R.kecocokan'!$C$88,P229="Sangat Sedikit",'B.kriteria &amp; R.kecocokan'!$C$90)</f>
        <v>2.5</v>
      </c>
      <c r="R229" s="8" t="str">
        <f>'B.kriteria &amp; R.kecocokan'!$B$49</f>
        <v>Rendah</v>
      </c>
      <c r="S229" s="8">
        <f>_xlfn.IFS(R229="Rendah",'B.kriteria &amp; R.kecocokan'!$C$49,R229="Sedang",'B.kriteria &amp; R.kecocokan'!$C$50,R229="Tinggi",'B.kriteria &amp; R.kecocokan'!$C$51)</f>
        <v>2.5</v>
      </c>
      <c r="T229" s="8" t="str">
        <f>'B.kriteria &amp; R.kecocokan'!$B$57</f>
        <v>Rendah</v>
      </c>
      <c r="U229" s="51">
        <f>_xlfn.IFS(T229="Rendah",'B.kriteria &amp; R.kecocokan'!$C$57,T229="Sedang",'B.kriteria &amp; R.kecocokan'!$C$58,T229="Tinggi",'B.kriteria &amp; R.kecocokan'!$C$59)</f>
        <v>2.5</v>
      </c>
      <c r="V229" s="51" t="str">
        <f>'B.kriteria &amp; R.kecocokan'!$B$65</f>
        <v>Rendah</v>
      </c>
      <c r="W229" s="9">
        <f>_xlfn.IFS(V229="Rendah",'B.kriteria &amp; R.kecocokan'!$C$65,V229="Sedang",'B.kriteria &amp; R.kecocokan'!$C$66,V229="Tinggi",'B.kriteria &amp; R.kecocokan'!$C$67)</f>
        <v>1</v>
      </c>
      <c r="X229" s="117">
        <f t="shared" si="23"/>
        <v>3.6050831520479694</v>
      </c>
      <c r="Y229" s="117">
        <f t="shared" si="24"/>
        <v>2.2294816068526147</v>
      </c>
      <c r="Z229" s="119">
        <f t="shared" si="25"/>
        <v>2.2294816068526147</v>
      </c>
      <c r="AA229" s="55" t="str">
        <f t="shared" si="26"/>
        <v>Tidak Layak</v>
      </c>
    </row>
    <row r="230" spans="1:27" x14ac:dyDescent="0.35">
      <c r="A230" s="5">
        <v>9</v>
      </c>
      <c r="B230" s="2" t="s">
        <v>36</v>
      </c>
      <c r="C230" s="11" t="s">
        <v>13</v>
      </c>
      <c r="D230" s="32" t="str">
        <f>'B.kriteria &amp; R.kecocokan'!$B$24</f>
        <v>Cukup</v>
      </c>
      <c r="E230" s="111">
        <f>_xlfn.IFS(D230="Banyak",'B.kriteria &amp; R.kecocokan'!$C$23,D230="Cukup",'B.kriteria &amp; R.kecocokan'!$C$24,D230="Sedikit",'B.kriteria &amp; R.kecocokan'!$C$25)</f>
        <v>5</v>
      </c>
      <c r="F230" s="9" t="str">
        <f>'B.kriteria &amp; R.kecocokan'!$B$34</f>
        <v>Tinggi</v>
      </c>
      <c r="G230" s="8">
        <f>_xlfn.IFS(F230="Tinggi",'B.kriteria &amp; R.kecocokan'!$C$34,F230="Sangat Tinggi",'B.kriteria &amp; R.kecocokan'!$C$35)</f>
        <v>7.5</v>
      </c>
      <c r="H230" s="9" t="str">
        <f>'B.kriteria &amp; R.kecocokan'!$B$43</f>
        <v>Tinggi</v>
      </c>
      <c r="I230" s="8">
        <f>_xlfn.IFS(H230="Rendah",'B.kriteria &amp; R.kecocokan'!$C$41,H230="Sedang",'B.kriteria &amp; R.kecocokan'!$C$42,H230="Tinggi",'B.kriteria &amp; R.kecocokan'!$C$43)</f>
        <v>7.5</v>
      </c>
      <c r="J230" s="8" t="str">
        <f>'B.kriteria &amp; R.kecocokan'!$B$72</f>
        <v>Rendah</v>
      </c>
      <c r="K230" s="8">
        <f>_xlfn.IFS(J230="Rendah",'B.kriteria &amp; R.kecocokan'!$C$72,J230="Sedang",'B.kriteria &amp; R.kecocokan'!$C$73,J230="Tinggi",'B.kriteria &amp; R.kecocokan'!$C$74)</f>
        <v>2.5</v>
      </c>
      <c r="L230" s="8" t="str">
        <f>'B.kriteria &amp; R.kecocokan'!$B$95</f>
        <v>Rendah</v>
      </c>
      <c r="M230" s="8">
        <f>_xlfn.IFS(L230="Rendah",'B.kriteria &amp; R.kecocokan'!$C$95,L230="Tinggi",'B.kriteria &amp; R.kecocokan'!$C$96)</f>
        <v>2.5</v>
      </c>
      <c r="N230" s="8" t="str">
        <f>'B.kriteria &amp; R.kecocokan'!$B$80</f>
        <v>Rendah</v>
      </c>
      <c r="O230" s="8">
        <f>_xlfn.IFS(N230="Rendah",'B.kriteria &amp; R.kecocokan'!$C$80,N230="Tinggi",'B.kriteria &amp; R.kecocokan'!$C$81)</f>
        <v>2.5</v>
      </c>
      <c r="P230" s="9" t="str">
        <f>'B.kriteria &amp; R.kecocokan'!$B$88</f>
        <v>Sedang</v>
      </c>
      <c r="Q230" s="8">
        <f>_xlfn.IFS(P230="Sedikit",'B.kriteria &amp; R.kecocokan'!$C$89,P230="Sedang",'B.kriteria &amp; R.kecocokan'!$C$88,P230="Sangat Sedikit",'B.kriteria &amp; R.kecocokan'!$C$90)</f>
        <v>5</v>
      </c>
      <c r="R230" s="8" t="str">
        <f>'B.kriteria &amp; R.kecocokan'!$B$49</f>
        <v>Rendah</v>
      </c>
      <c r="S230" s="8">
        <f>_xlfn.IFS(R230="Rendah",'B.kriteria &amp; R.kecocokan'!$C$49,R230="Sedang",'B.kriteria &amp; R.kecocokan'!$C$50,R230="Tinggi",'B.kriteria &amp; R.kecocokan'!$C$51)</f>
        <v>2.5</v>
      </c>
      <c r="T230" s="8" t="str">
        <f>'B.kriteria &amp; R.kecocokan'!$B$57</f>
        <v>Rendah</v>
      </c>
      <c r="U230" s="51">
        <f>_xlfn.IFS(T230="Rendah",'B.kriteria &amp; R.kecocokan'!$C$57,T230="Sedang",'B.kriteria &amp; R.kecocokan'!$C$58,T230="Tinggi",'B.kriteria &amp; R.kecocokan'!$C$59)</f>
        <v>2.5</v>
      </c>
      <c r="V230" s="51" t="str">
        <f>'B.kriteria &amp; R.kecocokan'!$B$65</f>
        <v>Rendah</v>
      </c>
      <c r="W230" s="9">
        <f>_xlfn.IFS(V230="Rendah",'B.kriteria &amp; R.kecocokan'!$C$65,V230="Sedang",'B.kriteria &amp; R.kecocokan'!$C$66,V230="Tinggi",'B.kriteria &amp; R.kecocokan'!$C$67)</f>
        <v>1</v>
      </c>
      <c r="X230" s="117">
        <f t="shared" si="23"/>
        <v>6.6708966279890527</v>
      </c>
      <c r="Y230" s="117">
        <f t="shared" si="24"/>
        <v>4.2926065028412852</v>
      </c>
      <c r="Z230" s="119">
        <f t="shared" si="25"/>
        <v>4.2926065028412852</v>
      </c>
      <c r="AA230" s="55" t="str">
        <f t="shared" si="26"/>
        <v>Tidak Layak</v>
      </c>
    </row>
    <row r="231" spans="1:27" x14ac:dyDescent="0.35">
      <c r="A231" s="5">
        <v>10</v>
      </c>
      <c r="B231" s="2" t="s">
        <v>39</v>
      </c>
      <c r="C231" s="12" t="s">
        <v>13</v>
      </c>
      <c r="D231" s="32" t="str">
        <f>'B.kriteria &amp; R.kecocokan'!$B$24</f>
        <v>Cukup</v>
      </c>
      <c r="E231" s="111">
        <f>_xlfn.IFS(D231="Banyak",'B.kriteria &amp; R.kecocokan'!$C$23,D231="Cukup",'B.kriteria &amp; R.kecocokan'!$C$24,D231="Sedikit",'B.kriteria &amp; R.kecocokan'!$C$25)</f>
        <v>5</v>
      </c>
      <c r="F231" s="9" t="str">
        <f>'B.kriteria &amp; R.kecocokan'!$B$34</f>
        <v>Tinggi</v>
      </c>
      <c r="G231" s="8">
        <f>_xlfn.IFS(F231="Tinggi",'B.kriteria &amp; R.kecocokan'!$C$34,F231="Sangat Tinggi",'B.kriteria &amp; R.kecocokan'!$C$35)</f>
        <v>7.5</v>
      </c>
      <c r="H231" s="8" t="str">
        <f>'B.kriteria &amp; R.kecocokan'!$B$41</f>
        <v>Rendah</v>
      </c>
      <c r="I231" s="8">
        <f>_xlfn.IFS(H231="Rendah",'B.kriteria &amp; R.kecocokan'!$C$41,H231="Sedang",'B.kriteria &amp; R.kecocokan'!$C$42,H231="Tinggi",'B.kriteria &amp; R.kecocokan'!$C$43)</f>
        <v>2.5</v>
      </c>
      <c r="J231" s="8" t="str">
        <f>'B.kriteria &amp; R.kecocokan'!$B$72</f>
        <v>Rendah</v>
      </c>
      <c r="K231" s="8">
        <f>_xlfn.IFS(J231="Rendah",'B.kriteria &amp; R.kecocokan'!$C$72,J231="Sedang",'B.kriteria &amp; R.kecocokan'!$C$73,J231="Tinggi",'B.kriteria &amp; R.kecocokan'!$C$74)</f>
        <v>2.5</v>
      </c>
      <c r="L231" s="8" t="str">
        <f>'B.kriteria &amp; R.kecocokan'!$B$95</f>
        <v>Rendah</v>
      </c>
      <c r="M231" s="8">
        <f>_xlfn.IFS(L231="Rendah",'B.kriteria &amp; R.kecocokan'!$C$95,L231="Tinggi",'B.kriteria &amp; R.kecocokan'!$C$96)</f>
        <v>2.5</v>
      </c>
      <c r="N231" s="9" t="str">
        <f>'B.kriteria &amp; R.kecocokan'!$B$81</f>
        <v>Tinggi</v>
      </c>
      <c r="O231" s="8">
        <f>_xlfn.IFS(N231="Rendah",'B.kriteria &amp; R.kecocokan'!$C$80,N231="Tinggi",'B.kriteria &amp; R.kecocokan'!$C$81)</f>
        <v>7.5</v>
      </c>
      <c r="P231" s="9" t="str">
        <f>'B.kriteria &amp; R.kecocokan'!$B$90</f>
        <v>Sangat Sedikit</v>
      </c>
      <c r="Q231" s="8">
        <f>_xlfn.IFS(P231="Sedikit",'B.kriteria &amp; R.kecocokan'!$C$89,P231="Sedang",'B.kriteria &amp; R.kecocokan'!$C$88,P231="Sangat Sedikit",'B.kriteria &amp; R.kecocokan'!$C$90)</f>
        <v>1</v>
      </c>
      <c r="R231" s="8" t="str">
        <f>'B.kriteria &amp; R.kecocokan'!$B$49</f>
        <v>Rendah</v>
      </c>
      <c r="S231" s="8">
        <f>_xlfn.IFS(R231="Rendah",'B.kriteria &amp; R.kecocokan'!$C$49,R231="Sedang",'B.kriteria &amp; R.kecocokan'!$C$50,R231="Tinggi",'B.kriteria &amp; R.kecocokan'!$C$51)</f>
        <v>2.5</v>
      </c>
      <c r="T231" s="8" t="str">
        <f>'B.kriteria &amp; R.kecocokan'!$B$57</f>
        <v>Rendah</v>
      </c>
      <c r="U231" s="51">
        <f>_xlfn.IFS(T231="Rendah",'B.kriteria &amp; R.kecocokan'!$C$57,T231="Sedang",'B.kriteria &amp; R.kecocokan'!$C$58,T231="Tinggi",'B.kriteria &amp; R.kecocokan'!$C$59)</f>
        <v>2.5</v>
      </c>
      <c r="V231" s="51" t="str">
        <f>'B.kriteria &amp; R.kecocokan'!$B$65</f>
        <v>Rendah</v>
      </c>
      <c r="W231" s="9">
        <f>_xlfn.IFS(V231="Rendah",'B.kriteria &amp; R.kecocokan'!$C$65,V231="Sedang",'B.kriteria &amp; R.kecocokan'!$C$66,V231="Tinggi",'B.kriteria &amp; R.kecocokan'!$C$67)</f>
        <v>1</v>
      </c>
      <c r="X231" s="117">
        <f t="shared" si="23"/>
        <v>2.3126433898105336</v>
      </c>
      <c r="Y231" s="117">
        <f t="shared" si="24"/>
        <v>6.1321237085100124</v>
      </c>
      <c r="Z231" s="119">
        <f t="shared" si="25"/>
        <v>2.3126433898105336</v>
      </c>
      <c r="AA231" s="55" t="str">
        <f t="shared" si="26"/>
        <v>Layak</v>
      </c>
    </row>
    <row r="232" spans="1:27" x14ac:dyDescent="0.35">
      <c r="A232" s="1">
        <v>11</v>
      </c>
      <c r="B232" s="2" t="s">
        <v>40</v>
      </c>
      <c r="C232" s="11" t="s">
        <v>13</v>
      </c>
      <c r="D232" s="9" t="str">
        <f>'B.kriteria &amp; R.kecocokan'!$B$25</f>
        <v>Sedikit</v>
      </c>
      <c r="E232" s="111">
        <f>_xlfn.IFS(D232="Banyak",'B.kriteria &amp; R.kecocokan'!$C$23,D232="Cukup",'B.kriteria &amp; R.kecocokan'!$C$24,D232="Sedikit",'B.kriteria &amp; R.kecocokan'!$C$25)</f>
        <v>7.5</v>
      </c>
      <c r="F232" s="9" t="str">
        <f>'B.kriteria &amp; R.kecocokan'!$B$34</f>
        <v>Tinggi</v>
      </c>
      <c r="G232" s="8">
        <f>_xlfn.IFS(F232="Tinggi",'B.kriteria &amp; R.kecocokan'!$C$34,F232="Sangat Tinggi",'B.kriteria &amp; R.kecocokan'!$C$35)</f>
        <v>7.5</v>
      </c>
      <c r="H232" s="8" t="str">
        <f>'B.kriteria &amp; R.kecocokan'!$B$41</f>
        <v>Rendah</v>
      </c>
      <c r="I232" s="8">
        <f>_xlfn.IFS(H232="Rendah",'B.kriteria &amp; R.kecocokan'!$C$41,H232="Sedang",'B.kriteria &amp; R.kecocokan'!$C$42,H232="Tinggi",'B.kriteria &amp; R.kecocokan'!$C$43)</f>
        <v>2.5</v>
      </c>
      <c r="J232" s="8" t="str">
        <f>'B.kriteria &amp; R.kecocokan'!$B$72</f>
        <v>Rendah</v>
      </c>
      <c r="K232" s="8">
        <f>_xlfn.IFS(J232="Rendah",'B.kriteria &amp; R.kecocokan'!$C$72,J232="Sedang",'B.kriteria &amp; R.kecocokan'!$C$73,J232="Tinggi",'B.kriteria &amp; R.kecocokan'!$C$74)</f>
        <v>2.5</v>
      </c>
      <c r="L232" s="8" t="str">
        <f>'B.kriteria &amp; R.kecocokan'!$B$95</f>
        <v>Rendah</v>
      </c>
      <c r="M232" s="8">
        <f>_xlfn.IFS(L232="Rendah",'B.kriteria &amp; R.kecocokan'!$C$95,L232="Tinggi",'B.kriteria &amp; R.kecocokan'!$C$96)</f>
        <v>2.5</v>
      </c>
      <c r="N232" s="9" t="str">
        <f>'B.kriteria &amp; R.kecocokan'!$B$81</f>
        <v>Tinggi</v>
      </c>
      <c r="O232" s="8">
        <f>_xlfn.IFS(N232="Rendah",'B.kriteria &amp; R.kecocokan'!$C$80,N232="Tinggi",'B.kriteria &amp; R.kecocokan'!$C$81)</f>
        <v>7.5</v>
      </c>
      <c r="P232" s="9" t="str">
        <f>'B.kriteria &amp; R.kecocokan'!$B$90</f>
        <v>Sangat Sedikit</v>
      </c>
      <c r="Q232" s="8">
        <f>_xlfn.IFS(P232="Sedikit",'B.kriteria &amp; R.kecocokan'!$C$89,P232="Sedang",'B.kriteria &amp; R.kecocokan'!$C$88,P232="Sangat Sedikit",'B.kriteria &amp; R.kecocokan'!$C$90)</f>
        <v>1</v>
      </c>
      <c r="R232" s="9" t="str">
        <f>'B.kriteria &amp; R.kecocokan'!$B$50</f>
        <v>Sedang</v>
      </c>
      <c r="S232" s="8">
        <f>_xlfn.IFS(R232="Rendah",'B.kriteria &amp; R.kecocokan'!$C$49,R232="Sedang",'B.kriteria &amp; R.kecocokan'!$C$50,R232="Tinggi",'B.kriteria &amp; R.kecocokan'!$C$51)</f>
        <v>5</v>
      </c>
      <c r="T232" s="9" t="str">
        <f>'B.kriteria &amp; R.kecocokan'!$B$58</f>
        <v>Sedang</v>
      </c>
      <c r="U232" s="51">
        <f>_xlfn.IFS(T232="Rendah",'B.kriteria &amp; R.kecocokan'!$C$57,T232="Sedang",'B.kriteria &amp; R.kecocokan'!$C$58,T232="Tinggi",'B.kriteria &amp; R.kecocokan'!$C$59)</f>
        <v>5</v>
      </c>
      <c r="V232" s="52" t="str">
        <f>'B.kriteria &amp; R.kecocokan'!$B$66</f>
        <v>Sedang</v>
      </c>
      <c r="W232" s="9">
        <f>_xlfn.IFS(V232="Rendah",'B.kriteria &amp; R.kecocokan'!$C$65,V232="Sedang",'B.kriteria &amp; R.kecocokan'!$C$66,V232="Tinggi",'B.kriteria &amp; R.kecocokan'!$C$67)</f>
        <v>2</v>
      </c>
      <c r="X232" s="117">
        <f t="shared" si="23"/>
        <v>3.8318487980537834</v>
      </c>
      <c r="Y232" s="117">
        <f t="shared" si="24"/>
        <v>7.4261065723250566</v>
      </c>
      <c r="Z232" s="119">
        <f t="shared" si="25"/>
        <v>3.8318487980537834</v>
      </c>
      <c r="AA232" s="55" t="str">
        <f t="shared" si="26"/>
        <v>Layak</v>
      </c>
    </row>
    <row r="233" spans="1:27" x14ac:dyDescent="0.35">
      <c r="A233" s="5">
        <v>12</v>
      </c>
      <c r="B233" s="2" t="s">
        <v>44</v>
      </c>
      <c r="C233" s="11" t="s">
        <v>13</v>
      </c>
      <c r="D233" s="32" t="str">
        <f>'B.kriteria &amp; R.kecocokan'!$B$24</f>
        <v>Cukup</v>
      </c>
      <c r="E233" s="111">
        <f>_xlfn.IFS(D233="Banyak",'B.kriteria &amp; R.kecocokan'!$C$23,D233="Cukup",'B.kriteria &amp; R.kecocokan'!$C$24,D233="Sedikit",'B.kriteria &amp; R.kecocokan'!$C$25)</f>
        <v>5</v>
      </c>
      <c r="F233" s="9" t="str">
        <f>'B.kriteria &amp; R.kecocokan'!$B$34</f>
        <v>Tinggi</v>
      </c>
      <c r="G233" s="8">
        <f>_xlfn.IFS(F233="Tinggi",'B.kriteria &amp; R.kecocokan'!$C$34,F233="Sangat Tinggi",'B.kriteria &amp; R.kecocokan'!$C$35)</f>
        <v>7.5</v>
      </c>
      <c r="H233" s="8" t="str">
        <f>'B.kriteria &amp; R.kecocokan'!$B$41</f>
        <v>Rendah</v>
      </c>
      <c r="I233" s="8">
        <f>_xlfn.IFS(H233="Rendah",'B.kriteria &amp; R.kecocokan'!$C$41,H233="Sedang",'B.kriteria &amp; R.kecocokan'!$C$42,H233="Tinggi",'B.kriteria &amp; R.kecocokan'!$C$43)</f>
        <v>2.5</v>
      </c>
      <c r="J233" s="8" t="str">
        <f>'B.kriteria &amp; R.kecocokan'!$B$72</f>
        <v>Rendah</v>
      </c>
      <c r="K233" s="8">
        <f>_xlfn.IFS(J233="Rendah",'B.kriteria &amp; R.kecocokan'!$C$72,J233="Sedang",'B.kriteria &amp; R.kecocokan'!$C$73,J233="Tinggi",'B.kriteria &amp; R.kecocokan'!$C$74)</f>
        <v>2.5</v>
      </c>
      <c r="L233" s="8" t="str">
        <f>'B.kriteria &amp; R.kecocokan'!$B$95</f>
        <v>Rendah</v>
      </c>
      <c r="M233" s="8">
        <f>_xlfn.IFS(L233="Rendah",'B.kriteria &amp; R.kecocokan'!$C$95,L233="Tinggi",'B.kriteria &amp; R.kecocokan'!$C$96)</f>
        <v>2.5</v>
      </c>
      <c r="N233" s="9" t="str">
        <f>'B.kriteria &amp; R.kecocokan'!$B$81</f>
        <v>Tinggi</v>
      </c>
      <c r="O233" s="8">
        <f>_xlfn.IFS(N233="Rendah",'B.kriteria &amp; R.kecocokan'!$C$80,N233="Tinggi",'B.kriteria &amp; R.kecocokan'!$C$81)</f>
        <v>7.5</v>
      </c>
      <c r="P233" s="9" t="str">
        <f>'B.kriteria &amp; R.kecocokan'!$B$90</f>
        <v>Sangat Sedikit</v>
      </c>
      <c r="Q233" s="8">
        <f>_xlfn.IFS(P233="Sedikit",'B.kriteria &amp; R.kecocokan'!$C$89,P233="Sedang",'B.kriteria &amp; R.kecocokan'!$C$88,P233="Sangat Sedikit",'B.kriteria &amp; R.kecocokan'!$C$90)</f>
        <v>1</v>
      </c>
      <c r="R233" s="8" t="str">
        <f>'B.kriteria &amp; R.kecocokan'!$B$49</f>
        <v>Rendah</v>
      </c>
      <c r="S233" s="8">
        <f>_xlfn.IFS(R233="Rendah",'B.kriteria &amp; R.kecocokan'!$C$49,R233="Sedang",'B.kriteria &amp; R.kecocokan'!$C$50,R233="Tinggi",'B.kriteria &amp; R.kecocokan'!$C$51)</f>
        <v>2.5</v>
      </c>
      <c r="T233" s="8" t="str">
        <f>'B.kriteria &amp; R.kecocokan'!$B$57</f>
        <v>Rendah</v>
      </c>
      <c r="U233" s="51">
        <f>_xlfn.IFS(T233="Rendah",'B.kriteria &amp; R.kecocokan'!$C$57,T233="Sedang",'B.kriteria &amp; R.kecocokan'!$C$58,T233="Tinggi",'B.kriteria &amp; R.kecocokan'!$C$59)</f>
        <v>2.5</v>
      </c>
      <c r="V233" s="51" t="str">
        <f>'B.kriteria &amp; R.kecocokan'!$B$65</f>
        <v>Rendah</v>
      </c>
      <c r="W233" s="9">
        <f>_xlfn.IFS(V233="Rendah",'B.kriteria &amp; R.kecocokan'!$C$65,V233="Sedang",'B.kriteria &amp; R.kecocokan'!$C$66,V233="Tinggi",'B.kriteria &amp; R.kecocokan'!$C$67)</f>
        <v>1</v>
      </c>
      <c r="X233" s="117">
        <f t="shared" si="23"/>
        <v>2.3126433898105336</v>
      </c>
      <c r="Y233" s="117">
        <f t="shared" si="24"/>
        <v>6.1321237085100124</v>
      </c>
      <c r="Z233" s="119">
        <f t="shared" si="25"/>
        <v>2.3126433898105336</v>
      </c>
      <c r="AA233" s="55" t="str">
        <f t="shared" si="26"/>
        <v>Layak</v>
      </c>
    </row>
    <row r="234" spans="1:27" x14ac:dyDescent="0.35">
      <c r="A234" s="5">
        <v>13</v>
      </c>
      <c r="B234" s="2" t="s">
        <v>45</v>
      </c>
      <c r="C234" s="11" t="s">
        <v>13</v>
      </c>
      <c r="D234" s="32" t="str">
        <f>'B.kriteria &amp; R.kecocokan'!$B$24</f>
        <v>Cukup</v>
      </c>
      <c r="E234" s="111">
        <f>_xlfn.IFS(D234="Banyak",'B.kriteria &amp; R.kecocokan'!$C$23,D234="Cukup",'B.kriteria &amp; R.kecocokan'!$C$24,D234="Sedikit",'B.kriteria &amp; R.kecocokan'!$C$25)</f>
        <v>5</v>
      </c>
      <c r="F234" s="9" t="str">
        <f>'B.kriteria &amp; R.kecocokan'!$B$34</f>
        <v>Tinggi</v>
      </c>
      <c r="G234" s="8">
        <f>_xlfn.IFS(F234="Tinggi",'B.kriteria &amp; R.kecocokan'!$C$34,F234="Sangat Tinggi",'B.kriteria &amp; R.kecocokan'!$C$35)</f>
        <v>7.5</v>
      </c>
      <c r="H234" s="9" t="str">
        <f>'B.kriteria &amp; R.kecocokan'!$B$43</f>
        <v>Tinggi</v>
      </c>
      <c r="I234" s="8">
        <f>_xlfn.IFS(H234="Rendah",'B.kriteria &amp; R.kecocokan'!$C$41,H234="Sedang",'B.kriteria &amp; R.kecocokan'!$C$42,H234="Tinggi",'B.kriteria &amp; R.kecocokan'!$C$43)</f>
        <v>7.5</v>
      </c>
      <c r="J234" s="8" t="str">
        <f>'B.kriteria &amp; R.kecocokan'!$B$72</f>
        <v>Rendah</v>
      </c>
      <c r="K234" s="8">
        <f>_xlfn.IFS(J234="Rendah",'B.kriteria &amp; R.kecocokan'!$C$72,J234="Sedang",'B.kriteria &amp; R.kecocokan'!$C$73,J234="Tinggi",'B.kriteria &amp; R.kecocokan'!$C$74)</f>
        <v>2.5</v>
      </c>
      <c r="L234" s="8" t="str">
        <f>'B.kriteria &amp; R.kecocokan'!$B$95</f>
        <v>Rendah</v>
      </c>
      <c r="M234" s="8">
        <f>_xlfn.IFS(L234="Rendah",'B.kriteria &amp; R.kecocokan'!$C$95,L234="Tinggi",'B.kriteria &amp; R.kecocokan'!$C$96)</f>
        <v>2.5</v>
      </c>
      <c r="N234" s="8" t="str">
        <f>'B.kriteria &amp; R.kecocokan'!$B$80</f>
        <v>Rendah</v>
      </c>
      <c r="O234" s="8">
        <f>_xlfn.IFS(N234="Rendah",'B.kriteria &amp; R.kecocokan'!$C$80,N234="Tinggi",'B.kriteria &amp; R.kecocokan'!$C$81)</f>
        <v>2.5</v>
      </c>
      <c r="P234" s="9" t="str">
        <f>'B.kriteria &amp; R.kecocokan'!$B$88</f>
        <v>Sedang</v>
      </c>
      <c r="Q234" s="8">
        <f>_xlfn.IFS(P234="Sedikit",'B.kriteria &amp; R.kecocokan'!$C$89,P234="Sedang",'B.kriteria &amp; R.kecocokan'!$C$88,P234="Sangat Sedikit",'B.kriteria &amp; R.kecocokan'!$C$90)</f>
        <v>5</v>
      </c>
      <c r="R234" s="8" t="str">
        <f>'B.kriteria &amp; R.kecocokan'!$B$49</f>
        <v>Rendah</v>
      </c>
      <c r="S234" s="8">
        <f>_xlfn.IFS(R234="Rendah",'B.kriteria &amp; R.kecocokan'!$C$49,R234="Sedang",'B.kriteria &amp; R.kecocokan'!$C$50,R234="Tinggi",'B.kriteria &amp; R.kecocokan'!$C$51)</f>
        <v>2.5</v>
      </c>
      <c r="T234" s="8" t="str">
        <f>'B.kriteria &amp; R.kecocokan'!$B$57</f>
        <v>Rendah</v>
      </c>
      <c r="U234" s="51">
        <f>_xlfn.IFS(T234="Rendah",'B.kriteria &amp; R.kecocokan'!$C$57,T234="Sedang",'B.kriteria &amp; R.kecocokan'!$C$58,T234="Tinggi",'B.kriteria &amp; R.kecocokan'!$C$59)</f>
        <v>2.5</v>
      </c>
      <c r="V234" s="51" t="str">
        <f>'B.kriteria &amp; R.kecocokan'!$B$65</f>
        <v>Rendah</v>
      </c>
      <c r="W234" s="9">
        <f>_xlfn.IFS(V234="Rendah",'B.kriteria &amp; R.kecocokan'!$C$65,V234="Sedang",'B.kriteria &amp; R.kecocokan'!$C$66,V234="Tinggi",'B.kriteria &amp; R.kecocokan'!$C$67)</f>
        <v>1</v>
      </c>
      <c r="X234" s="117">
        <f t="shared" si="23"/>
        <v>6.6708966279890527</v>
      </c>
      <c r="Y234" s="117">
        <f t="shared" si="24"/>
        <v>4.2926065028412852</v>
      </c>
      <c r="Z234" s="119">
        <f t="shared" si="25"/>
        <v>4.2926065028412852</v>
      </c>
      <c r="AA234" s="55" t="str">
        <f t="shared" si="26"/>
        <v>Tidak Layak</v>
      </c>
    </row>
    <row r="235" spans="1:27" x14ac:dyDescent="0.35">
      <c r="A235" s="1">
        <v>14</v>
      </c>
      <c r="B235" s="2" t="s">
        <v>46</v>
      </c>
      <c r="C235" s="11" t="s">
        <v>13</v>
      </c>
      <c r="D235" s="32" t="str">
        <f>'B.kriteria &amp; R.kecocokan'!$B$24</f>
        <v>Cukup</v>
      </c>
      <c r="E235" s="111">
        <f>_xlfn.IFS(D235="Banyak",'B.kriteria &amp; R.kecocokan'!$C$23,D235="Cukup",'B.kriteria &amp; R.kecocokan'!$C$24,D235="Sedikit",'B.kriteria &amp; R.kecocokan'!$C$25)</f>
        <v>5</v>
      </c>
      <c r="F235" s="9" t="str">
        <f>'B.kriteria &amp; R.kecocokan'!$B$35</f>
        <v>Sangat Tinggi</v>
      </c>
      <c r="G235" s="8">
        <f>_xlfn.IFS(F235="Tinggi",'B.kriteria &amp; R.kecocokan'!$C$34,F235="Sangat Tinggi",'B.kriteria &amp; R.kecocokan'!$C$35)</f>
        <v>10</v>
      </c>
      <c r="H235" s="8" t="str">
        <f>'B.kriteria &amp; R.kecocokan'!$B$41</f>
        <v>Rendah</v>
      </c>
      <c r="I235" s="8">
        <f>_xlfn.IFS(H235="Rendah",'B.kriteria &amp; R.kecocokan'!$C$41,H235="Sedang",'B.kriteria &amp; R.kecocokan'!$C$42,H235="Tinggi",'B.kriteria &amp; R.kecocokan'!$C$43)</f>
        <v>2.5</v>
      </c>
      <c r="J235" s="8" t="str">
        <f>'B.kriteria &amp; R.kecocokan'!$B$72</f>
        <v>Rendah</v>
      </c>
      <c r="K235" s="8">
        <f>_xlfn.IFS(J235="Rendah",'B.kriteria &amp; R.kecocokan'!$C$72,J235="Sedang",'B.kriteria &amp; R.kecocokan'!$C$73,J235="Tinggi",'B.kriteria &amp; R.kecocokan'!$C$74)</f>
        <v>2.5</v>
      </c>
      <c r="L235" s="8" t="str">
        <f>'B.kriteria &amp; R.kecocokan'!$B$95</f>
        <v>Rendah</v>
      </c>
      <c r="M235" s="8">
        <f>_xlfn.IFS(L235="Rendah",'B.kriteria &amp; R.kecocokan'!$C$95,L235="Tinggi",'B.kriteria &amp; R.kecocokan'!$C$96)</f>
        <v>2.5</v>
      </c>
      <c r="N235" s="8" t="str">
        <f>'B.kriteria &amp; R.kecocokan'!$B$80</f>
        <v>Rendah</v>
      </c>
      <c r="O235" s="8">
        <f>_xlfn.IFS(N235="Rendah",'B.kriteria &amp; R.kecocokan'!$C$80,N235="Tinggi",'B.kriteria &amp; R.kecocokan'!$C$81)</f>
        <v>2.5</v>
      </c>
      <c r="P235" s="8" t="str">
        <f>'B.kriteria &amp; R.kecocokan'!$B$89</f>
        <v>Sedikit</v>
      </c>
      <c r="Q235" s="8">
        <f>_xlfn.IFS(P235="Sedikit",'B.kriteria &amp; R.kecocokan'!$C$89,P235="Sedang",'B.kriteria &amp; R.kecocokan'!$C$88,P235="Sangat Sedikit",'B.kriteria &amp; R.kecocokan'!$C$90)</f>
        <v>2.5</v>
      </c>
      <c r="R235" s="8" t="str">
        <f>'B.kriteria &amp; R.kecocokan'!$B$49</f>
        <v>Rendah</v>
      </c>
      <c r="S235" s="8">
        <f>_xlfn.IFS(R235="Rendah",'B.kriteria &amp; R.kecocokan'!$C$49,R235="Sedang",'B.kriteria &amp; R.kecocokan'!$C$50,R235="Tinggi",'B.kriteria &amp; R.kecocokan'!$C$51)</f>
        <v>2.5</v>
      </c>
      <c r="T235" s="9" t="str">
        <f>'B.kriteria &amp; R.kecocokan'!$B$58</f>
        <v>Sedang</v>
      </c>
      <c r="U235" s="51">
        <f>_xlfn.IFS(T235="Rendah",'B.kriteria &amp; R.kecocokan'!$C$57,T235="Sedang",'B.kriteria &amp; R.kecocokan'!$C$58,T235="Tinggi",'B.kriteria &amp; R.kecocokan'!$C$59)</f>
        <v>5</v>
      </c>
      <c r="V235" s="51" t="str">
        <f>'B.kriteria &amp; R.kecocokan'!$B$65</f>
        <v>Rendah</v>
      </c>
      <c r="W235" s="9">
        <f>_xlfn.IFS(V235="Rendah",'B.kriteria &amp; R.kecocokan'!$C$65,V235="Sedang",'B.kriteria &amp; R.kecocokan'!$C$66,V235="Tinggi",'B.kriteria &amp; R.kecocokan'!$C$67)</f>
        <v>1</v>
      </c>
      <c r="X235" s="117">
        <f t="shared" si="23"/>
        <v>4.4470535807576317</v>
      </c>
      <c r="Y235" s="117">
        <f t="shared" si="24"/>
        <v>3.4041497167600672</v>
      </c>
      <c r="Z235" s="119">
        <f t="shared" si="25"/>
        <v>3.4041497167600672</v>
      </c>
      <c r="AA235" s="55" t="str">
        <f t="shared" si="26"/>
        <v>Tidak Layak</v>
      </c>
    </row>
    <row r="236" spans="1:27" x14ac:dyDescent="0.35">
      <c r="A236" s="5">
        <v>15</v>
      </c>
      <c r="B236" s="2" t="s">
        <v>48</v>
      </c>
      <c r="C236" s="11" t="s">
        <v>13</v>
      </c>
      <c r="D236" s="9" t="str">
        <f>'B.kriteria &amp; R.kecocokan'!$B$23</f>
        <v>Banyak</v>
      </c>
      <c r="E236" s="111">
        <f>_xlfn.IFS(D236="Banyak",'B.kriteria &amp; R.kecocokan'!$C$23,D236="Cukup",'B.kriteria &amp; R.kecocokan'!$C$24,D236="Sedikit",'B.kriteria &amp; R.kecocokan'!$C$25)</f>
        <v>2.5</v>
      </c>
      <c r="F236" s="9" t="str">
        <f>'B.kriteria &amp; R.kecocokan'!$B$35</f>
        <v>Sangat Tinggi</v>
      </c>
      <c r="G236" s="8">
        <f>_xlfn.IFS(F236="Tinggi",'B.kriteria &amp; R.kecocokan'!$C$34,F236="Sangat Tinggi",'B.kriteria &amp; R.kecocokan'!$C$35)</f>
        <v>10</v>
      </c>
      <c r="H236" s="8" t="str">
        <f>'B.kriteria &amp; R.kecocokan'!$B$41</f>
        <v>Rendah</v>
      </c>
      <c r="I236" s="8">
        <f>_xlfn.IFS(H236="Rendah",'B.kriteria &amp; R.kecocokan'!$C$41,H236="Sedang",'B.kriteria &amp; R.kecocokan'!$C$42,H236="Tinggi",'B.kriteria &amp; R.kecocokan'!$C$43)</f>
        <v>2.5</v>
      </c>
      <c r="J236" s="8" t="str">
        <f>'B.kriteria &amp; R.kecocokan'!$B$72</f>
        <v>Rendah</v>
      </c>
      <c r="K236" s="8">
        <f>_xlfn.IFS(J236="Rendah",'B.kriteria &amp; R.kecocokan'!$C$72,J236="Sedang",'B.kriteria &amp; R.kecocokan'!$C$73,J236="Tinggi",'B.kriteria &amp; R.kecocokan'!$C$74)</f>
        <v>2.5</v>
      </c>
      <c r="L236" s="8" t="str">
        <f>'B.kriteria &amp; R.kecocokan'!$B$95</f>
        <v>Rendah</v>
      </c>
      <c r="M236" s="8">
        <f>_xlfn.IFS(L236="Rendah",'B.kriteria &amp; R.kecocokan'!$C$95,L236="Tinggi",'B.kriteria &amp; R.kecocokan'!$C$96)</f>
        <v>2.5</v>
      </c>
      <c r="N236" s="8" t="str">
        <f>'B.kriteria &amp; R.kecocokan'!$B$80</f>
        <v>Rendah</v>
      </c>
      <c r="O236" s="8">
        <f>_xlfn.IFS(N236="Rendah",'B.kriteria &amp; R.kecocokan'!$C$80,N236="Tinggi",'B.kriteria &amp; R.kecocokan'!$C$81)</f>
        <v>2.5</v>
      </c>
      <c r="P236" s="9" t="str">
        <f>'B.kriteria &amp; R.kecocokan'!$B$88</f>
        <v>Sedang</v>
      </c>
      <c r="Q236" s="8">
        <f>_xlfn.IFS(P236="Sedikit",'B.kriteria &amp; R.kecocokan'!$C$89,P236="Sedang",'B.kriteria &amp; R.kecocokan'!$C$88,P236="Sangat Sedikit",'B.kriteria &amp; R.kecocokan'!$C$90)</f>
        <v>5</v>
      </c>
      <c r="R236" s="8" t="str">
        <f>'B.kriteria &amp; R.kecocokan'!$B$49</f>
        <v>Rendah</v>
      </c>
      <c r="S236" s="8">
        <f>_xlfn.IFS(R236="Rendah",'B.kriteria &amp; R.kecocokan'!$C$49,R236="Sedang",'B.kriteria &amp; R.kecocokan'!$C$50,R236="Tinggi",'B.kriteria &amp; R.kecocokan'!$C$51)</f>
        <v>2.5</v>
      </c>
      <c r="T236" s="8" t="str">
        <f>'B.kriteria &amp; R.kecocokan'!$B$57</f>
        <v>Rendah</v>
      </c>
      <c r="U236" s="51">
        <f>_xlfn.IFS(T236="Rendah",'B.kriteria &amp; R.kecocokan'!$C$57,T236="Sedang",'B.kriteria &amp; R.kecocokan'!$C$58,T236="Tinggi",'B.kriteria &amp; R.kecocokan'!$C$59)</f>
        <v>2.5</v>
      </c>
      <c r="V236" s="51" t="str">
        <f>'B.kriteria &amp; R.kecocokan'!$B$65</f>
        <v>Rendah</v>
      </c>
      <c r="W236" s="9">
        <f>_xlfn.IFS(V236="Rendah",'B.kriteria &amp; R.kecocokan'!$C$65,V236="Sedang",'B.kriteria &amp; R.kecocokan'!$C$66,V236="Tinggi",'B.kriteria &amp; R.kecocokan'!$C$67)</f>
        <v>1</v>
      </c>
      <c r="X236" s="117">
        <f t="shared" si="23"/>
        <v>6.1932862056185929</v>
      </c>
      <c r="Y236" s="117">
        <f t="shared" si="24"/>
        <v>3.098861270930112</v>
      </c>
      <c r="Z236" s="119">
        <f t="shared" si="25"/>
        <v>3.098861270930112</v>
      </c>
      <c r="AA236" s="55" t="str">
        <f t="shared" si="26"/>
        <v>Tidak Layak</v>
      </c>
    </row>
    <row r="237" spans="1:27" x14ac:dyDescent="0.35">
      <c r="A237" s="5">
        <v>16</v>
      </c>
      <c r="B237" s="2" t="s">
        <v>49</v>
      </c>
      <c r="C237" s="11" t="s">
        <v>13</v>
      </c>
      <c r="D237" s="32" t="str">
        <f>'B.kriteria &amp; R.kecocokan'!$B$24</f>
        <v>Cukup</v>
      </c>
      <c r="E237" s="111">
        <f>_xlfn.IFS(D237="Banyak",'B.kriteria &amp; R.kecocokan'!$C$23,D237="Cukup",'B.kriteria &amp; R.kecocokan'!$C$24,D237="Sedikit",'B.kriteria &amp; R.kecocokan'!$C$25)</f>
        <v>5</v>
      </c>
      <c r="F237" s="9" t="str">
        <f>'B.kriteria &amp; R.kecocokan'!$B$34</f>
        <v>Tinggi</v>
      </c>
      <c r="G237" s="8">
        <f>_xlfn.IFS(F237="Tinggi",'B.kriteria &amp; R.kecocokan'!$C$34,F237="Sangat Tinggi",'B.kriteria &amp; R.kecocokan'!$C$35)</f>
        <v>7.5</v>
      </c>
      <c r="H237" s="8" t="str">
        <f>'B.kriteria &amp; R.kecocokan'!$B$41</f>
        <v>Rendah</v>
      </c>
      <c r="I237" s="8">
        <f>_xlfn.IFS(H237="Rendah",'B.kriteria &amp; R.kecocokan'!$C$41,H237="Sedang",'B.kriteria &amp; R.kecocokan'!$C$42,H237="Tinggi",'B.kriteria &amp; R.kecocokan'!$C$43)</f>
        <v>2.5</v>
      </c>
      <c r="J237" s="8" t="str">
        <f>'B.kriteria &amp; R.kecocokan'!$B$72</f>
        <v>Rendah</v>
      </c>
      <c r="K237" s="8">
        <f>_xlfn.IFS(J237="Rendah",'B.kriteria &amp; R.kecocokan'!$C$72,J237="Sedang",'B.kriteria &amp; R.kecocokan'!$C$73,J237="Tinggi",'B.kriteria &amp; R.kecocokan'!$C$74)</f>
        <v>2.5</v>
      </c>
      <c r="L237" s="8" t="str">
        <f>'B.kriteria &amp; R.kecocokan'!$B$95</f>
        <v>Rendah</v>
      </c>
      <c r="M237" s="8">
        <f>_xlfn.IFS(L237="Rendah",'B.kriteria &amp; R.kecocokan'!$C$95,L237="Tinggi",'B.kriteria &amp; R.kecocokan'!$C$96)</f>
        <v>2.5</v>
      </c>
      <c r="N237" s="9" t="str">
        <f>'B.kriteria &amp; R.kecocokan'!$B$81</f>
        <v>Tinggi</v>
      </c>
      <c r="O237" s="8">
        <f>_xlfn.IFS(N237="Rendah",'B.kriteria &amp; R.kecocokan'!$C$80,N237="Tinggi",'B.kriteria &amp; R.kecocokan'!$C$81)</f>
        <v>7.5</v>
      </c>
      <c r="P237" s="9" t="str">
        <f>'B.kriteria &amp; R.kecocokan'!$B$90</f>
        <v>Sangat Sedikit</v>
      </c>
      <c r="Q237" s="8">
        <f>_xlfn.IFS(P237="Sedikit",'B.kriteria &amp; R.kecocokan'!$C$89,P237="Sedang",'B.kriteria &amp; R.kecocokan'!$C$88,P237="Sangat Sedikit",'B.kriteria &amp; R.kecocokan'!$C$90)</f>
        <v>1</v>
      </c>
      <c r="R237" s="8" t="str">
        <f>'B.kriteria &amp; R.kecocokan'!$B$49</f>
        <v>Rendah</v>
      </c>
      <c r="S237" s="8">
        <f>_xlfn.IFS(R237="Rendah",'B.kriteria &amp; R.kecocokan'!$C$49,R237="Sedang",'B.kriteria &amp; R.kecocokan'!$C$50,R237="Tinggi",'B.kriteria &amp; R.kecocokan'!$C$51)</f>
        <v>2.5</v>
      </c>
      <c r="T237" s="8" t="str">
        <f>'B.kriteria &amp; R.kecocokan'!$B$57</f>
        <v>Rendah</v>
      </c>
      <c r="U237" s="51">
        <f>_xlfn.IFS(T237="Rendah",'B.kriteria &amp; R.kecocokan'!$C$57,T237="Sedang",'B.kriteria &amp; R.kecocokan'!$C$58,T237="Tinggi",'B.kriteria &amp; R.kecocokan'!$C$59)</f>
        <v>2.5</v>
      </c>
      <c r="V237" s="51" t="str">
        <f>'B.kriteria &amp; R.kecocokan'!$B$65</f>
        <v>Rendah</v>
      </c>
      <c r="W237" s="9">
        <f>_xlfn.IFS(V237="Rendah",'B.kriteria &amp; R.kecocokan'!$C$65,V237="Sedang",'B.kriteria &amp; R.kecocokan'!$C$66,V237="Tinggi",'B.kriteria &amp; R.kecocokan'!$C$67)</f>
        <v>1</v>
      </c>
      <c r="X237" s="117">
        <f t="shared" si="23"/>
        <v>2.3126433898105336</v>
      </c>
      <c r="Y237" s="117">
        <f t="shared" si="24"/>
        <v>6.1321237085100124</v>
      </c>
      <c r="Z237" s="119">
        <f t="shared" si="25"/>
        <v>2.3126433898105336</v>
      </c>
      <c r="AA237" s="55" t="str">
        <f t="shared" si="26"/>
        <v>Layak</v>
      </c>
    </row>
    <row r="238" spans="1:27" x14ac:dyDescent="0.35">
      <c r="A238" s="1">
        <v>17</v>
      </c>
      <c r="B238" s="2" t="s">
        <v>257</v>
      </c>
      <c r="C238" s="11" t="s">
        <v>13</v>
      </c>
      <c r="D238" s="32" t="str">
        <f>'B.kriteria &amp; R.kecocokan'!$B$24</f>
        <v>Cukup</v>
      </c>
      <c r="E238" s="111">
        <f>_xlfn.IFS(D238="Banyak",'B.kriteria &amp; R.kecocokan'!$C$23,D238="Cukup",'B.kriteria &amp; R.kecocokan'!$C$24,D238="Sedikit",'B.kriteria &amp; R.kecocokan'!$C$25)</f>
        <v>5</v>
      </c>
      <c r="F238" s="9" t="str">
        <f>'B.kriteria &amp; R.kecocokan'!$B$35</f>
        <v>Sangat Tinggi</v>
      </c>
      <c r="G238" s="8">
        <f>_xlfn.IFS(F238="Tinggi",'B.kriteria &amp; R.kecocokan'!$C$34,F238="Sangat Tinggi",'B.kriteria &amp; R.kecocokan'!$C$35)</f>
        <v>10</v>
      </c>
      <c r="H238" s="8" t="str">
        <f>'B.kriteria &amp; R.kecocokan'!$B$41</f>
        <v>Rendah</v>
      </c>
      <c r="I238" s="8">
        <f>_xlfn.IFS(H238="Rendah",'B.kriteria &amp; R.kecocokan'!$C$41,H238="Sedang",'B.kriteria &amp; R.kecocokan'!$C$42,H238="Tinggi",'B.kriteria &amp; R.kecocokan'!$C$43)</f>
        <v>2.5</v>
      </c>
      <c r="J238" s="8" t="str">
        <f>'B.kriteria &amp; R.kecocokan'!$B$72</f>
        <v>Rendah</v>
      </c>
      <c r="K238" s="8">
        <f>_xlfn.IFS(J238="Rendah",'B.kriteria &amp; R.kecocokan'!$C$72,J238="Sedang",'B.kriteria &amp; R.kecocokan'!$C$73,J238="Tinggi",'B.kriteria &amp; R.kecocokan'!$C$74)</f>
        <v>2.5</v>
      </c>
      <c r="L238" s="8" t="str">
        <f>'B.kriteria &amp; R.kecocokan'!$B$95</f>
        <v>Rendah</v>
      </c>
      <c r="M238" s="8">
        <f>_xlfn.IFS(L238="Rendah",'B.kriteria &amp; R.kecocokan'!$C$95,L238="Tinggi",'B.kriteria &amp; R.kecocokan'!$C$96)</f>
        <v>2.5</v>
      </c>
      <c r="N238" s="8" t="str">
        <f>'B.kriteria &amp; R.kecocokan'!$B$80</f>
        <v>Rendah</v>
      </c>
      <c r="O238" s="8">
        <f>_xlfn.IFS(N238="Rendah",'B.kriteria &amp; R.kecocokan'!$C$80,N238="Tinggi",'B.kriteria &amp; R.kecocokan'!$C$81)</f>
        <v>2.5</v>
      </c>
      <c r="P238" s="9" t="str">
        <f>'B.kriteria &amp; R.kecocokan'!$B$88</f>
        <v>Sedang</v>
      </c>
      <c r="Q238" s="8">
        <f>_xlfn.IFS(P238="Sedikit",'B.kriteria &amp; R.kecocokan'!$C$89,P238="Sedang",'B.kriteria &amp; R.kecocokan'!$C$88,P238="Sangat Sedikit",'B.kriteria &amp; R.kecocokan'!$C$90)</f>
        <v>5</v>
      </c>
      <c r="R238" s="9" t="str">
        <f>'B.kriteria &amp; R.kecocokan'!$B$51</f>
        <v>Tinggi</v>
      </c>
      <c r="S238" s="8">
        <f>_xlfn.IFS(R238="Rendah",'B.kriteria &amp; R.kecocokan'!$C$49,R238="Sedang",'B.kriteria &amp; R.kecocokan'!$C$50,R238="Tinggi",'B.kriteria &amp; R.kecocokan'!$C$51)</f>
        <v>7.5</v>
      </c>
      <c r="T238" s="9" t="str">
        <f>'B.kriteria &amp; R.kecocokan'!$B$58</f>
        <v>Sedang</v>
      </c>
      <c r="U238" s="51">
        <f>_xlfn.IFS(T238="Rendah",'B.kriteria &amp; R.kecocokan'!$C$57,T238="Sedang",'B.kriteria &amp; R.kecocokan'!$C$58,T238="Tinggi",'B.kriteria &amp; R.kecocokan'!$C$59)</f>
        <v>5</v>
      </c>
      <c r="V238" s="51" t="str">
        <f>'B.kriteria &amp; R.kecocokan'!$B$65</f>
        <v>Rendah</v>
      </c>
      <c r="W238" s="9">
        <f>_xlfn.IFS(V238="Rendah",'B.kriteria &amp; R.kecocokan'!$C$65,V238="Sedang",'B.kriteria &amp; R.kecocokan'!$C$66,V238="Tinggi",'B.kriteria &amp; R.kecocokan'!$C$67)</f>
        <v>1</v>
      </c>
      <c r="X238" s="117">
        <f t="shared" si="23"/>
        <v>7.1016241248848289</v>
      </c>
      <c r="Y238" s="117">
        <f t="shared" si="24"/>
        <v>5.5611573065536728</v>
      </c>
      <c r="Z238" s="119">
        <f t="shared" si="25"/>
        <v>5.5611573065536728</v>
      </c>
      <c r="AA238" s="55" t="str">
        <f t="shared" si="26"/>
        <v>Tidak Layak</v>
      </c>
    </row>
    <row r="239" spans="1:27" x14ac:dyDescent="0.35">
      <c r="A239" s="5">
        <v>18</v>
      </c>
      <c r="B239" s="2" t="s">
        <v>52</v>
      </c>
      <c r="C239" s="11" t="s">
        <v>13</v>
      </c>
      <c r="D239" s="32" t="str">
        <f>'B.kriteria &amp; R.kecocokan'!$B$24</f>
        <v>Cukup</v>
      </c>
      <c r="E239" s="111">
        <f>_xlfn.IFS(D239="Banyak",'B.kriteria &amp; R.kecocokan'!$C$23,D239="Cukup",'B.kriteria &amp; R.kecocokan'!$C$24,D239="Sedikit",'B.kriteria &amp; R.kecocokan'!$C$25)</f>
        <v>5</v>
      </c>
      <c r="F239" s="9" t="str">
        <f>'B.kriteria &amp; R.kecocokan'!$B$35</f>
        <v>Sangat Tinggi</v>
      </c>
      <c r="G239" s="8">
        <f>_xlfn.IFS(F239="Tinggi",'B.kriteria &amp; R.kecocokan'!$C$34,F239="Sangat Tinggi",'B.kriteria &amp; R.kecocokan'!$C$35)</f>
        <v>10</v>
      </c>
      <c r="H239" s="8" t="str">
        <f>'B.kriteria &amp; R.kecocokan'!$B$41</f>
        <v>Rendah</v>
      </c>
      <c r="I239" s="8">
        <f>_xlfn.IFS(H239="Rendah",'B.kriteria &amp; R.kecocokan'!$C$41,H239="Sedang",'B.kriteria &amp; R.kecocokan'!$C$42,H239="Tinggi",'B.kriteria &amp; R.kecocokan'!$C$43)</f>
        <v>2.5</v>
      </c>
      <c r="J239" s="8" t="str">
        <f>'B.kriteria &amp; R.kecocokan'!$B$72</f>
        <v>Rendah</v>
      </c>
      <c r="K239" s="8">
        <f>_xlfn.IFS(J239="Rendah",'B.kriteria &amp; R.kecocokan'!$C$72,J239="Sedang",'B.kriteria &amp; R.kecocokan'!$C$73,J239="Tinggi",'B.kriteria &amp; R.kecocokan'!$C$74)</f>
        <v>2.5</v>
      </c>
      <c r="L239" s="8" t="str">
        <f>'B.kriteria &amp; R.kecocokan'!$B$95</f>
        <v>Rendah</v>
      </c>
      <c r="M239" s="8">
        <f>_xlfn.IFS(L239="Rendah",'B.kriteria &amp; R.kecocokan'!$C$95,L239="Tinggi",'B.kriteria &amp; R.kecocokan'!$C$96)</f>
        <v>2.5</v>
      </c>
      <c r="N239" s="8" t="str">
        <f>'B.kriteria &amp; R.kecocokan'!$B$80</f>
        <v>Rendah</v>
      </c>
      <c r="O239" s="8">
        <f>_xlfn.IFS(N239="Rendah",'B.kriteria &amp; R.kecocokan'!$C$80,N239="Tinggi",'B.kriteria &amp; R.kecocokan'!$C$81)</f>
        <v>2.5</v>
      </c>
      <c r="P239" s="9" t="str">
        <f>'B.kriteria &amp; R.kecocokan'!$B$88</f>
        <v>Sedang</v>
      </c>
      <c r="Q239" s="8">
        <f>_xlfn.IFS(P239="Sedikit",'B.kriteria &amp; R.kecocokan'!$C$89,P239="Sedang",'B.kriteria &amp; R.kecocokan'!$C$88,P239="Sangat Sedikit",'B.kriteria &amp; R.kecocokan'!$C$90)</f>
        <v>5</v>
      </c>
      <c r="R239" s="9" t="str">
        <f>'B.kriteria &amp; R.kecocokan'!$B$50</f>
        <v>Sedang</v>
      </c>
      <c r="S239" s="8">
        <f>_xlfn.IFS(R239="Rendah",'B.kriteria &amp; R.kecocokan'!$C$49,R239="Sedang",'B.kriteria &amp; R.kecocokan'!$C$50,R239="Tinggi",'B.kriteria &amp; R.kecocokan'!$C$51)</f>
        <v>5</v>
      </c>
      <c r="T239" s="9" t="str">
        <f>'B.kriteria &amp; R.kecocokan'!$B$58</f>
        <v>Sedang</v>
      </c>
      <c r="U239" s="51">
        <f>_xlfn.IFS(T239="Rendah",'B.kriteria &amp; R.kecocokan'!$C$57,T239="Sedang",'B.kriteria &amp; R.kecocokan'!$C$58,T239="Tinggi",'B.kriteria &amp; R.kecocokan'!$C$59)</f>
        <v>5</v>
      </c>
      <c r="V239" s="51" t="str">
        <f>'B.kriteria &amp; R.kecocokan'!$B$65</f>
        <v>Rendah</v>
      </c>
      <c r="W239" s="9">
        <f>_xlfn.IFS(V239="Rendah",'B.kriteria &amp; R.kecocokan'!$C$65,V239="Sedang",'B.kriteria &amp; R.kecocokan'!$C$66,V239="Tinggi",'B.kriteria &amp; R.kecocokan'!$C$67)</f>
        <v>1</v>
      </c>
      <c r="X239" s="117">
        <f t="shared" si="23"/>
        <v>5.8502511136277011</v>
      </c>
      <c r="Y239" s="117">
        <f t="shared" si="24"/>
        <v>3.6941925807311957</v>
      </c>
      <c r="Z239" s="119">
        <f t="shared" si="25"/>
        <v>3.6941925807311957</v>
      </c>
      <c r="AA239" s="55" t="str">
        <f t="shared" si="26"/>
        <v>Tidak Layak</v>
      </c>
    </row>
    <row r="240" spans="1:27" x14ac:dyDescent="0.35">
      <c r="A240" s="5">
        <v>19</v>
      </c>
      <c r="B240" s="2" t="s">
        <v>55</v>
      </c>
      <c r="C240" s="11" t="s">
        <v>13</v>
      </c>
      <c r="D240" s="9" t="str">
        <f>'B.kriteria &amp; R.kecocokan'!$B$25</f>
        <v>Sedikit</v>
      </c>
      <c r="E240" s="111">
        <f>_xlfn.IFS(D240="Banyak",'B.kriteria &amp; R.kecocokan'!$C$23,D240="Cukup",'B.kriteria &amp; R.kecocokan'!$C$24,D240="Sedikit",'B.kriteria &amp; R.kecocokan'!$C$25)</f>
        <v>7.5</v>
      </c>
      <c r="F240" s="9" t="str">
        <f>'B.kriteria &amp; R.kecocokan'!$B$34</f>
        <v>Tinggi</v>
      </c>
      <c r="G240" s="8">
        <f>_xlfn.IFS(F240="Tinggi",'B.kriteria &amp; R.kecocokan'!$C$34,F240="Sangat Tinggi",'B.kriteria &amp; R.kecocokan'!$C$35)</f>
        <v>7.5</v>
      </c>
      <c r="H240" s="8" t="str">
        <f>'B.kriteria &amp; R.kecocokan'!$B$41</f>
        <v>Rendah</v>
      </c>
      <c r="I240" s="8">
        <f>_xlfn.IFS(H240="Rendah",'B.kriteria &amp; R.kecocokan'!$C$41,H240="Sedang",'B.kriteria &amp; R.kecocokan'!$C$42,H240="Tinggi",'B.kriteria &amp; R.kecocokan'!$C$43)</f>
        <v>2.5</v>
      </c>
      <c r="J240" s="8" t="str">
        <f>'B.kriteria &amp; R.kecocokan'!$B$72</f>
        <v>Rendah</v>
      </c>
      <c r="K240" s="8">
        <f>_xlfn.IFS(J240="Rendah",'B.kriteria &amp; R.kecocokan'!$C$72,J240="Sedang",'B.kriteria &amp; R.kecocokan'!$C$73,J240="Tinggi",'B.kriteria &amp; R.kecocokan'!$C$74)</f>
        <v>2.5</v>
      </c>
      <c r="L240" s="8" t="str">
        <f>'B.kriteria &amp; R.kecocokan'!$B$95</f>
        <v>Rendah</v>
      </c>
      <c r="M240" s="8">
        <f>_xlfn.IFS(L240="Rendah",'B.kriteria &amp; R.kecocokan'!$C$95,L240="Tinggi",'B.kriteria &amp; R.kecocokan'!$C$96)</f>
        <v>2.5</v>
      </c>
      <c r="N240" s="9" t="str">
        <f>'B.kriteria &amp; R.kecocokan'!$B$81</f>
        <v>Tinggi</v>
      </c>
      <c r="O240" s="8">
        <f>_xlfn.IFS(N240="Rendah",'B.kriteria &amp; R.kecocokan'!$C$80,N240="Tinggi",'B.kriteria &amp; R.kecocokan'!$C$81)</f>
        <v>7.5</v>
      </c>
      <c r="P240" s="9" t="str">
        <f>'B.kriteria &amp; R.kecocokan'!$B$90</f>
        <v>Sangat Sedikit</v>
      </c>
      <c r="Q240" s="8">
        <f>_xlfn.IFS(P240="Sedikit",'B.kriteria &amp; R.kecocokan'!$C$89,P240="Sedang",'B.kriteria &amp; R.kecocokan'!$C$88,P240="Sangat Sedikit",'B.kriteria &amp; R.kecocokan'!$C$90)</f>
        <v>1</v>
      </c>
      <c r="R240" s="8" t="str">
        <f>'B.kriteria &amp; R.kecocokan'!$B$49</f>
        <v>Rendah</v>
      </c>
      <c r="S240" s="8">
        <f>_xlfn.IFS(R240="Rendah",'B.kriteria &amp; R.kecocokan'!$C$49,R240="Sedang",'B.kriteria &amp; R.kecocokan'!$C$50,R240="Tinggi",'B.kriteria &amp; R.kecocokan'!$C$51)</f>
        <v>2.5</v>
      </c>
      <c r="T240" s="9" t="str">
        <f>'B.kriteria &amp; R.kecocokan'!$B$58</f>
        <v>Sedang</v>
      </c>
      <c r="U240" s="51">
        <f>_xlfn.IFS(T240="Rendah",'B.kriteria &amp; R.kecocokan'!$C$57,T240="Sedang",'B.kriteria &amp; R.kecocokan'!$C$58,T240="Tinggi",'B.kriteria &amp; R.kecocokan'!$C$59)</f>
        <v>5</v>
      </c>
      <c r="V240" s="51" t="str">
        <f>'B.kriteria &amp; R.kecocokan'!$B$65</f>
        <v>Rendah</v>
      </c>
      <c r="W240" s="9">
        <f>_xlfn.IFS(V240="Rendah",'B.kriteria &amp; R.kecocokan'!$C$65,V240="Sedang",'B.kriteria &amp; R.kecocokan'!$C$66,V240="Tinggi",'B.kriteria &amp; R.kecocokan'!$C$67)</f>
        <v>1</v>
      </c>
      <c r="X240" s="117">
        <f t="shared" si="23"/>
        <v>3.1637535298418711</v>
      </c>
      <c r="Y240" s="117">
        <f t="shared" si="24"/>
        <v>7.0262114299829834</v>
      </c>
      <c r="Z240" s="119">
        <f t="shared" si="25"/>
        <v>3.1637535298418711</v>
      </c>
      <c r="AA240" s="55" t="str">
        <f t="shared" si="26"/>
        <v>Layak</v>
      </c>
    </row>
    <row r="241" spans="1:27" x14ac:dyDescent="0.35">
      <c r="A241" s="1">
        <v>20</v>
      </c>
      <c r="B241" s="2" t="s">
        <v>56</v>
      </c>
      <c r="C241" s="11" t="s">
        <v>13</v>
      </c>
      <c r="D241" s="32" t="str">
        <f>'B.kriteria &amp; R.kecocokan'!$B$24</f>
        <v>Cukup</v>
      </c>
      <c r="E241" s="111">
        <f>_xlfn.IFS(D241="Banyak",'B.kriteria &amp; R.kecocokan'!$C$23,D241="Cukup",'B.kriteria &amp; R.kecocokan'!$C$24,D241="Sedikit",'B.kriteria &amp; R.kecocokan'!$C$25)</f>
        <v>5</v>
      </c>
      <c r="F241" s="9" t="str">
        <f>'B.kriteria &amp; R.kecocokan'!$B$34</f>
        <v>Tinggi</v>
      </c>
      <c r="G241" s="8">
        <f>_xlfn.IFS(F241="Tinggi",'B.kriteria &amp; R.kecocokan'!$C$34,F241="Sangat Tinggi",'B.kriteria &amp; R.kecocokan'!$C$35)</f>
        <v>7.5</v>
      </c>
      <c r="H241" s="8" t="str">
        <f>'B.kriteria &amp; R.kecocokan'!$B$41</f>
        <v>Rendah</v>
      </c>
      <c r="I241" s="8">
        <f>_xlfn.IFS(H241="Rendah",'B.kriteria &amp; R.kecocokan'!$C$41,H241="Sedang",'B.kriteria &amp; R.kecocokan'!$C$42,H241="Tinggi",'B.kriteria &amp; R.kecocokan'!$C$43)</f>
        <v>2.5</v>
      </c>
      <c r="J241" s="8" t="str">
        <f>'B.kriteria &amp; R.kecocokan'!$B$72</f>
        <v>Rendah</v>
      </c>
      <c r="K241" s="8">
        <f>_xlfn.IFS(J241="Rendah",'B.kriteria &amp; R.kecocokan'!$C$72,J241="Sedang",'B.kriteria &amp; R.kecocokan'!$C$73,J241="Tinggi",'B.kriteria &amp; R.kecocokan'!$C$74)</f>
        <v>2.5</v>
      </c>
      <c r="L241" s="8" t="str">
        <f>'B.kriteria &amp; R.kecocokan'!$B$95</f>
        <v>Rendah</v>
      </c>
      <c r="M241" s="8">
        <f>_xlfn.IFS(L241="Rendah",'B.kriteria &amp; R.kecocokan'!$C$95,L241="Tinggi",'B.kriteria &amp; R.kecocokan'!$C$96)</f>
        <v>2.5</v>
      </c>
      <c r="N241" s="8" t="str">
        <f>'B.kriteria &amp; R.kecocokan'!$B$80</f>
        <v>Rendah</v>
      </c>
      <c r="O241" s="8">
        <f>_xlfn.IFS(N241="Rendah",'B.kriteria &amp; R.kecocokan'!$C$80,N241="Tinggi",'B.kriteria &amp; R.kecocokan'!$C$81)</f>
        <v>2.5</v>
      </c>
      <c r="P241" s="8" t="str">
        <f>'B.kriteria &amp; R.kecocokan'!$B$89</f>
        <v>Sedikit</v>
      </c>
      <c r="Q241" s="8">
        <f>_xlfn.IFS(P241="Sedikit",'B.kriteria &amp; R.kecocokan'!$C$89,P241="Sedang",'B.kriteria &amp; R.kecocokan'!$C$88,P241="Sangat Sedikit",'B.kriteria &amp; R.kecocokan'!$C$90)</f>
        <v>2.5</v>
      </c>
      <c r="R241" s="8" t="str">
        <f>'B.kriteria &amp; R.kecocokan'!$B$49</f>
        <v>Rendah</v>
      </c>
      <c r="S241" s="8">
        <f>_xlfn.IFS(R241="Rendah",'B.kriteria &amp; R.kecocokan'!$C$49,R241="Sedang",'B.kriteria &amp; R.kecocokan'!$C$50,R241="Tinggi",'B.kriteria &amp; R.kecocokan'!$C$51)</f>
        <v>2.5</v>
      </c>
      <c r="T241" s="9" t="str">
        <f>'B.kriteria &amp; R.kecocokan'!$B$58</f>
        <v>Sedang</v>
      </c>
      <c r="U241" s="51">
        <f>_xlfn.IFS(T241="Rendah",'B.kriteria &amp; R.kecocokan'!$C$57,T241="Sedang",'B.kriteria &amp; R.kecocokan'!$C$58,T241="Tinggi",'B.kriteria &amp; R.kecocokan'!$C$59)</f>
        <v>5</v>
      </c>
      <c r="V241" s="51" t="str">
        <f>'B.kriteria &amp; R.kecocokan'!$B$65</f>
        <v>Rendah</v>
      </c>
      <c r="W241" s="9">
        <f>_xlfn.IFS(V241="Rendah",'B.kriteria &amp; R.kecocokan'!$C$65,V241="Sedang",'B.kriteria &amp; R.kecocokan'!$C$66,V241="Tinggi",'B.kriteria &amp; R.kecocokan'!$C$67)</f>
        <v>1</v>
      </c>
      <c r="X241" s="117">
        <f t="shared" si="23"/>
        <v>3.901435736285626</v>
      </c>
      <c r="Y241" s="117">
        <f t="shared" si="24"/>
        <v>2.8773966992241236</v>
      </c>
      <c r="Z241" s="119">
        <f t="shared" si="25"/>
        <v>2.8773966992241236</v>
      </c>
      <c r="AA241" s="55" t="str">
        <f t="shared" si="26"/>
        <v>Tidak Layak</v>
      </c>
    </row>
    <row r="242" spans="1:27" x14ac:dyDescent="0.35">
      <c r="A242" s="5">
        <v>21</v>
      </c>
      <c r="B242" s="2" t="s">
        <v>57</v>
      </c>
      <c r="C242" s="11" t="s">
        <v>13</v>
      </c>
      <c r="D242" s="9" t="str">
        <f>'B.kriteria &amp; R.kecocokan'!$B$25</f>
        <v>Sedikit</v>
      </c>
      <c r="E242" s="111">
        <f>_xlfn.IFS(D242="Banyak",'B.kriteria &amp; R.kecocokan'!$C$23,D242="Cukup",'B.kriteria &amp; R.kecocokan'!$C$24,D242="Sedikit",'B.kriteria &amp; R.kecocokan'!$C$25)</f>
        <v>7.5</v>
      </c>
      <c r="F242" s="9" t="str">
        <f>'B.kriteria &amp; R.kecocokan'!$B$35</f>
        <v>Sangat Tinggi</v>
      </c>
      <c r="G242" s="8">
        <f>_xlfn.IFS(F242="Tinggi",'B.kriteria &amp; R.kecocokan'!$C$34,F242="Sangat Tinggi",'B.kriteria &amp; R.kecocokan'!$C$35)</f>
        <v>10</v>
      </c>
      <c r="H242" s="8" t="str">
        <f>'B.kriteria &amp; R.kecocokan'!$B$41</f>
        <v>Rendah</v>
      </c>
      <c r="I242" s="8">
        <f>_xlfn.IFS(H242="Rendah",'B.kriteria &amp; R.kecocokan'!$C$41,H242="Sedang",'B.kriteria &amp; R.kecocokan'!$C$42,H242="Tinggi",'B.kriteria &amp; R.kecocokan'!$C$43)</f>
        <v>2.5</v>
      </c>
      <c r="J242" s="8" t="str">
        <f>'B.kriteria &amp; R.kecocokan'!$B$72</f>
        <v>Rendah</v>
      </c>
      <c r="K242" s="8">
        <f>_xlfn.IFS(J242="Rendah",'B.kriteria &amp; R.kecocokan'!$C$72,J242="Sedang",'B.kriteria &amp; R.kecocokan'!$C$73,J242="Tinggi",'B.kriteria &amp; R.kecocokan'!$C$74)</f>
        <v>2.5</v>
      </c>
      <c r="L242" s="8" t="str">
        <f>'B.kriteria &amp; R.kecocokan'!$B$95</f>
        <v>Rendah</v>
      </c>
      <c r="M242" s="8">
        <f>_xlfn.IFS(L242="Rendah",'B.kriteria &amp; R.kecocokan'!$C$95,L242="Tinggi",'B.kriteria &amp; R.kecocokan'!$C$96)</f>
        <v>2.5</v>
      </c>
      <c r="N242" s="9" t="str">
        <f>'B.kriteria &amp; R.kecocokan'!$B$81</f>
        <v>Tinggi</v>
      </c>
      <c r="O242" s="8">
        <f>_xlfn.IFS(N242="Rendah",'B.kriteria &amp; R.kecocokan'!$C$80,N242="Tinggi",'B.kriteria &amp; R.kecocokan'!$C$81)</f>
        <v>7.5</v>
      </c>
      <c r="P242" s="9" t="str">
        <f>'B.kriteria &amp; R.kecocokan'!$B$90</f>
        <v>Sangat Sedikit</v>
      </c>
      <c r="Q242" s="8">
        <f>_xlfn.IFS(P242="Sedikit",'B.kriteria &amp; R.kecocokan'!$C$89,P242="Sedang",'B.kriteria &amp; R.kecocokan'!$C$88,P242="Sangat Sedikit",'B.kriteria &amp; R.kecocokan'!$C$90)</f>
        <v>1</v>
      </c>
      <c r="R242" s="8" t="str">
        <f>'B.kriteria &amp; R.kecocokan'!$B$49</f>
        <v>Rendah</v>
      </c>
      <c r="S242" s="8">
        <f>_xlfn.IFS(R242="Rendah",'B.kriteria &amp; R.kecocokan'!$C$49,R242="Sedang",'B.kriteria &amp; R.kecocokan'!$C$50,R242="Tinggi",'B.kriteria &amp; R.kecocokan'!$C$51)</f>
        <v>2.5</v>
      </c>
      <c r="T242" s="9" t="str">
        <f>'B.kriteria &amp; R.kecocokan'!$B$58</f>
        <v>Sedang</v>
      </c>
      <c r="U242" s="51">
        <f>_xlfn.IFS(T242="Rendah",'B.kriteria &amp; R.kecocokan'!$C$57,T242="Sedang",'B.kriteria &amp; R.kecocokan'!$C$58,T242="Tinggi",'B.kriteria &amp; R.kecocokan'!$C$59)</f>
        <v>5</v>
      </c>
      <c r="V242" s="51" t="str">
        <f>'B.kriteria &amp; R.kecocokan'!$B$65</f>
        <v>Rendah</v>
      </c>
      <c r="W242" s="9">
        <f>_xlfn.IFS(V242="Rendah",'B.kriteria &amp; R.kecocokan'!$C$65,V242="Sedang",'B.kriteria &amp; R.kecocokan'!$C$66,V242="Tinggi",'B.kriteria &amp; R.kecocokan'!$C$67)</f>
        <v>1</v>
      </c>
      <c r="X242" s="117">
        <f t="shared" si="23"/>
        <v>3.816336088888086</v>
      </c>
      <c r="Y242" s="117">
        <f t="shared" si="24"/>
        <v>7.2578557844748675</v>
      </c>
      <c r="Z242" s="119">
        <f t="shared" si="25"/>
        <v>3.816336088888086</v>
      </c>
      <c r="AA242" s="55" t="str">
        <f t="shared" si="26"/>
        <v>Layak</v>
      </c>
    </row>
    <row r="243" spans="1:27" x14ac:dyDescent="0.35">
      <c r="A243" s="5">
        <v>22</v>
      </c>
      <c r="B243" s="2" t="s">
        <v>59</v>
      </c>
      <c r="C243" s="11" t="s">
        <v>13</v>
      </c>
      <c r="D243" s="9" t="str">
        <f>'B.kriteria &amp; R.kecocokan'!$B$23</f>
        <v>Banyak</v>
      </c>
      <c r="E243" s="111">
        <f>_xlfn.IFS(D243="Banyak",'B.kriteria &amp; R.kecocokan'!$C$23,D243="Cukup",'B.kriteria &amp; R.kecocokan'!$C$24,D243="Sedikit",'B.kriteria &amp; R.kecocokan'!$C$25)</f>
        <v>2.5</v>
      </c>
      <c r="F243" s="9" t="str">
        <f>'B.kriteria &amp; R.kecocokan'!$B$34</f>
        <v>Tinggi</v>
      </c>
      <c r="G243" s="8">
        <f>_xlfn.IFS(F243="Tinggi",'B.kriteria &amp; R.kecocokan'!$C$34,F243="Sangat Tinggi",'B.kriteria &amp; R.kecocokan'!$C$35)</f>
        <v>7.5</v>
      </c>
      <c r="H243" s="8" t="str">
        <f>'B.kriteria &amp; R.kecocokan'!$B$41</f>
        <v>Rendah</v>
      </c>
      <c r="I243" s="8">
        <f>_xlfn.IFS(H243="Rendah",'B.kriteria &amp; R.kecocokan'!$C$41,H243="Sedang",'B.kriteria &amp; R.kecocokan'!$C$42,H243="Tinggi",'B.kriteria &amp; R.kecocokan'!$C$43)</f>
        <v>2.5</v>
      </c>
      <c r="J243" s="8" t="str">
        <f>'B.kriteria &amp; R.kecocokan'!$B$72</f>
        <v>Rendah</v>
      </c>
      <c r="K243" s="8">
        <f>_xlfn.IFS(J243="Rendah",'B.kriteria &amp; R.kecocokan'!$C$72,J243="Sedang",'B.kriteria &amp; R.kecocokan'!$C$73,J243="Tinggi",'B.kriteria &amp; R.kecocokan'!$C$74)</f>
        <v>2.5</v>
      </c>
      <c r="L243" s="8" t="str">
        <f>'B.kriteria &amp; R.kecocokan'!$B$95</f>
        <v>Rendah</v>
      </c>
      <c r="M243" s="8">
        <f>_xlfn.IFS(L243="Rendah",'B.kriteria &amp; R.kecocokan'!$C$95,L243="Tinggi",'B.kriteria &amp; R.kecocokan'!$C$96)</f>
        <v>2.5</v>
      </c>
      <c r="N243" s="8" t="str">
        <f>'B.kriteria &amp; R.kecocokan'!$B$80</f>
        <v>Rendah</v>
      </c>
      <c r="O243" s="8">
        <f>_xlfn.IFS(N243="Rendah",'B.kriteria &amp; R.kecocokan'!$C$80,N243="Tinggi",'B.kriteria &amp; R.kecocokan'!$C$81)</f>
        <v>2.5</v>
      </c>
      <c r="P243" s="9" t="str">
        <f>'B.kriteria &amp; R.kecocokan'!$B$88</f>
        <v>Sedang</v>
      </c>
      <c r="Q243" s="8">
        <f>_xlfn.IFS(P243="Sedikit",'B.kriteria &amp; R.kecocokan'!$C$89,P243="Sedang",'B.kriteria &amp; R.kecocokan'!$C$88,P243="Sangat Sedikit",'B.kriteria &amp; R.kecocokan'!$C$90)</f>
        <v>5</v>
      </c>
      <c r="R243" s="8" t="str">
        <f>'B.kriteria &amp; R.kecocokan'!$B$49</f>
        <v>Rendah</v>
      </c>
      <c r="S243" s="8">
        <f>_xlfn.IFS(R243="Rendah",'B.kriteria &amp; R.kecocokan'!$C$49,R243="Sedang",'B.kriteria &amp; R.kecocokan'!$C$50,R243="Tinggi",'B.kriteria &amp; R.kecocokan'!$C$51)</f>
        <v>2.5</v>
      </c>
      <c r="T243" s="8" t="str">
        <f>'B.kriteria &amp; R.kecocokan'!$B$57</f>
        <v>Rendah</v>
      </c>
      <c r="U243" s="51">
        <f>_xlfn.IFS(T243="Rendah",'B.kriteria &amp; R.kecocokan'!$C$57,T243="Sedang",'B.kriteria &amp; R.kecocokan'!$C$58,T243="Tinggi",'B.kriteria &amp; R.kecocokan'!$C$59)</f>
        <v>2.5</v>
      </c>
      <c r="V243" s="51" t="str">
        <f>'B.kriteria &amp; R.kecocokan'!$B$65</f>
        <v>Rendah</v>
      </c>
      <c r="W243" s="9">
        <f>_xlfn.IFS(V243="Rendah",'B.kriteria &amp; R.kecocokan'!$C$65,V243="Sedang",'B.kriteria &amp; R.kecocokan'!$C$66,V243="Tinggi",'B.kriteria &amp; R.kecocokan'!$C$67)</f>
        <v>1</v>
      </c>
      <c r="X243" s="117">
        <f t="shared" si="23"/>
        <v>5.8139237420990346</v>
      </c>
      <c r="Y243" s="117">
        <f t="shared" si="24"/>
        <v>2.5088080131924846</v>
      </c>
      <c r="Z243" s="119">
        <f t="shared" si="25"/>
        <v>2.5088080131924846</v>
      </c>
      <c r="AA243" s="55" t="str">
        <f t="shared" si="26"/>
        <v>Tidak Layak</v>
      </c>
    </row>
    <row r="244" spans="1:27" x14ac:dyDescent="0.35">
      <c r="A244" s="1">
        <v>23</v>
      </c>
      <c r="B244" s="2" t="s">
        <v>61</v>
      </c>
      <c r="C244" s="11" t="s">
        <v>13</v>
      </c>
      <c r="D244" s="32" t="str">
        <f>'B.kriteria &amp; R.kecocokan'!$B$24</f>
        <v>Cukup</v>
      </c>
      <c r="E244" s="111">
        <f>_xlfn.IFS(D244="Banyak",'B.kriteria &amp; R.kecocokan'!$C$23,D244="Cukup",'B.kriteria &amp; R.kecocokan'!$C$24,D244="Sedikit",'B.kriteria &amp; R.kecocokan'!$C$25)</f>
        <v>5</v>
      </c>
      <c r="F244" s="9" t="str">
        <f>'B.kriteria &amp; R.kecocokan'!$B$34</f>
        <v>Tinggi</v>
      </c>
      <c r="G244" s="8">
        <f>_xlfn.IFS(F244="Tinggi",'B.kriteria &amp; R.kecocokan'!$C$34,F244="Sangat Tinggi",'B.kriteria &amp; R.kecocokan'!$C$35)</f>
        <v>7.5</v>
      </c>
      <c r="H244" s="8" t="str">
        <f>'B.kriteria &amp; R.kecocokan'!$B$41</f>
        <v>Rendah</v>
      </c>
      <c r="I244" s="8">
        <f>_xlfn.IFS(H244="Rendah",'B.kriteria &amp; R.kecocokan'!$C$41,H244="Sedang",'B.kriteria &amp; R.kecocokan'!$C$42,H244="Tinggi",'B.kriteria &amp; R.kecocokan'!$C$43)</f>
        <v>2.5</v>
      </c>
      <c r="J244" s="8" t="str">
        <f>'B.kriteria &amp; R.kecocokan'!$B$72</f>
        <v>Rendah</v>
      </c>
      <c r="K244" s="8">
        <f>_xlfn.IFS(J244="Rendah",'B.kriteria &amp; R.kecocokan'!$C$72,J244="Sedang",'B.kriteria &amp; R.kecocokan'!$C$73,J244="Tinggi",'B.kriteria &amp; R.kecocokan'!$C$74)</f>
        <v>2.5</v>
      </c>
      <c r="L244" s="8" t="str">
        <f>'B.kriteria &amp; R.kecocokan'!$B$95</f>
        <v>Rendah</v>
      </c>
      <c r="M244" s="8">
        <f>_xlfn.IFS(L244="Rendah",'B.kriteria &amp; R.kecocokan'!$C$95,L244="Tinggi",'B.kriteria &amp; R.kecocokan'!$C$96)</f>
        <v>2.5</v>
      </c>
      <c r="N244" s="8" t="str">
        <f>'B.kriteria &amp; R.kecocokan'!$B$80</f>
        <v>Rendah</v>
      </c>
      <c r="O244" s="8">
        <f>_xlfn.IFS(N244="Rendah",'B.kriteria &amp; R.kecocokan'!$C$80,N244="Tinggi",'B.kriteria &amp; R.kecocokan'!$C$81)</f>
        <v>2.5</v>
      </c>
      <c r="P244" s="9" t="str">
        <f>'B.kriteria &amp; R.kecocokan'!$B$88</f>
        <v>Sedang</v>
      </c>
      <c r="Q244" s="8">
        <f>_xlfn.IFS(P244="Sedikit",'B.kriteria &amp; R.kecocokan'!$C$89,P244="Sedang",'B.kriteria &amp; R.kecocokan'!$C$88,P244="Sangat Sedikit",'B.kriteria &amp; R.kecocokan'!$C$90)</f>
        <v>5</v>
      </c>
      <c r="R244" s="8" t="str">
        <f>'B.kriteria &amp; R.kecocokan'!$B$49</f>
        <v>Rendah</v>
      </c>
      <c r="S244" s="8">
        <f>_xlfn.IFS(R244="Rendah",'B.kriteria &amp; R.kecocokan'!$C$49,R244="Sedang",'B.kriteria &amp; R.kecocokan'!$C$50,R244="Tinggi",'B.kriteria &amp; R.kecocokan'!$C$51)</f>
        <v>2.5</v>
      </c>
      <c r="T244" s="8" t="str">
        <f>'B.kriteria &amp; R.kecocokan'!$B$57</f>
        <v>Rendah</v>
      </c>
      <c r="U244" s="51">
        <f>_xlfn.IFS(T244="Rendah",'B.kriteria &amp; R.kecocokan'!$C$57,T244="Sedang",'B.kriteria &amp; R.kecocokan'!$C$58,T244="Tinggi",'B.kriteria &amp; R.kecocokan'!$C$59)</f>
        <v>2.5</v>
      </c>
      <c r="V244" s="51" t="str">
        <f>'B.kriteria &amp; R.kecocokan'!$B$65</f>
        <v>Rendah</v>
      </c>
      <c r="W244" s="9">
        <f>_xlfn.IFS(V244="Rendah",'B.kriteria &amp; R.kecocokan'!$C$65,V244="Sedang",'B.kriteria &amp; R.kecocokan'!$C$66,V244="Tinggi",'B.kriteria &amp; R.kecocokan'!$C$67)</f>
        <v>1</v>
      </c>
      <c r="X244" s="117">
        <f t="shared" si="23"/>
        <v>4.8721812319441629</v>
      </c>
      <c r="Y244" s="117">
        <f t="shared" si="24"/>
        <v>1.5</v>
      </c>
      <c r="Z244" s="119">
        <f t="shared" si="25"/>
        <v>1.5</v>
      </c>
      <c r="AA244" s="55" t="str">
        <f t="shared" si="26"/>
        <v>Tidak Layak</v>
      </c>
    </row>
    <row r="245" spans="1:27" x14ac:dyDescent="0.35">
      <c r="A245" s="122">
        <v>24</v>
      </c>
      <c r="B245" s="88" t="s">
        <v>62</v>
      </c>
      <c r="C245" s="123" t="s">
        <v>13</v>
      </c>
      <c r="D245" s="124" t="str">
        <f>'B.kriteria &amp; R.kecocokan'!$B$24</f>
        <v>Cukup</v>
      </c>
      <c r="E245" s="125">
        <f>_xlfn.IFS(D245="Banyak",'B.kriteria &amp; R.kecocokan'!$C$23,D245="Cukup",'B.kriteria &amp; R.kecocokan'!$C$24,D245="Sedikit",'B.kriteria &amp; R.kecocokan'!$C$25)</f>
        <v>5</v>
      </c>
      <c r="F245" s="126" t="str">
        <f>'B.kriteria &amp; R.kecocokan'!$B$35</f>
        <v>Sangat Tinggi</v>
      </c>
      <c r="G245" s="127">
        <f>_xlfn.IFS(F245="Tinggi",'B.kriteria &amp; R.kecocokan'!$C$34,F245="Sangat Tinggi",'B.kriteria &amp; R.kecocokan'!$C$35)</f>
        <v>10</v>
      </c>
      <c r="H245" s="127" t="str">
        <f>'B.kriteria &amp; R.kecocokan'!$B$41</f>
        <v>Rendah</v>
      </c>
      <c r="I245" s="127">
        <f>_xlfn.IFS(H245="Rendah",'B.kriteria &amp; R.kecocokan'!$C$41,H245="Sedang",'B.kriteria &amp; R.kecocokan'!$C$42,H245="Tinggi",'B.kriteria &amp; R.kecocokan'!$C$43)</f>
        <v>2.5</v>
      </c>
      <c r="J245" s="127" t="str">
        <f>'B.kriteria &amp; R.kecocokan'!$B$72</f>
        <v>Rendah</v>
      </c>
      <c r="K245" s="127">
        <f>_xlfn.IFS(J245="Rendah",'B.kriteria &amp; R.kecocokan'!$C$72,J245="Sedang",'B.kriteria &amp; R.kecocokan'!$C$73,J245="Tinggi",'B.kriteria &amp; R.kecocokan'!$C$74)</f>
        <v>2.5</v>
      </c>
      <c r="L245" s="127" t="str">
        <f>'B.kriteria &amp; R.kecocokan'!$B$95</f>
        <v>Rendah</v>
      </c>
      <c r="M245" s="127">
        <f>_xlfn.IFS(L245="Rendah",'B.kriteria &amp; R.kecocokan'!$C$95,L245="Tinggi",'B.kriteria &amp; R.kecocokan'!$C$96)</f>
        <v>2.5</v>
      </c>
      <c r="N245" s="127" t="str">
        <f>'B.kriteria &amp; R.kecocokan'!$B$80</f>
        <v>Rendah</v>
      </c>
      <c r="O245" s="127">
        <f>_xlfn.IFS(N245="Rendah",'B.kriteria &amp; R.kecocokan'!$C$80,N245="Tinggi",'B.kriteria &amp; R.kecocokan'!$C$81)</f>
        <v>2.5</v>
      </c>
      <c r="P245" s="126" t="str">
        <f>'B.kriteria &amp; R.kecocokan'!$B$88</f>
        <v>Sedang</v>
      </c>
      <c r="Q245" s="127">
        <f>_xlfn.IFS(P245="Sedikit",'B.kriteria &amp; R.kecocokan'!$C$89,P245="Sedang",'B.kriteria &amp; R.kecocokan'!$C$88,P245="Sangat Sedikit",'B.kriteria &amp; R.kecocokan'!$C$90)</f>
        <v>5</v>
      </c>
      <c r="R245" s="127" t="str">
        <f>'B.kriteria &amp; R.kecocokan'!$B$49</f>
        <v>Rendah</v>
      </c>
      <c r="S245" s="127">
        <f>_xlfn.IFS(R245="Rendah",'B.kriteria &amp; R.kecocokan'!$C$49,R245="Sedang",'B.kriteria &amp; R.kecocokan'!$C$50,R245="Tinggi",'B.kriteria &amp; R.kecocokan'!$C$51)</f>
        <v>2.5</v>
      </c>
      <c r="T245" s="127" t="str">
        <f>'B.kriteria &amp; R.kecocokan'!$B$57</f>
        <v>Rendah</v>
      </c>
      <c r="U245" s="128">
        <f>_xlfn.IFS(T245="Rendah",'B.kriteria &amp; R.kecocokan'!$C$57,T245="Sedang",'B.kriteria &amp; R.kecocokan'!$C$58,T245="Tinggi",'B.kriteria &amp; R.kecocokan'!$C$59)</f>
        <v>2.5</v>
      </c>
      <c r="V245" s="128" t="str">
        <f>'B.kriteria &amp; R.kecocokan'!$B$65</f>
        <v>Rendah</v>
      </c>
      <c r="W245" s="126">
        <f>_xlfn.IFS(V245="Rendah",'B.kriteria &amp; R.kecocokan'!$C$65,V245="Sedang",'B.kriteria &amp; R.kecocokan'!$C$66,V245="Tinggi",'B.kriteria &amp; R.kecocokan'!$C$67)</f>
        <v>1</v>
      </c>
      <c r="X245" s="117">
        <f t="shared" si="23"/>
        <v>5.3191385301260627</v>
      </c>
      <c r="Y245" s="117">
        <f t="shared" si="24"/>
        <v>2.3577157439801275</v>
      </c>
      <c r="Z245" s="130">
        <f t="shared" si="25"/>
        <v>2.3577157439801275</v>
      </c>
      <c r="AA245" s="131" t="str">
        <f t="shared" si="26"/>
        <v>Tidak Layak</v>
      </c>
    </row>
    <row r="246" spans="1:27" x14ac:dyDescent="0.35">
      <c r="A246" s="5">
        <v>25</v>
      </c>
      <c r="B246" s="2" t="s">
        <v>64</v>
      </c>
      <c r="C246" s="11" t="s">
        <v>13</v>
      </c>
      <c r="D246" s="9" t="str">
        <f>'B.kriteria &amp; R.kecocokan'!$B$25</f>
        <v>Sedikit</v>
      </c>
      <c r="E246" s="111">
        <f>_xlfn.IFS(D246="Banyak",'B.kriteria &amp; R.kecocokan'!$C$23,D246="Cukup",'B.kriteria &amp; R.kecocokan'!$C$24,D246="Sedikit",'B.kriteria &amp; R.kecocokan'!$C$25)</f>
        <v>7.5</v>
      </c>
      <c r="F246" s="9" t="str">
        <f>'B.kriteria &amp; R.kecocokan'!$B$35</f>
        <v>Sangat Tinggi</v>
      </c>
      <c r="G246" s="8">
        <f>_xlfn.IFS(F246="Tinggi",'B.kriteria &amp; R.kecocokan'!$C$34,F246="Sangat Tinggi",'B.kriteria &amp; R.kecocokan'!$C$35)</f>
        <v>10</v>
      </c>
      <c r="H246" s="8" t="str">
        <f>'B.kriteria &amp; R.kecocokan'!$B$41</f>
        <v>Rendah</v>
      </c>
      <c r="I246" s="8">
        <f>_xlfn.IFS(H246="Rendah",'B.kriteria &amp; R.kecocokan'!$C$41,H246="Sedang",'B.kriteria &amp; R.kecocokan'!$C$42,H246="Tinggi",'B.kriteria &amp; R.kecocokan'!$C$43)</f>
        <v>2.5</v>
      </c>
      <c r="J246" s="8" t="str">
        <f>'B.kriteria &amp; R.kecocokan'!$B$72</f>
        <v>Rendah</v>
      </c>
      <c r="K246" s="8">
        <f>_xlfn.IFS(J246="Rendah",'B.kriteria &amp; R.kecocokan'!$C$72,J246="Sedang",'B.kriteria &amp; R.kecocokan'!$C$73,J246="Tinggi",'B.kriteria &amp; R.kecocokan'!$C$74)</f>
        <v>2.5</v>
      </c>
      <c r="L246" s="8" t="str">
        <f>'B.kriteria &amp; R.kecocokan'!$B$95</f>
        <v>Rendah</v>
      </c>
      <c r="M246" s="8">
        <f>_xlfn.IFS(L246="Rendah",'B.kriteria &amp; R.kecocokan'!$C$95,L246="Tinggi",'B.kriteria &amp; R.kecocokan'!$C$96)</f>
        <v>2.5</v>
      </c>
      <c r="N246" s="9" t="str">
        <f>'B.kriteria &amp; R.kecocokan'!$B$81</f>
        <v>Tinggi</v>
      </c>
      <c r="O246" s="8">
        <f>_xlfn.IFS(N246="Rendah",'B.kriteria &amp; R.kecocokan'!$C$80,N246="Tinggi",'B.kriteria &amp; R.kecocokan'!$C$81)</f>
        <v>7.5</v>
      </c>
      <c r="P246" s="9" t="str">
        <f>'B.kriteria &amp; R.kecocokan'!$B$90</f>
        <v>Sangat Sedikit</v>
      </c>
      <c r="Q246" s="8">
        <f>_xlfn.IFS(P246="Sedikit",'B.kriteria &amp; R.kecocokan'!$C$89,P246="Sedang",'B.kriteria &amp; R.kecocokan'!$C$88,P246="Sangat Sedikit",'B.kriteria &amp; R.kecocokan'!$C$90)</f>
        <v>1</v>
      </c>
      <c r="R246" s="8" t="str">
        <f>'B.kriteria &amp; R.kecocokan'!$B$49</f>
        <v>Rendah</v>
      </c>
      <c r="S246" s="8">
        <f>_xlfn.IFS(R246="Rendah",'B.kriteria &amp; R.kecocokan'!$C$49,R246="Sedang",'B.kriteria &amp; R.kecocokan'!$C$50,R246="Tinggi",'B.kriteria &amp; R.kecocokan'!$C$51)</f>
        <v>2.5</v>
      </c>
      <c r="T246" s="9" t="str">
        <f>'B.kriteria &amp; R.kecocokan'!$B$58</f>
        <v>Sedang</v>
      </c>
      <c r="U246" s="51">
        <f>_xlfn.IFS(T246="Rendah",'B.kriteria &amp; R.kecocokan'!$C$57,T246="Sedang",'B.kriteria &amp; R.kecocokan'!$C$58,T246="Tinggi",'B.kriteria &amp; R.kecocokan'!$C$59)</f>
        <v>5</v>
      </c>
      <c r="V246" s="51" t="str">
        <f>'B.kriteria &amp; R.kecocokan'!$B$65</f>
        <v>Rendah</v>
      </c>
      <c r="W246" s="9">
        <f>_xlfn.IFS(V246="Rendah",'B.kriteria &amp; R.kecocokan'!$C$65,V246="Sedang",'B.kriteria &amp; R.kecocokan'!$C$66,V246="Tinggi",'B.kriteria &amp; R.kecocokan'!$C$67)</f>
        <v>1</v>
      </c>
      <c r="X246" s="117">
        <f t="shared" si="23"/>
        <v>3.816336088888086</v>
      </c>
      <c r="Y246" s="117">
        <f t="shared" si="24"/>
        <v>7.2578557844748675</v>
      </c>
      <c r="Z246" s="119">
        <f t="shared" si="25"/>
        <v>3.816336088888086</v>
      </c>
      <c r="AA246" s="55" t="str">
        <f t="shared" si="26"/>
        <v>Layak</v>
      </c>
    </row>
    <row r="247" spans="1:27" x14ac:dyDescent="0.35">
      <c r="A247" s="1">
        <v>26</v>
      </c>
      <c r="B247" s="2" t="s">
        <v>66</v>
      </c>
      <c r="C247" s="11" t="s">
        <v>13</v>
      </c>
      <c r="D247" s="9" t="str">
        <f>'B.kriteria &amp; R.kecocokan'!$B$25</f>
        <v>Sedikit</v>
      </c>
      <c r="E247" s="111">
        <f>_xlfn.IFS(D247="Banyak",'B.kriteria &amp; R.kecocokan'!$C$23,D247="Cukup",'B.kriteria &amp; R.kecocokan'!$C$24,D247="Sedikit",'B.kriteria &amp; R.kecocokan'!$C$25)</f>
        <v>7.5</v>
      </c>
      <c r="F247" s="9" t="str">
        <f>'B.kriteria &amp; R.kecocokan'!$B$34</f>
        <v>Tinggi</v>
      </c>
      <c r="G247" s="8">
        <f>_xlfn.IFS(F247="Tinggi",'B.kriteria &amp; R.kecocokan'!$C$34,F247="Sangat Tinggi",'B.kriteria &amp; R.kecocokan'!$C$35)</f>
        <v>7.5</v>
      </c>
      <c r="H247" s="8" t="str">
        <f>'B.kriteria &amp; R.kecocokan'!$B$41</f>
        <v>Rendah</v>
      </c>
      <c r="I247" s="8">
        <f>_xlfn.IFS(H247="Rendah",'B.kriteria &amp; R.kecocokan'!$C$41,H247="Sedang",'B.kriteria &amp; R.kecocokan'!$C$42,H247="Tinggi",'B.kriteria &amp; R.kecocokan'!$C$43)</f>
        <v>2.5</v>
      </c>
      <c r="J247" s="8" t="str">
        <f>'B.kriteria &amp; R.kecocokan'!$B$72</f>
        <v>Rendah</v>
      </c>
      <c r="K247" s="8">
        <f>_xlfn.IFS(J247="Rendah",'B.kriteria &amp; R.kecocokan'!$C$72,J247="Sedang",'B.kriteria &amp; R.kecocokan'!$C$73,J247="Tinggi",'B.kriteria &amp; R.kecocokan'!$C$74)</f>
        <v>2.5</v>
      </c>
      <c r="L247" s="8" t="str">
        <f>'B.kriteria &amp; R.kecocokan'!$B$95</f>
        <v>Rendah</v>
      </c>
      <c r="M247" s="8">
        <f>_xlfn.IFS(L247="Rendah",'B.kriteria &amp; R.kecocokan'!$C$95,L247="Tinggi",'B.kriteria &amp; R.kecocokan'!$C$96)</f>
        <v>2.5</v>
      </c>
      <c r="N247" s="9" t="str">
        <f>'B.kriteria &amp; R.kecocokan'!$B$81</f>
        <v>Tinggi</v>
      </c>
      <c r="O247" s="8">
        <f>_xlfn.IFS(N247="Rendah",'B.kriteria &amp; R.kecocokan'!$C$80,N247="Tinggi",'B.kriteria &amp; R.kecocokan'!$C$81)</f>
        <v>7.5</v>
      </c>
      <c r="P247" s="9" t="str">
        <f>'B.kriteria &amp; R.kecocokan'!$B$90</f>
        <v>Sangat Sedikit</v>
      </c>
      <c r="Q247" s="8">
        <f>_xlfn.IFS(P247="Sedikit",'B.kriteria &amp; R.kecocokan'!$C$89,P247="Sedang",'B.kriteria &amp; R.kecocokan'!$C$88,P247="Sangat Sedikit",'B.kriteria &amp; R.kecocokan'!$C$90)</f>
        <v>1</v>
      </c>
      <c r="R247" s="8" t="str">
        <f>'B.kriteria &amp; R.kecocokan'!$B$49</f>
        <v>Rendah</v>
      </c>
      <c r="S247" s="8">
        <f>_xlfn.IFS(R247="Rendah",'B.kriteria &amp; R.kecocokan'!$C$49,R247="Sedang",'B.kriteria &amp; R.kecocokan'!$C$50,R247="Tinggi",'B.kriteria &amp; R.kecocokan'!$C$51)</f>
        <v>2.5</v>
      </c>
      <c r="T247" s="8" t="str">
        <f>'B.kriteria &amp; R.kecocokan'!$B$57</f>
        <v>Rendah</v>
      </c>
      <c r="U247" s="51">
        <f>_xlfn.IFS(T247="Rendah",'B.kriteria &amp; R.kecocokan'!$C$57,T247="Sedang",'B.kriteria &amp; R.kecocokan'!$C$58,T247="Tinggi",'B.kriteria &amp; R.kecocokan'!$C$59)</f>
        <v>2.5</v>
      </c>
      <c r="V247" s="51" t="str">
        <f>'B.kriteria &amp; R.kecocokan'!$B$65</f>
        <v>Rendah</v>
      </c>
      <c r="W247" s="9">
        <f>_xlfn.IFS(V247="Rendah",'B.kriteria &amp; R.kecocokan'!$C$65,V247="Sedang",'B.kriteria &amp; R.kecocokan'!$C$66,V247="Tinggi",'B.kriteria &amp; R.kecocokan'!$C$67)</f>
        <v>1</v>
      </c>
      <c r="X247" s="117">
        <f t="shared" si="23"/>
        <v>2.7901182997142717</v>
      </c>
      <c r="Y247" s="117">
        <f t="shared" si="24"/>
        <v>6.7866651257750865</v>
      </c>
      <c r="Z247" s="119">
        <f t="shared" si="25"/>
        <v>2.7901182997142717</v>
      </c>
      <c r="AA247" s="55" t="str">
        <f t="shared" si="26"/>
        <v>Layak</v>
      </c>
    </row>
    <row r="248" spans="1:27" x14ac:dyDescent="0.35">
      <c r="A248" s="5">
        <v>27</v>
      </c>
      <c r="B248" s="2" t="s">
        <v>68</v>
      </c>
      <c r="C248" s="11" t="s">
        <v>13</v>
      </c>
      <c r="D248" s="32" t="str">
        <f>'B.kriteria &amp; R.kecocokan'!$B$24</f>
        <v>Cukup</v>
      </c>
      <c r="E248" s="111">
        <f>_xlfn.IFS(D248="Banyak",'B.kriteria &amp; R.kecocokan'!$C$23,D248="Cukup",'B.kriteria &amp; R.kecocokan'!$C$24,D248="Sedikit",'B.kriteria &amp; R.kecocokan'!$C$25)</f>
        <v>5</v>
      </c>
      <c r="F248" s="9" t="str">
        <f>'B.kriteria &amp; R.kecocokan'!$B$34</f>
        <v>Tinggi</v>
      </c>
      <c r="G248" s="8">
        <f>_xlfn.IFS(F248="Tinggi",'B.kriteria &amp; R.kecocokan'!$C$34,F248="Sangat Tinggi",'B.kriteria &amp; R.kecocokan'!$C$35)</f>
        <v>7.5</v>
      </c>
      <c r="H248" s="9" t="str">
        <f>'B.kriteria &amp; R.kecocokan'!$B$43</f>
        <v>Tinggi</v>
      </c>
      <c r="I248" s="8">
        <f>_xlfn.IFS(H248="Rendah",'B.kriteria &amp; R.kecocokan'!$C$41,H248="Sedang",'B.kriteria &amp; R.kecocokan'!$C$42,H248="Tinggi",'B.kriteria &amp; R.kecocokan'!$C$43)</f>
        <v>7.5</v>
      </c>
      <c r="J248" s="8" t="str">
        <f>'B.kriteria &amp; R.kecocokan'!$B$72</f>
        <v>Rendah</v>
      </c>
      <c r="K248" s="8">
        <f>_xlfn.IFS(J248="Rendah",'B.kriteria &amp; R.kecocokan'!$C$72,J248="Sedang",'B.kriteria &amp; R.kecocokan'!$C$73,J248="Tinggi",'B.kriteria &amp; R.kecocokan'!$C$74)</f>
        <v>2.5</v>
      </c>
      <c r="L248" s="8" t="str">
        <f>'B.kriteria &amp; R.kecocokan'!$B$95</f>
        <v>Rendah</v>
      </c>
      <c r="M248" s="8">
        <f>_xlfn.IFS(L248="Rendah",'B.kriteria &amp; R.kecocokan'!$C$95,L248="Tinggi",'B.kriteria &amp; R.kecocokan'!$C$96)</f>
        <v>2.5</v>
      </c>
      <c r="N248" s="8" t="str">
        <f>'B.kriteria &amp; R.kecocokan'!$B$80</f>
        <v>Rendah</v>
      </c>
      <c r="O248" s="8">
        <f>_xlfn.IFS(N248="Rendah",'B.kriteria &amp; R.kecocokan'!$C$80,N248="Tinggi",'B.kriteria &amp; R.kecocokan'!$C$81)</f>
        <v>2.5</v>
      </c>
      <c r="P248" s="9" t="str">
        <f>'B.kriteria &amp; R.kecocokan'!$B$88</f>
        <v>Sedang</v>
      </c>
      <c r="Q248" s="8">
        <f>_xlfn.IFS(P248="Sedikit",'B.kriteria &amp; R.kecocokan'!$C$89,P248="Sedang",'B.kriteria &amp; R.kecocokan'!$C$88,P248="Sangat Sedikit",'B.kriteria &amp; R.kecocokan'!$C$90)</f>
        <v>5</v>
      </c>
      <c r="R248" s="8" t="str">
        <f>'B.kriteria &amp; R.kecocokan'!$B$49</f>
        <v>Rendah</v>
      </c>
      <c r="S248" s="8">
        <f>_xlfn.IFS(R248="Rendah",'B.kriteria &amp; R.kecocokan'!$C$49,R248="Sedang",'B.kriteria &amp; R.kecocokan'!$C$50,R248="Tinggi",'B.kriteria &amp; R.kecocokan'!$C$51)</f>
        <v>2.5</v>
      </c>
      <c r="T248" s="8" t="str">
        <f>'B.kriteria &amp; R.kecocokan'!$B$57</f>
        <v>Rendah</v>
      </c>
      <c r="U248" s="51">
        <f>_xlfn.IFS(T248="Rendah",'B.kriteria &amp; R.kecocokan'!$C$57,T248="Sedang",'B.kriteria &amp; R.kecocokan'!$C$58,T248="Tinggi",'B.kriteria &amp; R.kecocokan'!$C$59)</f>
        <v>2.5</v>
      </c>
      <c r="V248" s="51" t="str">
        <f>'B.kriteria &amp; R.kecocokan'!$B$65</f>
        <v>Rendah</v>
      </c>
      <c r="W248" s="9">
        <f>_xlfn.IFS(V248="Rendah",'B.kriteria &amp; R.kecocokan'!$C$65,V248="Sedang",'B.kriteria &amp; R.kecocokan'!$C$66,V248="Tinggi",'B.kriteria &amp; R.kecocokan'!$C$67)</f>
        <v>1</v>
      </c>
      <c r="X248" s="117">
        <f t="shared" si="23"/>
        <v>6.6708966279890527</v>
      </c>
      <c r="Y248" s="117">
        <f t="shared" si="24"/>
        <v>4.2926065028412852</v>
      </c>
      <c r="Z248" s="119">
        <f t="shared" si="25"/>
        <v>4.2926065028412852</v>
      </c>
      <c r="AA248" s="55" t="str">
        <f t="shared" si="26"/>
        <v>Tidak Layak</v>
      </c>
    </row>
    <row r="249" spans="1:27" x14ac:dyDescent="0.35">
      <c r="A249" s="5">
        <v>28</v>
      </c>
      <c r="B249" s="2" t="s">
        <v>69</v>
      </c>
      <c r="C249" s="11" t="s">
        <v>13</v>
      </c>
      <c r="D249" s="32" t="str">
        <f>'B.kriteria &amp; R.kecocokan'!$B$24</f>
        <v>Cukup</v>
      </c>
      <c r="E249" s="111">
        <f>_xlfn.IFS(D249="Banyak",'B.kriteria &amp; R.kecocokan'!$C$23,D249="Cukup",'B.kriteria &amp; R.kecocokan'!$C$24,D249="Sedikit",'B.kriteria &amp; R.kecocokan'!$C$25)</f>
        <v>5</v>
      </c>
      <c r="F249" s="9" t="str">
        <f>'B.kriteria &amp; R.kecocokan'!$B$34</f>
        <v>Tinggi</v>
      </c>
      <c r="G249" s="8">
        <f>_xlfn.IFS(F249="Tinggi",'B.kriteria &amp; R.kecocokan'!$C$34,F249="Sangat Tinggi",'B.kriteria &amp; R.kecocokan'!$C$35)</f>
        <v>7.5</v>
      </c>
      <c r="H249" s="8" t="str">
        <f>'B.kriteria &amp; R.kecocokan'!$B$41</f>
        <v>Rendah</v>
      </c>
      <c r="I249" s="8">
        <f>_xlfn.IFS(H249="Rendah",'B.kriteria &amp; R.kecocokan'!$C$41,H249="Sedang",'B.kriteria &amp; R.kecocokan'!$C$42,H249="Tinggi",'B.kriteria &amp; R.kecocokan'!$C$43)</f>
        <v>2.5</v>
      </c>
      <c r="J249" s="8" t="str">
        <f>'B.kriteria &amp; R.kecocokan'!$B$72</f>
        <v>Rendah</v>
      </c>
      <c r="K249" s="8">
        <f>_xlfn.IFS(J249="Rendah",'B.kriteria &amp; R.kecocokan'!$C$72,J249="Sedang",'B.kriteria &amp; R.kecocokan'!$C$73,J249="Tinggi",'B.kriteria &amp; R.kecocokan'!$C$74)</f>
        <v>2.5</v>
      </c>
      <c r="L249" s="8" t="str">
        <f>'B.kriteria &amp; R.kecocokan'!$B$95</f>
        <v>Rendah</v>
      </c>
      <c r="M249" s="8">
        <f>_xlfn.IFS(L249="Rendah",'B.kriteria &amp; R.kecocokan'!$C$95,L249="Tinggi",'B.kriteria &amp; R.kecocokan'!$C$96)</f>
        <v>2.5</v>
      </c>
      <c r="N249" s="8" t="str">
        <f>'B.kriteria &amp; R.kecocokan'!$B$80</f>
        <v>Rendah</v>
      </c>
      <c r="O249" s="8">
        <f>_xlfn.IFS(N249="Rendah",'B.kriteria &amp; R.kecocokan'!$C$80,N249="Tinggi",'B.kriteria &amp; R.kecocokan'!$C$81)</f>
        <v>2.5</v>
      </c>
      <c r="P249" s="8" t="str">
        <f>'B.kriteria &amp; R.kecocokan'!$B$89</f>
        <v>Sedikit</v>
      </c>
      <c r="Q249" s="8">
        <f>_xlfn.IFS(P249="Sedikit",'B.kriteria &amp; R.kecocokan'!$C$89,P249="Sedang",'B.kriteria &amp; R.kecocokan'!$C$88,P249="Sangat Sedikit",'B.kriteria &amp; R.kecocokan'!$C$90)</f>
        <v>2.5</v>
      </c>
      <c r="R249" s="8" t="str">
        <f>'B.kriteria &amp; R.kecocokan'!$B$49</f>
        <v>Rendah</v>
      </c>
      <c r="S249" s="8">
        <f>_xlfn.IFS(R249="Rendah",'B.kriteria &amp; R.kecocokan'!$C$49,R249="Sedang",'B.kriteria &amp; R.kecocokan'!$C$50,R249="Tinggi",'B.kriteria &amp; R.kecocokan'!$C$51)</f>
        <v>2.5</v>
      </c>
      <c r="T249" s="9" t="str">
        <f>'B.kriteria &amp; R.kecocokan'!$B$58</f>
        <v>Sedang</v>
      </c>
      <c r="U249" s="51">
        <f>_xlfn.IFS(T249="Rendah",'B.kriteria &amp; R.kecocokan'!$C$57,T249="Sedang",'B.kriteria &amp; R.kecocokan'!$C$58,T249="Tinggi",'B.kriteria &amp; R.kecocokan'!$C$59)</f>
        <v>5</v>
      </c>
      <c r="V249" s="51" t="str">
        <f>'B.kriteria &amp; R.kecocokan'!$B$65</f>
        <v>Rendah</v>
      </c>
      <c r="W249" s="9">
        <f>_xlfn.IFS(V249="Rendah",'B.kriteria &amp; R.kecocokan'!$C$65,V249="Sedang",'B.kriteria &amp; R.kecocokan'!$C$66,V249="Tinggi",'B.kriteria &amp; R.kecocokan'!$C$67)</f>
        <v>1</v>
      </c>
      <c r="X249" s="117">
        <f t="shared" si="23"/>
        <v>3.901435736285626</v>
      </c>
      <c r="Y249" s="117">
        <f t="shared" si="24"/>
        <v>2.8773966992241236</v>
      </c>
      <c r="Z249" s="119">
        <f t="shared" si="25"/>
        <v>2.8773966992241236</v>
      </c>
      <c r="AA249" s="55" t="str">
        <f t="shared" si="26"/>
        <v>Tidak Layak</v>
      </c>
    </row>
    <row r="250" spans="1:27" x14ac:dyDescent="0.35">
      <c r="A250" s="1">
        <v>29</v>
      </c>
      <c r="B250" s="2" t="s">
        <v>70</v>
      </c>
      <c r="C250" s="11" t="s">
        <v>13</v>
      </c>
      <c r="D250" s="9" t="str">
        <f>'B.kriteria &amp; R.kecocokan'!$B$23</f>
        <v>Banyak</v>
      </c>
      <c r="E250" s="111">
        <f>_xlfn.IFS(D250="Banyak",'B.kriteria &amp; R.kecocokan'!$C$23,D250="Cukup",'B.kriteria &amp; R.kecocokan'!$C$24,D250="Sedikit",'B.kriteria &amp; R.kecocokan'!$C$25)</f>
        <v>2.5</v>
      </c>
      <c r="F250" s="9" t="str">
        <f>'B.kriteria &amp; R.kecocokan'!$B$35</f>
        <v>Sangat Tinggi</v>
      </c>
      <c r="G250" s="8">
        <f>_xlfn.IFS(F250="Tinggi",'B.kriteria &amp; R.kecocokan'!$C$34,F250="Sangat Tinggi",'B.kriteria &amp; R.kecocokan'!$C$35)</f>
        <v>10</v>
      </c>
      <c r="H250" s="8" t="str">
        <f>'B.kriteria &amp; R.kecocokan'!$B$41</f>
        <v>Rendah</v>
      </c>
      <c r="I250" s="8">
        <f>_xlfn.IFS(H250="Rendah",'B.kriteria &amp; R.kecocokan'!$C$41,H250="Sedang",'B.kriteria &amp; R.kecocokan'!$C$42,H250="Tinggi",'B.kriteria &amp; R.kecocokan'!$C$43)</f>
        <v>2.5</v>
      </c>
      <c r="J250" s="8" t="str">
        <f>'B.kriteria &amp; R.kecocokan'!$B$72</f>
        <v>Rendah</v>
      </c>
      <c r="K250" s="8">
        <f>_xlfn.IFS(J250="Rendah",'B.kriteria &amp; R.kecocokan'!$C$72,J250="Sedang",'B.kriteria &amp; R.kecocokan'!$C$73,J250="Tinggi",'B.kriteria &amp; R.kecocokan'!$C$74)</f>
        <v>2.5</v>
      </c>
      <c r="L250" s="8" t="str">
        <f>'B.kriteria &amp; R.kecocokan'!$B$95</f>
        <v>Rendah</v>
      </c>
      <c r="M250" s="8">
        <f>_xlfn.IFS(L250="Rendah",'B.kriteria &amp; R.kecocokan'!$C$95,L250="Tinggi",'B.kriteria &amp; R.kecocokan'!$C$96)</f>
        <v>2.5</v>
      </c>
      <c r="N250" s="8" t="str">
        <f>'B.kriteria &amp; R.kecocokan'!$B$80</f>
        <v>Rendah</v>
      </c>
      <c r="O250" s="8">
        <f>_xlfn.IFS(N250="Rendah",'B.kriteria &amp; R.kecocokan'!$C$80,N250="Tinggi",'B.kriteria &amp; R.kecocokan'!$C$81)</f>
        <v>2.5</v>
      </c>
      <c r="P250" s="9" t="str">
        <f>'B.kriteria &amp; R.kecocokan'!$B$90</f>
        <v>Sangat Sedikit</v>
      </c>
      <c r="Q250" s="8">
        <f>_xlfn.IFS(P250="Sedikit",'B.kriteria &amp; R.kecocokan'!$C$89,P250="Sedang",'B.kriteria &amp; R.kecocokan'!$C$88,P250="Sangat Sedikit",'B.kriteria &amp; R.kecocokan'!$C$90)</f>
        <v>1</v>
      </c>
      <c r="R250" s="8" t="str">
        <f>'B.kriteria &amp; R.kecocokan'!$B$49</f>
        <v>Rendah</v>
      </c>
      <c r="S250" s="8">
        <f>_xlfn.IFS(R250="Rendah",'B.kriteria &amp; R.kecocokan'!$C$49,R250="Sedang",'B.kriteria &amp; R.kecocokan'!$C$50,R250="Tinggi",'B.kriteria &amp; R.kecocokan'!$C$51)</f>
        <v>2.5</v>
      </c>
      <c r="T250" s="8" t="str">
        <f>'B.kriteria &amp; R.kecocokan'!$B$57</f>
        <v>Rendah</v>
      </c>
      <c r="U250" s="51">
        <f>_xlfn.IFS(T250="Rendah",'B.kriteria &amp; R.kecocokan'!$C$57,T250="Sedang",'B.kriteria &amp; R.kecocokan'!$C$58,T250="Tinggi",'B.kriteria &amp; R.kecocokan'!$C$59)</f>
        <v>2.5</v>
      </c>
      <c r="V250" s="51" t="str">
        <f>'B.kriteria &amp; R.kecocokan'!$B$65</f>
        <v>Rendah</v>
      </c>
      <c r="W250" s="9">
        <f>_xlfn.IFS(V250="Rendah",'B.kriteria &amp; R.kecocokan'!$C$65,V250="Sedang",'B.kriteria &amp; R.kecocokan'!$C$66,V250="Tinggi",'B.kriteria &amp; R.kecocokan'!$C$67)</f>
        <v>1</v>
      </c>
      <c r="X250" s="117">
        <f t="shared" si="23"/>
        <v>5.2125189061277704</v>
      </c>
      <c r="Y250" s="117">
        <f t="shared" si="24"/>
        <v>4.4672007289734781</v>
      </c>
      <c r="Z250" s="119">
        <f t="shared" si="25"/>
        <v>4.4672007289734781</v>
      </c>
      <c r="AA250" s="55" t="str">
        <f t="shared" si="26"/>
        <v>Tidak Layak</v>
      </c>
    </row>
    <row r="251" spans="1:27" x14ac:dyDescent="0.35">
      <c r="A251" s="5">
        <v>30</v>
      </c>
      <c r="B251" s="2" t="s">
        <v>71</v>
      </c>
      <c r="C251" s="11" t="s">
        <v>13</v>
      </c>
      <c r="D251" s="9" t="str">
        <f>'B.kriteria &amp; R.kecocokan'!$B$25</f>
        <v>Sedikit</v>
      </c>
      <c r="E251" s="111">
        <f>_xlfn.IFS(D251="Banyak",'B.kriteria &amp; R.kecocokan'!$C$23,D251="Cukup",'B.kriteria &amp; R.kecocokan'!$C$24,D251="Sedikit",'B.kriteria &amp; R.kecocokan'!$C$25)</f>
        <v>7.5</v>
      </c>
      <c r="F251" s="9" t="str">
        <f>'B.kriteria &amp; R.kecocokan'!$B$35</f>
        <v>Sangat Tinggi</v>
      </c>
      <c r="G251" s="8">
        <f>_xlfn.IFS(F251="Tinggi",'B.kriteria &amp; R.kecocokan'!$C$34,F251="Sangat Tinggi",'B.kriteria &amp; R.kecocokan'!$C$35)</f>
        <v>10</v>
      </c>
      <c r="H251" s="8" t="str">
        <f>'B.kriteria &amp; R.kecocokan'!$B$41</f>
        <v>Rendah</v>
      </c>
      <c r="I251" s="8">
        <f>_xlfn.IFS(H251="Rendah",'B.kriteria &amp; R.kecocokan'!$C$41,H251="Sedang",'B.kriteria &amp; R.kecocokan'!$C$42,H251="Tinggi",'B.kriteria &amp; R.kecocokan'!$C$43)</f>
        <v>2.5</v>
      </c>
      <c r="J251" s="8" t="str">
        <f>'B.kriteria &amp; R.kecocokan'!$B$72</f>
        <v>Rendah</v>
      </c>
      <c r="K251" s="8">
        <f>_xlfn.IFS(J251="Rendah",'B.kriteria &amp; R.kecocokan'!$C$72,J251="Sedang",'B.kriteria &amp; R.kecocokan'!$C$73,J251="Tinggi",'B.kriteria &amp; R.kecocokan'!$C$74)</f>
        <v>2.5</v>
      </c>
      <c r="L251" s="8" t="str">
        <f>'B.kriteria &amp; R.kecocokan'!$B$95</f>
        <v>Rendah</v>
      </c>
      <c r="M251" s="8">
        <f>_xlfn.IFS(L251="Rendah",'B.kriteria &amp; R.kecocokan'!$C$95,L251="Tinggi",'B.kriteria &amp; R.kecocokan'!$C$96)</f>
        <v>2.5</v>
      </c>
      <c r="N251" s="9" t="str">
        <f>'B.kriteria &amp; R.kecocokan'!$B$81</f>
        <v>Tinggi</v>
      </c>
      <c r="O251" s="8">
        <f>_xlfn.IFS(N251="Rendah",'B.kriteria &amp; R.kecocokan'!$C$80,N251="Tinggi",'B.kriteria &amp; R.kecocokan'!$C$81)</f>
        <v>7.5</v>
      </c>
      <c r="P251" s="9" t="str">
        <f>'B.kriteria &amp; R.kecocokan'!$B$88</f>
        <v>Sedang</v>
      </c>
      <c r="Q251" s="8">
        <f>_xlfn.IFS(P251="Sedikit",'B.kriteria &amp; R.kecocokan'!$C$89,P251="Sedang",'B.kriteria &amp; R.kecocokan'!$C$88,P251="Sangat Sedikit",'B.kriteria &amp; R.kecocokan'!$C$90)</f>
        <v>5</v>
      </c>
      <c r="R251" s="9" t="str">
        <f>'B.kriteria &amp; R.kecocokan'!$B$51</f>
        <v>Tinggi</v>
      </c>
      <c r="S251" s="8">
        <f>_xlfn.IFS(R251="Rendah",'B.kriteria &amp; R.kecocokan'!$C$49,R251="Sedang",'B.kriteria &amp; R.kecocokan'!$C$50,R251="Tinggi",'B.kriteria &amp; R.kecocokan'!$C$51)</f>
        <v>7.5</v>
      </c>
      <c r="T251" s="9" t="str">
        <f>'B.kriteria &amp; R.kecocokan'!$B$59</f>
        <v>Tinggi</v>
      </c>
      <c r="U251" s="51">
        <f>_xlfn.IFS(T251="Rendah",'B.kriteria &amp; R.kecocokan'!$C$57,T251="Sedang",'B.kriteria &amp; R.kecocokan'!$C$58,T251="Tinggi",'B.kriteria &amp; R.kecocokan'!$C$59)</f>
        <v>7.5</v>
      </c>
      <c r="V251" s="51" t="str">
        <f>'B.kriteria &amp; R.kecocokan'!$B$65</f>
        <v>Rendah</v>
      </c>
      <c r="W251" s="9">
        <f>_xlfn.IFS(V251="Rendah",'B.kriteria &amp; R.kecocokan'!$C$65,V251="Sedang",'B.kriteria &amp; R.kecocokan'!$C$66,V251="Tinggi",'B.kriteria &amp; R.kecocokan'!$C$67)</f>
        <v>1</v>
      </c>
      <c r="X251" s="117">
        <f t="shared" si="23"/>
        <v>7.771144853224027</v>
      </c>
      <c r="Y251" s="117">
        <f t="shared" si="24"/>
        <v>8.9549526224647469</v>
      </c>
      <c r="Z251" s="119">
        <f t="shared" si="25"/>
        <v>7.771144853224027</v>
      </c>
      <c r="AA251" s="55" t="str">
        <f t="shared" si="26"/>
        <v>Layak</v>
      </c>
    </row>
    <row r="252" spans="1:27" x14ac:dyDescent="0.35">
      <c r="A252" s="5">
        <v>31</v>
      </c>
      <c r="B252" s="2" t="s">
        <v>74</v>
      </c>
      <c r="C252" s="11" t="s">
        <v>13</v>
      </c>
      <c r="D252" s="32" t="str">
        <f>'B.kriteria &amp; R.kecocokan'!$B$24</f>
        <v>Cukup</v>
      </c>
      <c r="E252" s="111">
        <f>_xlfn.IFS(D252="Banyak",'B.kriteria &amp; R.kecocokan'!$C$23,D252="Cukup",'B.kriteria &amp; R.kecocokan'!$C$24,D252="Sedikit",'B.kriteria &amp; R.kecocokan'!$C$25)</f>
        <v>5</v>
      </c>
      <c r="F252" s="9" t="str">
        <f>'B.kriteria &amp; R.kecocokan'!$B$35</f>
        <v>Sangat Tinggi</v>
      </c>
      <c r="G252" s="8">
        <f>_xlfn.IFS(F252="Tinggi",'B.kriteria &amp; R.kecocokan'!$C$34,F252="Sangat Tinggi",'B.kriteria &amp; R.kecocokan'!$C$35)</f>
        <v>10</v>
      </c>
      <c r="H252" s="8" t="str">
        <f>'B.kriteria &amp; R.kecocokan'!$B$41</f>
        <v>Rendah</v>
      </c>
      <c r="I252" s="8">
        <f>_xlfn.IFS(H252="Rendah",'B.kriteria &amp; R.kecocokan'!$C$41,H252="Sedang",'B.kriteria &amp; R.kecocokan'!$C$42,H252="Tinggi",'B.kriteria &amp; R.kecocokan'!$C$43)</f>
        <v>2.5</v>
      </c>
      <c r="J252" s="8" t="str">
        <f>'B.kriteria &amp; R.kecocokan'!$B$72</f>
        <v>Rendah</v>
      </c>
      <c r="K252" s="8">
        <f>_xlfn.IFS(J252="Rendah",'B.kriteria &amp; R.kecocokan'!$C$72,J252="Sedang",'B.kriteria &amp; R.kecocokan'!$C$73,J252="Tinggi",'B.kriteria &amp; R.kecocokan'!$C$74)</f>
        <v>2.5</v>
      </c>
      <c r="L252" s="8" t="str">
        <f>'B.kriteria &amp; R.kecocokan'!$B$95</f>
        <v>Rendah</v>
      </c>
      <c r="M252" s="8">
        <f>_xlfn.IFS(L252="Rendah",'B.kriteria &amp; R.kecocokan'!$C$95,L252="Tinggi",'B.kriteria &amp; R.kecocokan'!$C$96)</f>
        <v>2.5</v>
      </c>
      <c r="N252" s="8" t="str">
        <f>'B.kriteria &amp; R.kecocokan'!$B$80</f>
        <v>Rendah</v>
      </c>
      <c r="O252" s="8">
        <f>_xlfn.IFS(N252="Rendah",'B.kriteria &amp; R.kecocokan'!$C$80,N252="Tinggi",'B.kriteria &amp; R.kecocokan'!$C$81)</f>
        <v>2.5</v>
      </c>
      <c r="P252" s="8" t="str">
        <f>'B.kriteria &amp; R.kecocokan'!$B$89</f>
        <v>Sedikit</v>
      </c>
      <c r="Q252" s="8">
        <f>_xlfn.IFS(P252="Sedikit",'B.kriteria &amp; R.kecocokan'!$C$89,P252="Sedang",'B.kriteria &amp; R.kecocokan'!$C$88,P252="Sangat Sedikit",'B.kriteria &amp; R.kecocokan'!$C$90)</f>
        <v>2.5</v>
      </c>
      <c r="R252" s="8" t="str">
        <f>'B.kriteria &amp; R.kecocokan'!$B$49</f>
        <v>Rendah</v>
      </c>
      <c r="S252" s="8">
        <f>_xlfn.IFS(R252="Rendah",'B.kriteria &amp; R.kecocokan'!$C$49,R252="Sedang",'B.kriteria &amp; R.kecocokan'!$C$50,R252="Tinggi",'B.kriteria &amp; R.kecocokan'!$C$51)</f>
        <v>2.5</v>
      </c>
      <c r="T252" s="9" t="str">
        <f>'B.kriteria &amp; R.kecocokan'!$B$58</f>
        <v>Sedang</v>
      </c>
      <c r="U252" s="51">
        <f>_xlfn.IFS(T252="Rendah",'B.kriteria &amp; R.kecocokan'!$C$57,T252="Sedang",'B.kriteria &amp; R.kecocokan'!$C$58,T252="Tinggi",'B.kriteria &amp; R.kecocokan'!$C$59)</f>
        <v>5</v>
      </c>
      <c r="V252" s="51" t="str">
        <f>'B.kriteria &amp; R.kecocokan'!$B$65</f>
        <v>Rendah</v>
      </c>
      <c r="W252" s="9">
        <f>_xlfn.IFS(V252="Rendah",'B.kriteria &amp; R.kecocokan'!$C$65,V252="Sedang",'B.kriteria &amp; R.kecocokan'!$C$66,V252="Tinggi",'B.kriteria &amp; R.kecocokan'!$C$67)</f>
        <v>1</v>
      </c>
      <c r="X252" s="117">
        <f t="shared" si="23"/>
        <v>4.4470535807576317</v>
      </c>
      <c r="Y252" s="117">
        <f t="shared" si="24"/>
        <v>3.4041497167600672</v>
      </c>
      <c r="Z252" s="119">
        <f t="shared" si="25"/>
        <v>3.4041497167600672</v>
      </c>
      <c r="AA252" s="55" t="str">
        <f t="shared" si="26"/>
        <v>Tidak Layak</v>
      </c>
    </row>
    <row r="253" spans="1:27" x14ac:dyDescent="0.35">
      <c r="A253" s="1">
        <v>32</v>
      </c>
      <c r="B253" s="2" t="s">
        <v>76</v>
      </c>
      <c r="C253" s="11" t="s">
        <v>13</v>
      </c>
      <c r="D253" s="32" t="str">
        <f>'B.kriteria &amp; R.kecocokan'!$B$24</f>
        <v>Cukup</v>
      </c>
      <c r="E253" s="111">
        <f>_xlfn.IFS(D253="Banyak",'B.kriteria &amp; R.kecocokan'!$C$23,D253="Cukup",'B.kriteria &amp; R.kecocokan'!$C$24,D253="Sedikit",'B.kriteria &amp; R.kecocokan'!$C$25)</f>
        <v>5</v>
      </c>
      <c r="F253" s="9" t="str">
        <f>'B.kriteria &amp; R.kecocokan'!$B$34</f>
        <v>Tinggi</v>
      </c>
      <c r="G253" s="8">
        <f>_xlfn.IFS(F253="Tinggi",'B.kriteria &amp; R.kecocokan'!$C$34,F253="Sangat Tinggi",'B.kriteria &amp; R.kecocokan'!$C$35)</f>
        <v>7.5</v>
      </c>
      <c r="H253" s="8" t="str">
        <f>'B.kriteria &amp; R.kecocokan'!$B$41</f>
        <v>Rendah</v>
      </c>
      <c r="I253" s="8">
        <f>_xlfn.IFS(H253="Rendah",'B.kriteria &amp; R.kecocokan'!$C$41,H253="Sedang",'B.kriteria &amp; R.kecocokan'!$C$42,H253="Tinggi",'B.kriteria &amp; R.kecocokan'!$C$43)</f>
        <v>2.5</v>
      </c>
      <c r="J253" s="8" t="str">
        <f>'B.kriteria &amp; R.kecocokan'!$B$72</f>
        <v>Rendah</v>
      </c>
      <c r="K253" s="8">
        <f>_xlfn.IFS(J253="Rendah",'B.kriteria &amp; R.kecocokan'!$C$72,J253="Sedang",'B.kriteria &amp; R.kecocokan'!$C$73,J253="Tinggi",'B.kriteria &amp; R.kecocokan'!$C$74)</f>
        <v>2.5</v>
      </c>
      <c r="L253" s="8" t="str">
        <f>'B.kriteria &amp; R.kecocokan'!$B$95</f>
        <v>Rendah</v>
      </c>
      <c r="M253" s="8">
        <f>_xlfn.IFS(L253="Rendah",'B.kriteria &amp; R.kecocokan'!$C$95,L253="Tinggi",'B.kriteria &amp; R.kecocokan'!$C$96)</f>
        <v>2.5</v>
      </c>
      <c r="N253" s="8" t="str">
        <f>'B.kriteria &amp; R.kecocokan'!$B$80</f>
        <v>Rendah</v>
      </c>
      <c r="O253" s="8">
        <f>_xlfn.IFS(N253="Rendah",'B.kriteria &amp; R.kecocokan'!$C$80,N253="Tinggi",'B.kriteria &amp; R.kecocokan'!$C$81)</f>
        <v>2.5</v>
      </c>
      <c r="P253" s="9" t="str">
        <f>'B.kriteria &amp; R.kecocokan'!$B$88</f>
        <v>Sedang</v>
      </c>
      <c r="Q253" s="8">
        <f>_xlfn.IFS(P253="Sedikit",'B.kriteria &amp; R.kecocokan'!$C$89,P253="Sedang",'B.kriteria &amp; R.kecocokan'!$C$88,P253="Sangat Sedikit",'B.kriteria &amp; R.kecocokan'!$C$90)</f>
        <v>5</v>
      </c>
      <c r="R253" s="8" t="str">
        <f>'B.kriteria &amp; R.kecocokan'!$B$49</f>
        <v>Rendah</v>
      </c>
      <c r="S253" s="8">
        <f>_xlfn.IFS(R253="Rendah",'B.kriteria &amp; R.kecocokan'!$C$49,R253="Sedang",'B.kriteria &amp; R.kecocokan'!$C$50,R253="Tinggi",'B.kriteria &amp; R.kecocokan'!$C$51)</f>
        <v>2.5</v>
      </c>
      <c r="T253" s="8" t="str">
        <f>'B.kriteria &amp; R.kecocokan'!$B$57</f>
        <v>Rendah</v>
      </c>
      <c r="U253" s="51">
        <f>_xlfn.IFS(T253="Rendah",'B.kriteria &amp; R.kecocokan'!$C$57,T253="Sedang",'B.kriteria &amp; R.kecocokan'!$C$58,T253="Tinggi",'B.kriteria &amp; R.kecocokan'!$C$59)</f>
        <v>2.5</v>
      </c>
      <c r="V253" s="51" t="str">
        <f>'B.kriteria &amp; R.kecocokan'!$B$65</f>
        <v>Rendah</v>
      </c>
      <c r="W253" s="9">
        <f>_xlfn.IFS(V253="Rendah",'B.kriteria &amp; R.kecocokan'!$C$65,V253="Sedang",'B.kriteria &amp; R.kecocokan'!$C$66,V253="Tinggi",'B.kriteria &amp; R.kecocokan'!$C$67)</f>
        <v>1</v>
      </c>
      <c r="X253" s="117">
        <f t="shared" si="23"/>
        <v>4.8721812319441629</v>
      </c>
      <c r="Y253" s="117">
        <f t="shared" si="24"/>
        <v>1.5</v>
      </c>
      <c r="Z253" s="119">
        <f t="shared" si="25"/>
        <v>1.5</v>
      </c>
      <c r="AA253" s="55" t="str">
        <f t="shared" si="26"/>
        <v>Tidak Layak</v>
      </c>
    </row>
    <row r="254" spans="1:27" x14ac:dyDescent="0.35">
      <c r="A254" s="5">
        <v>33</v>
      </c>
      <c r="B254" s="2" t="s">
        <v>79</v>
      </c>
      <c r="C254" s="11" t="s">
        <v>13</v>
      </c>
      <c r="D254" s="9" t="str">
        <f>'B.kriteria &amp; R.kecocokan'!$B$25</f>
        <v>Sedikit</v>
      </c>
      <c r="E254" s="111">
        <f>_xlfn.IFS(D254="Banyak",'B.kriteria &amp; R.kecocokan'!$C$23,D254="Cukup",'B.kriteria &amp; R.kecocokan'!$C$24,D254="Sedikit",'B.kriteria &amp; R.kecocokan'!$C$25)</f>
        <v>7.5</v>
      </c>
      <c r="F254" s="9" t="str">
        <f>'B.kriteria &amp; R.kecocokan'!$B$34</f>
        <v>Tinggi</v>
      </c>
      <c r="G254" s="8">
        <f>_xlfn.IFS(F254="Tinggi",'B.kriteria &amp; R.kecocokan'!$C$34,F254="Sangat Tinggi",'B.kriteria &amp; R.kecocokan'!$C$35)</f>
        <v>7.5</v>
      </c>
      <c r="H254" s="9" t="str">
        <f>'B.kriteria &amp; R.kecocokan'!$B$43</f>
        <v>Tinggi</v>
      </c>
      <c r="I254" s="8">
        <f>_xlfn.IFS(H254="Rendah",'B.kriteria &amp; R.kecocokan'!$C$41,H254="Sedang",'B.kriteria &amp; R.kecocokan'!$C$42,H254="Tinggi",'B.kriteria &amp; R.kecocokan'!$C$43)</f>
        <v>7.5</v>
      </c>
      <c r="J254" s="8" t="str">
        <f>'B.kriteria &amp; R.kecocokan'!$B$72</f>
        <v>Rendah</v>
      </c>
      <c r="K254" s="8">
        <f>_xlfn.IFS(J254="Rendah",'B.kriteria &amp; R.kecocokan'!$C$72,J254="Sedang",'B.kriteria &amp; R.kecocokan'!$C$73,J254="Tinggi",'B.kriteria &amp; R.kecocokan'!$C$74)</f>
        <v>2.5</v>
      </c>
      <c r="L254" s="8" t="str">
        <f>'B.kriteria &amp; R.kecocokan'!$B$95</f>
        <v>Rendah</v>
      </c>
      <c r="M254" s="8">
        <f>_xlfn.IFS(L254="Rendah",'B.kriteria &amp; R.kecocokan'!$C$95,L254="Tinggi",'B.kriteria &amp; R.kecocokan'!$C$96)</f>
        <v>2.5</v>
      </c>
      <c r="N254" s="9" t="str">
        <f>'B.kriteria &amp; R.kecocokan'!$B$81</f>
        <v>Tinggi</v>
      </c>
      <c r="O254" s="8">
        <f>_xlfn.IFS(N254="Rendah",'B.kriteria &amp; R.kecocokan'!$C$80,N254="Tinggi",'B.kriteria &amp; R.kecocokan'!$C$81)</f>
        <v>7.5</v>
      </c>
      <c r="P254" s="9" t="str">
        <f>'B.kriteria &amp; R.kecocokan'!$B$90</f>
        <v>Sangat Sedikit</v>
      </c>
      <c r="Q254" s="8">
        <f>_xlfn.IFS(P254="Sedikit",'B.kriteria &amp; R.kecocokan'!$C$89,P254="Sedang",'B.kriteria &amp; R.kecocokan'!$C$88,P254="Sangat Sedikit",'B.kriteria &amp; R.kecocokan'!$C$90)</f>
        <v>1</v>
      </c>
      <c r="R254" s="8" t="str">
        <f>'B.kriteria &amp; R.kecocokan'!$B$49</f>
        <v>Rendah</v>
      </c>
      <c r="S254" s="8">
        <f>_xlfn.IFS(R254="Rendah",'B.kriteria &amp; R.kecocokan'!$C$49,R254="Sedang",'B.kriteria &amp; R.kecocokan'!$C$50,R254="Tinggi",'B.kriteria &amp; R.kecocokan'!$C$51)</f>
        <v>2.5</v>
      </c>
      <c r="T254" s="8" t="str">
        <f>'B.kriteria &amp; R.kecocokan'!$B$57</f>
        <v>Rendah</v>
      </c>
      <c r="U254" s="51">
        <f>_xlfn.IFS(T254="Rendah",'B.kriteria &amp; R.kecocokan'!$C$57,T254="Sedang",'B.kriteria &amp; R.kecocokan'!$C$58,T254="Tinggi",'B.kriteria &amp; R.kecocokan'!$C$59)</f>
        <v>2.5</v>
      </c>
      <c r="V254" s="51" t="str">
        <f>'B.kriteria &amp; R.kecocokan'!$B$65</f>
        <v>Rendah</v>
      </c>
      <c r="W254" s="9">
        <f>_xlfn.IFS(V254="Rendah",'B.kriteria &amp; R.kecocokan'!$C$65,V254="Sedang",'B.kriteria &amp; R.kecocokan'!$C$66,V254="Tinggi",'B.kriteria &amp; R.kecocokan'!$C$67)</f>
        <v>1</v>
      </c>
      <c r="X254" s="117">
        <f t="shared" si="23"/>
        <v>5.3429834353858183</v>
      </c>
      <c r="Y254" s="117">
        <f t="shared" si="24"/>
        <v>7.8889349165554066</v>
      </c>
      <c r="Z254" s="119">
        <f t="shared" si="25"/>
        <v>5.3429834353858183</v>
      </c>
      <c r="AA254" s="55" t="str">
        <f t="shared" si="26"/>
        <v>Layak</v>
      </c>
    </row>
    <row r="255" spans="1:27" x14ac:dyDescent="0.35">
      <c r="A255" s="5">
        <v>34</v>
      </c>
      <c r="B255" s="2" t="s">
        <v>81</v>
      </c>
      <c r="C255" s="11" t="s">
        <v>13</v>
      </c>
      <c r="D255" s="9" t="str">
        <f>'B.kriteria &amp; R.kecocokan'!$B$23</f>
        <v>Banyak</v>
      </c>
      <c r="E255" s="111">
        <f>_xlfn.IFS(D255="Banyak",'B.kriteria &amp; R.kecocokan'!$C$23,D255="Cukup",'B.kriteria &amp; R.kecocokan'!$C$24,D255="Sedikit",'B.kriteria &amp; R.kecocokan'!$C$25)</f>
        <v>2.5</v>
      </c>
      <c r="F255" s="9" t="str">
        <f>'B.kriteria &amp; R.kecocokan'!$B$34</f>
        <v>Tinggi</v>
      </c>
      <c r="G255" s="8">
        <f>_xlfn.IFS(F255="Tinggi",'B.kriteria &amp; R.kecocokan'!$C$34,F255="Sangat Tinggi",'B.kriteria &amp; R.kecocokan'!$C$35)</f>
        <v>7.5</v>
      </c>
      <c r="H255" s="8" t="str">
        <f>'B.kriteria &amp; R.kecocokan'!$B$41</f>
        <v>Rendah</v>
      </c>
      <c r="I255" s="8">
        <f>_xlfn.IFS(H255="Rendah",'B.kriteria &amp; R.kecocokan'!$C$41,H255="Sedang",'B.kriteria &amp; R.kecocokan'!$C$42,H255="Tinggi",'B.kriteria &amp; R.kecocokan'!$C$43)</f>
        <v>2.5</v>
      </c>
      <c r="J255" s="8" t="str">
        <f>'B.kriteria &amp; R.kecocokan'!$B$72</f>
        <v>Rendah</v>
      </c>
      <c r="K255" s="8">
        <f>_xlfn.IFS(J255="Rendah",'B.kriteria &amp; R.kecocokan'!$C$72,J255="Sedang",'B.kriteria &amp; R.kecocokan'!$C$73,J255="Tinggi",'B.kriteria &amp; R.kecocokan'!$C$74)</f>
        <v>2.5</v>
      </c>
      <c r="L255" s="8" t="str">
        <f>'B.kriteria &amp; R.kecocokan'!$B$95</f>
        <v>Rendah</v>
      </c>
      <c r="M255" s="8">
        <f>_xlfn.IFS(L255="Rendah",'B.kriteria &amp; R.kecocokan'!$C$95,L255="Tinggi",'B.kriteria &amp; R.kecocokan'!$C$96)</f>
        <v>2.5</v>
      </c>
      <c r="N255" s="9" t="str">
        <f>'B.kriteria &amp; R.kecocokan'!$B$81</f>
        <v>Tinggi</v>
      </c>
      <c r="O255" s="8">
        <f>_xlfn.IFS(N255="Rendah",'B.kriteria &amp; R.kecocokan'!$C$80,N255="Tinggi",'B.kriteria &amp; R.kecocokan'!$C$81)</f>
        <v>7.5</v>
      </c>
      <c r="P255" s="9" t="str">
        <f>'B.kriteria &amp; R.kecocokan'!$B$90</f>
        <v>Sangat Sedikit</v>
      </c>
      <c r="Q255" s="8">
        <f>_xlfn.IFS(P255="Sedikit",'B.kriteria &amp; R.kecocokan'!$C$89,P255="Sedang",'B.kriteria &amp; R.kecocokan'!$C$88,P255="Sangat Sedikit",'B.kriteria &amp; R.kecocokan'!$C$90)</f>
        <v>1</v>
      </c>
      <c r="R255" s="8" t="str">
        <f>'B.kriteria &amp; R.kecocokan'!$B$49</f>
        <v>Rendah</v>
      </c>
      <c r="S255" s="8">
        <f>_xlfn.IFS(R255="Rendah",'B.kriteria &amp; R.kecocokan'!$C$49,R255="Sedang",'B.kriteria &amp; R.kecocokan'!$C$50,R255="Tinggi",'B.kriteria &amp; R.kecocokan'!$C$51)</f>
        <v>2.5</v>
      </c>
      <c r="T255" s="8" t="str">
        <f>'B.kriteria &amp; R.kecocokan'!$B$57</f>
        <v>Rendah</v>
      </c>
      <c r="U255" s="51">
        <f>_xlfn.IFS(T255="Rendah",'B.kriteria &amp; R.kecocokan'!$C$57,T255="Sedang",'B.kriteria &amp; R.kecocokan'!$C$58,T255="Tinggi",'B.kriteria &amp; R.kecocokan'!$C$59)</f>
        <v>2.5</v>
      </c>
      <c r="V255" s="51" t="str">
        <f>'B.kriteria &amp; R.kecocokan'!$B$65</f>
        <v>Rendah</v>
      </c>
      <c r="W255" s="9">
        <f>_xlfn.IFS(V255="Rendah",'B.kriteria &amp; R.kecocokan'!$C$65,V255="Sedang",'B.kriteria &amp; R.kecocokan'!$C$66,V255="Tinggi",'B.kriteria &amp; R.kecocokan'!$C$67)</f>
        <v>1</v>
      </c>
      <c r="X255" s="117">
        <f t="shared" si="23"/>
        <v>3.9257965778257349</v>
      </c>
      <c r="Y255" s="117">
        <f t="shared" si="24"/>
        <v>6.4534532479541067</v>
      </c>
      <c r="Z255" s="119">
        <f t="shared" si="25"/>
        <v>3.9257965778257349</v>
      </c>
      <c r="AA255" s="55" t="str">
        <f t="shared" si="26"/>
        <v>Layak</v>
      </c>
    </row>
    <row r="256" spans="1:27" x14ac:dyDescent="0.35">
      <c r="A256" s="1">
        <v>35</v>
      </c>
      <c r="B256" s="2" t="s">
        <v>83</v>
      </c>
      <c r="C256" s="11" t="s">
        <v>13</v>
      </c>
      <c r="D256" s="9" t="str">
        <f>'B.kriteria &amp; R.kecocokan'!$B$25</f>
        <v>Sedikit</v>
      </c>
      <c r="E256" s="111">
        <f>_xlfn.IFS(D256="Banyak",'B.kriteria &amp; R.kecocokan'!$C$23,D256="Cukup",'B.kriteria &amp; R.kecocokan'!$C$24,D256="Sedikit",'B.kriteria &amp; R.kecocokan'!$C$25)</f>
        <v>7.5</v>
      </c>
      <c r="F256" s="9" t="str">
        <f>'B.kriteria &amp; R.kecocokan'!$B$34</f>
        <v>Tinggi</v>
      </c>
      <c r="G256" s="8">
        <f>_xlfn.IFS(F256="Tinggi",'B.kriteria &amp; R.kecocokan'!$C$34,F256="Sangat Tinggi",'B.kriteria &amp; R.kecocokan'!$C$35)</f>
        <v>7.5</v>
      </c>
      <c r="H256" s="8" t="str">
        <f>'B.kriteria &amp; R.kecocokan'!$B$41</f>
        <v>Rendah</v>
      </c>
      <c r="I256" s="8">
        <f>_xlfn.IFS(H256="Rendah",'B.kriteria &amp; R.kecocokan'!$C$41,H256="Sedang",'B.kriteria &amp; R.kecocokan'!$C$42,H256="Tinggi",'B.kriteria &amp; R.kecocokan'!$C$43)</f>
        <v>2.5</v>
      </c>
      <c r="J256" s="9" t="str">
        <f>'B.kriteria &amp; R.kecocokan'!$B$74</f>
        <v>Tinggi</v>
      </c>
      <c r="K256" s="8">
        <f>_xlfn.IFS(J256="Rendah",'B.kriteria &amp; R.kecocokan'!$C$72,J256="Sedang",'B.kriteria &amp; R.kecocokan'!$C$73,J256="Tinggi",'B.kriteria &amp; R.kecocokan'!$C$74)</f>
        <v>7.5</v>
      </c>
      <c r="L256" s="8" t="str">
        <f>'B.kriteria &amp; R.kecocokan'!$B$95</f>
        <v>Rendah</v>
      </c>
      <c r="M256" s="8">
        <f>_xlfn.IFS(L256="Rendah",'B.kriteria &amp; R.kecocokan'!$C$95,L256="Tinggi",'B.kriteria &amp; R.kecocokan'!$C$96)</f>
        <v>2.5</v>
      </c>
      <c r="N256" s="9" t="str">
        <f>'B.kriteria &amp; R.kecocokan'!$B$81</f>
        <v>Tinggi</v>
      </c>
      <c r="O256" s="8">
        <f>_xlfn.IFS(N256="Rendah",'B.kriteria &amp; R.kecocokan'!$C$80,N256="Tinggi",'B.kriteria &amp; R.kecocokan'!$C$81)</f>
        <v>7.5</v>
      </c>
      <c r="P256" s="9" t="str">
        <f>'B.kriteria &amp; R.kecocokan'!$B$90</f>
        <v>Sangat Sedikit</v>
      </c>
      <c r="Q256" s="8">
        <f>_xlfn.IFS(P256="Sedikit",'B.kriteria &amp; R.kecocokan'!$C$89,P256="Sedang",'B.kriteria &amp; R.kecocokan'!$C$88,P256="Sangat Sedikit",'B.kriteria &amp; R.kecocokan'!$C$90)</f>
        <v>1</v>
      </c>
      <c r="R256" s="9" t="str">
        <f>'B.kriteria &amp; R.kecocokan'!$B$50</f>
        <v>Sedang</v>
      </c>
      <c r="S256" s="8">
        <f>_xlfn.IFS(R256="Rendah",'B.kriteria &amp; R.kecocokan'!$C$49,R256="Sedang",'B.kriteria &amp; R.kecocokan'!$C$50,R256="Tinggi",'B.kriteria &amp; R.kecocokan'!$C$51)</f>
        <v>5</v>
      </c>
      <c r="T256" s="9" t="str">
        <f>'B.kriteria &amp; R.kecocokan'!$B$59</f>
        <v>Tinggi</v>
      </c>
      <c r="U256" s="51">
        <f>_xlfn.IFS(T256="Rendah",'B.kriteria &amp; R.kecocokan'!$C$57,T256="Sedang",'B.kriteria &amp; R.kecocokan'!$C$58,T256="Tinggi",'B.kriteria &amp; R.kecocokan'!$C$59)</f>
        <v>7.5</v>
      </c>
      <c r="V256" s="51" t="str">
        <f>'B.kriteria &amp; R.kecocokan'!$B$65</f>
        <v>Rendah</v>
      </c>
      <c r="W256" s="9">
        <f>_xlfn.IFS(V256="Rendah",'B.kriteria &amp; R.kecocokan'!$C$65,V256="Sedang",'B.kriteria &amp; R.kecocokan'!$C$66,V256="Tinggi",'B.kriteria &amp; R.kecocokan'!$C$67)</f>
        <v>1</v>
      </c>
      <c r="X256" s="117">
        <f t="shared" si="23"/>
        <v>7.2521777529441982</v>
      </c>
      <c r="Y256" s="117">
        <f t="shared" si="24"/>
        <v>9.7445308944526001</v>
      </c>
      <c r="Z256" s="119">
        <f t="shared" si="25"/>
        <v>7.2521777529441982</v>
      </c>
      <c r="AA256" s="55" t="str">
        <f t="shared" si="26"/>
        <v>Layak</v>
      </c>
    </row>
    <row r="257" spans="1:27" x14ac:dyDescent="0.35">
      <c r="A257" s="5">
        <v>36</v>
      </c>
      <c r="B257" s="2" t="s">
        <v>84</v>
      </c>
      <c r="C257" s="11" t="s">
        <v>13</v>
      </c>
      <c r="D257" s="32" t="str">
        <f>'B.kriteria &amp; R.kecocokan'!$B$24</f>
        <v>Cukup</v>
      </c>
      <c r="E257" s="111">
        <f>_xlfn.IFS(D257="Banyak",'B.kriteria &amp; R.kecocokan'!$C$23,D257="Cukup",'B.kriteria &amp; R.kecocokan'!$C$24,D257="Sedikit",'B.kriteria &amp; R.kecocokan'!$C$25)</f>
        <v>5</v>
      </c>
      <c r="F257" s="9" t="str">
        <f>'B.kriteria &amp; R.kecocokan'!$B$34</f>
        <v>Tinggi</v>
      </c>
      <c r="G257" s="8">
        <f>_xlfn.IFS(F257="Tinggi",'B.kriteria &amp; R.kecocokan'!$C$34,F257="Sangat Tinggi",'B.kriteria &amp; R.kecocokan'!$C$35)</f>
        <v>7.5</v>
      </c>
      <c r="H257" s="8" t="str">
        <f>'B.kriteria &amp; R.kecocokan'!$B$41</f>
        <v>Rendah</v>
      </c>
      <c r="I257" s="8">
        <f>_xlfn.IFS(H257="Rendah",'B.kriteria &amp; R.kecocokan'!$C$41,H257="Sedang",'B.kriteria &amp; R.kecocokan'!$C$42,H257="Tinggi",'B.kriteria &amp; R.kecocokan'!$C$43)</f>
        <v>2.5</v>
      </c>
      <c r="J257" s="8" t="str">
        <f>'B.kriteria &amp; R.kecocokan'!$B$72</f>
        <v>Rendah</v>
      </c>
      <c r="K257" s="8">
        <f>_xlfn.IFS(J257="Rendah",'B.kriteria &amp; R.kecocokan'!$C$72,J257="Sedang",'B.kriteria &amp; R.kecocokan'!$C$73,J257="Tinggi",'B.kriteria &amp; R.kecocokan'!$C$74)</f>
        <v>2.5</v>
      </c>
      <c r="L257" s="8" t="str">
        <f>'B.kriteria &amp; R.kecocokan'!$B$95</f>
        <v>Rendah</v>
      </c>
      <c r="M257" s="8">
        <f>_xlfn.IFS(L257="Rendah",'B.kriteria &amp; R.kecocokan'!$C$95,L257="Tinggi",'B.kriteria &amp; R.kecocokan'!$C$96)</f>
        <v>2.5</v>
      </c>
      <c r="N257" s="8" t="str">
        <f>'B.kriteria &amp; R.kecocokan'!$B$80</f>
        <v>Rendah</v>
      </c>
      <c r="O257" s="8">
        <f>_xlfn.IFS(N257="Rendah",'B.kriteria &amp; R.kecocokan'!$C$80,N257="Tinggi",'B.kriteria &amp; R.kecocokan'!$C$81)</f>
        <v>2.5</v>
      </c>
      <c r="P257" s="9" t="str">
        <f>'B.kriteria &amp; R.kecocokan'!$B$90</f>
        <v>Sangat Sedikit</v>
      </c>
      <c r="Q257" s="8">
        <f>_xlfn.IFS(P257="Sedikit",'B.kriteria &amp; R.kecocokan'!$C$89,P257="Sedang",'B.kriteria &amp; R.kecocokan'!$C$88,P257="Sangat Sedikit",'B.kriteria &amp; R.kecocokan'!$C$90)</f>
        <v>1</v>
      </c>
      <c r="R257" s="8" t="str">
        <f>'B.kriteria &amp; R.kecocokan'!$B$49</f>
        <v>Rendah</v>
      </c>
      <c r="S257" s="8">
        <f>_xlfn.IFS(R257="Rendah",'B.kriteria &amp; R.kecocokan'!$C$49,R257="Sedang",'B.kriteria &amp; R.kecocokan'!$C$50,R257="Tinggi",'B.kriteria &amp; R.kecocokan'!$C$51)</f>
        <v>2.5</v>
      </c>
      <c r="T257" s="8" t="str">
        <f>'B.kriteria &amp; R.kecocokan'!$B$57</f>
        <v>Rendah</v>
      </c>
      <c r="U257" s="51">
        <f>_xlfn.IFS(T257="Rendah",'B.kriteria &amp; R.kecocokan'!$C$57,T257="Sedang",'B.kriteria &amp; R.kecocokan'!$C$58,T257="Tinggi",'B.kriteria &amp; R.kecocokan'!$C$59)</f>
        <v>2.5</v>
      </c>
      <c r="V257" s="51" t="str">
        <f>'B.kriteria &amp; R.kecocokan'!$B$65</f>
        <v>Rendah</v>
      </c>
      <c r="W257" s="9">
        <f>_xlfn.IFS(V257="Rendah",'B.kriteria &amp; R.kecocokan'!$C$65,V257="Sedang",'B.kriteria &amp; R.kecocokan'!$C$66,V257="Tinggi",'B.kriteria &amp; R.kecocokan'!$C$67)</f>
        <v>1</v>
      </c>
      <c r="X257" s="117">
        <f t="shared" si="23"/>
        <v>3.5428391551046792</v>
      </c>
      <c r="Y257" s="117">
        <f t="shared" si="24"/>
        <v>3.5500621369872651</v>
      </c>
      <c r="Z257" s="119">
        <f t="shared" si="25"/>
        <v>3.5428391551046792</v>
      </c>
      <c r="AA257" s="55" t="str">
        <f t="shared" si="26"/>
        <v>Layak</v>
      </c>
    </row>
    <row r="258" spans="1:27" x14ac:dyDescent="0.35">
      <c r="A258" s="5">
        <v>37</v>
      </c>
      <c r="B258" s="2" t="s">
        <v>85</v>
      </c>
      <c r="C258" s="11" t="s">
        <v>13</v>
      </c>
      <c r="D258" s="32" t="str">
        <f>'B.kriteria &amp; R.kecocokan'!$B$24</f>
        <v>Cukup</v>
      </c>
      <c r="E258" s="111">
        <f>_xlfn.IFS(D258="Banyak",'B.kriteria &amp; R.kecocokan'!$C$23,D258="Cukup",'B.kriteria &amp; R.kecocokan'!$C$24,D258="Sedikit",'B.kriteria &amp; R.kecocokan'!$C$25)</f>
        <v>5</v>
      </c>
      <c r="F258" s="9" t="str">
        <f>'B.kriteria &amp; R.kecocokan'!$B$34</f>
        <v>Tinggi</v>
      </c>
      <c r="G258" s="8">
        <f>_xlfn.IFS(F258="Tinggi",'B.kriteria &amp; R.kecocokan'!$C$34,F258="Sangat Tinggi",'B.kriteria &amp; R.kecocokan'!$C$35)</f>
        <v>7.5</v>
      </c>
      <c r="H258" s="8" t="str">
        <f>'B.kriteria &amp; R.kecocokan'!$B$41</f>
        <v>Rendah</v>
      </c>
      <c r="I258" s="8">
        <f>_xlfn.IFS(H258="Rendah",'B.kriteria &amp; R.kecocokan'!$C$41,H258="Sedang",'B.kriteria &amp; R.kecocokan'!$C$42,H258="Tinggi",'B.kriteria &amp; R.kecocokan'!$C$43)</f>
        <v>2.5</v>
      </c>
      <c r="J258" s="8" t="str">
        <f>'B.kriteria &amp; R.kecocokan'!$B$72</f>
        <v>Rendah</v>
      </c>
      <c r="K258" s="8">
        <f>_xlfn.IFS(J258="Rendah",'B.kriteria &amp; R.kecocokan'!$C$72,J258="Sedang",'B.kriteria &amp; R.kecocokan'!$C$73,J258="Tinggi",'B.kriteria &amp; R.kecocokan'!$C$74)</f>
        <v>2.5</v>
      </c>
      <c r="L258" s="8" t="str">
        <f>'B.kriteria &amp; R.kecocokan'!$B$95</f>
        <v>Rendah</v>
      </c>
      <c r="M258" s="8">
        <f>_xlfn.IFS(L258="Rendah",'B.kriteria &amp; R.kecocokan'!$C$95,L258="Tinggi",'B.kriteria &amp; R.kecocokan'!$C$96)</f>
        <v>2.5</v>
      </c>
      <c r="N258" s="8" t="str">
        <f>'B.kriteria &amp; R.kecocokan'!$B$80</f>
        <v>Rendah</v>
      </c>
      <c r="O258" s="8">
        <f>_xlfn.IFS(N258="Rendah",'B.kriteria &amp; R.kecocokan'!$C$80,N258="Tinggi",'B.kriteria &amp; R.kecocokan'!$C$81)</f>
        <v>2.5</v>
      </c>
      <c r="P258" s="9" t="str">
        <f>'B.kriteria &amp; R.kecocokan'!$B$88</f>
        <v>Sedang</v>
      </c>
      <c r="Q258" s="8">
        <f>_xlfn.IFS(P258="Sedikit",'B.kriteria &amp; R.kecocokan'!$C$89,P258="Sedang",'B.kriteria &amp; R.kecocokan'!$C$88,P258="Sangat Sedikit",'B.kriteria &amp; R.kecocokan'!$C$90)</f>
        <v>5</v>
      </c>
      <c r="R258" s="8" t="str">
        <f>'B.kriteria &amp; R.kecocokan'!$B$49</f>
        <v>Rendah</v>
      </c>
      <c r="S258" s="8">
        <f>_xlfn.IFS(R258="Rendah",'B.kriteria &amp; R.kecocokan'!$C$49,R258="Sedang",'B.kriteria &amp; R.kecocokan'!$C$50,R258="Tinggi",'B.kriteria &amp; R.kecocokan'!$C$51)</f>
        <v>2.5</v>
      </c>
      <c r="T258" s="8" t="str">
        <f>'B.kriteria &amp; R.kecocokan'!$B$57</f>
        <v>Rendah</v>
      </c>
      <c r="U258" s="51">
        <f>_xlfn.IFS(T258="Rendah",'B.kriteria &amp; R.kecocokan'!$C$57,T258="Sedang",'B.kriteria &amp; R.kecocokan'!$C$58,T258="Tinggi",'B.kriteria &amp; R.kecocokan'!$C$59)</f>
        <v>2.5</v>
      </c>
      <c r="V258" s="51" t="str">
        <f>'B.kriteria &amp; R.kecocokan'!$B$65</f>
        <v>Rendah</v>
      </c>
      <c r="W258" s="9">
        <f>_xlfn.IFS(V258="Rendah",'B.kriteria &amp; R.kecocokan'!$C$65,V258="Sedang",'B.kriteria &amp; R.kecocokan'!$C$66,V258="Tinggi",'B.kriteria &amp; R.kecocokan'!$C$67)</f>
        <v>1</v>
      </c>
      <c r="X258" s="117">
        <f t="shared" si="23"/>
        <v>4.8721812319441629</v>
      </c>
      <c r="Y258" s="117">
        <f t="shared" si="24"/>
        <v>1.5</v>
      </c>
      <c r="Z258" s="119">
        <f t="shared" si="25"/>
        <v>1.5</v>
      </c>
      <c r="AA258" s="55" t="str">
        <f t="shared" si="26"/>
        <v>Tidak Layak</v>
      </c>
    </row>
    <row r="259" spans="1:27" x14ac:dyDescent="0.35">
      <c r="A259" s="1">
        <v>38</v>
      </c>
      <c r="B259" s="2" t="s">
        <v>86</v>
      </c>
      <c r="C259" s="11" t="s">
        <v>13</v>
      </c>
      <c r="D259" s="9" t="str">
        <f>'B.kriteria &amp; R.kecocokan'!$B$25</f>
        <v>Sedikit</v>
      </c>
      <c r="E259" s="111">
        <f>_xlfn.IFS(D259="Banyak",'B.kriteria &amp; R.kecocokan'!$C$23,D259="Cukup",'B.kriteria &amp; R.kecocokan'!$C$24,D259="Sedikit",'B.kriteria &amp; R.kecocokan'!$C$25)</f>
        <v>7.5</v>
      </c>
      <c r="F259" s="9" t="str">
        <f>'B.kriteria &amp; R.kecocokan'!$B$34</f>
        <v>Tinggi</v>
      </c>
      <c r="G259" s="8">
        <f>_xlfn.IFS(F259="Tinggi",'B.kriteria &amp; R.kecocokan'!$C$34,F259="Sangat Tinggi",'B.kriteria &amp; R.kecocokan'!$C$35)</f>
        <v>7.5</v>
      </c>
      <c r="H259" s="9" t="str">
        <f>'B.kriteria &amp; R.kecocokan'!$B$43</f>
        <v>Tinggi</v>
      </c>
      <c r="I259" s="8">
        <f>_xlfn.IFS(H259="Rendah",'B.kriteria &amp; R.kecocokan'!$C$41,H259="Sedang",'B.kriteria &amp; R.kecocokan'!$C$42,H259="Tinggi",'B.kriteria &amp; R.kecocokan'!$C$43)</f>
        <v>7.5</v>
      </c>
      <c r="J259" s="8" t="str">
        <f>'B.kriteria &amp; R.kecocokan'!$B$72</f>
        <v>Rendah</v>
      </c>
      <c r="K259" s="8">
        <f>_xlfn.IFS(J259="Rendah",'B.kriteria &amp; R.kecocokan'!$C$72,J259="Sedang",'B.kriteria &amp; R.kecocokan'!$C$73,J259="Tinggi",'B.kriteria &amp; R.kecocokan'!$C$74)</f>
        <v>2.5</v>
      </c>
      <c r="L259" s="8" t="str">
        <f>'B.kriteria &amp; R.kecocokan'!$B$95</f>
        <v>Rendah</v>
      </c>
      <c r="M259" s="8">
        <f>_xlfn.IFS(L259="Rendah",'B.kriteria &amp; R.kecocokan'!$C$95,L259="Tinggi",'B.kriteria &amp; R.kecocokan'!$C$96)</f>
        <v>2.5</v>
      </c>
      <c r="N259" s="9" t="str">
        <f>'B.kriteria &amp; R.kecocokan'!$B$81</f>
        <v>Tinggi</v>
      </c>
      <c r="O259" s="8">
        <f>_xlfn.IFS(N259="Rendah",'B.kriteria &amp; R.kecocokan'!$C$80,N259="Tinggi",'B.kriteria &amp; R.kecocokan'!$C$81)</f>
        <v>7.5</v>
      </c>
      <c r="P259" s="9" t="str">
        <f>'B.kriteria &amp; R.kecocokan'!$B$90</f>
        <v>Sangat Sedikit</v>
      </c>
      <c r="Q259" s="8">
        <f>_xlfn.IFS(P259="Sedikit",'B.kriteria &amp; R.kecocokan'!$C$89,P259="Sedang",'B.kriteria &amp; R.kecocokan'!$C$88,P259="Sangat Sedikit",'B.kriteria &amp; R.kecocokan'!$C$90)</f>
        <v>1</v>
      </c>
      <c r="R259" s="8" t="str">
        <f>'B.kriteria &amp; R.kecocokan'!$B$49</f>
        <v>Rendah</v>
      </c>
      <c r="S259" s="8">
        <f>_xlfn.IFS(R259="Rendah",'B.kriteria &amp; R.kecocokan'!$C$49,R259="Sedang",'B.kriteria &amp; R.kecocokan'!$C$50,R259="Tinggi",'B.kriteria &amp; R.kecocokan'!$C$51)</f>
        <v>2.5</v>
      </c>
      <c r="T259" s="8" t="str">
        <f>'B.kriteria &amp; R.kecocokan'!$B$57</f>
        <v>Rendah</v>
      </c>
      <c r="U259" s="51">
        <f>_xlfn.IFS(T259="Rendah",'B.kriteria &amp; R.kecocokan'!$C$57,T259="Sedang",'B.kriteria &amp; R.kecocokan'!$C$58,T259="Tinggi",'B.kriteria &amp; R.kecocokan'!$C$59)</f>
        <v>2.5</v>
      </c>
      <c r="V259" s="51" t="str">
        <f>'B.kriteria &amp; R.kecocokan'!$B$65</f>
        <v>Rendah</v>
      </c>
      <c r="W259" s="9">
        <f>_xlfn.IFS(V259="Rendah",'B.kriteria &amp; R.kecocokan'!$C$65,V259="Sedang",'B.kriteria &amp; R.kecocokan'!$C$66,V259="Tinggi",'B.kriteria &amp; R.kecocokan'!$C$67)</f>
        <v>1</v>
      </c>
      <c r="X259" s="117">
        <f t="shared" si="23"/>
        <v>5.3429834353858183</v>
      </c>
      <c r="Y259" s="117">
        <f t="shared" si="24"/>
        <v>7.8889349165554066</v>
      </c>
      <c r="Z259" s="119">
        <f t="shared" si="25"/>
        <v>5.3429834353858183</v>
      </c>
      <c r="AA259" s="55" t="str">
        <f t="shared" si="26"/>
        <v>Layak</v>
      </c>
    </row>
    <row r="260" spans="1:27" x14ac:dyDescent="0.35">
      <c r="A260" s="5">
        <v>39</v>
      </c>
      <c r="B260" s="2" t="s">
        <v>87</v>
      </c>
      <c r="C260" s="11" t="s">
        <v>13</v>
      </c>
      <c r="D260" s="9" t="str">
        <f>'B.kriteria &amp; R.kecocokan'!$B$25</f>
        <v>Sedikit</v>
      </c>
      <c r="E260" s="111">
        <f>_xlfn.IFS(D260="Banyak",'B.kriteria &amp; R.kecocokan'!$C$23,D260="Cukup",'B.kriteria &amp; R.kecocokan'!$C$24,D260="Sedikit",'B.kriteria &amp; R.kecocokan'!$C$25)</f>
        <v>7.5</v>
      </c>
      <c r="F260" s="9" t="str">
        <f>'B.kriteria &amp; R.kecocokan'!$B$34</f>
        <v>Tinggi</v>
      </c>
      <c r="G260" s="8">
        <f>_xlfn.IFS(F260="Tinggi",'B.kriteria &amp; R.kecocokan'!$C$34,F260="Sangat Tinggi",'B.kriteria &amp; R.kecocokan'!$C$35)</f>
        <v>7.5</v>
      </c>
      <c r="H260" s="8" t="str">
        <f>'B.kriteria &amp; R.kecocokan'!$B$41</f>
        <v>Rendah</v>
      </c>
      <c r="I260" s="8">
        <f>_xlfn.IFS(H260="Rendah",'B.kriteria &amp; R.kecocokan'!$C$41,H260="Sedang",'B.kriteria &amp; R.kecocokan'!$C$42,H260="Tinggi",'B.kriteria &amp; R.kecocokan'!$C$43)</f>
        <v>2.5</v>
      </c>
      <c r="J260" s="8" t="str">
        <f>'B.kriteria &amp; R.kecocokan'!$B$72</f>
        <v>Rendah</v>
      </c>
      <c r="K260" s="8">
        <f>_xlfn.IFS(J260="Rendah",'B.kriteria &amp; R.kecocokan'!$C$72,J260="Sedang",'B.kriteria &amp; R.kecocokan'!$C$73,J260="Tinggi",'B.kriteria &amp; R.kecocokan'!$C$74)</f>
        <v>2.5</v>
      </c>
      <c r="L260" s="8" t="str">
        <f>'B.kriteria &amp; R.kecocokan'!$B$95</f>
        <v>Rendah</v>
      </c>
      <c r="M260" s="8">
        <f>_xlfn.IFS(L260="Rendah",'B.kriteria &amp; R.kecocokan'!$C$95,L260="Tinggi",'B.kriteria &amp; R.kecocokan'!$C$96)</f>
        <v>2.5</v>
      </c>
      <c r="N260" s="9" t="str">
        <f>'B.kriteria &amp; R.kecocokan'!$B$81</f>
        <v>Tinggi</v>
      </c>
      <c r="O260" s="8">
        <f>_xlfn.IFS(N260="Rendah",'B.kriteria &amp; R.kecocokan'!$C$80,N260="Tinggi",'B.kriteria &amp; R.kecocokan'!$C$81)</f>
        <v>7.5</v>
      </c>
      <c r="P260" s="9" t="str">
        <f>'B.kriteria &amp; R.kecocokan'!$B$90</f>
        <v>Sangat Sedikit</v>
      </c>
      <c r="Q260" s="8">
        <f>_xlfn.IFS(P260="Sedikit",'B.kriteria &amp; R.kecocokan'!$C$89,P260="Sedang",'B.kriteria &amp; R.kecocokan'!$C$88,P260="Sangat Sedikit",'B.kriteria &amp; R.kecocokan'!$C$90)</f>
        <v>1</v>
      </c>
      <c r="R260" s="8" t="str">
        <f>'B.kriteria &amp; R.kecocokan'!$B$49</f>
        <v>Rendah</v>
      </c>
      <c r="S260" s="8">
        <f>_xlfn.IFS(R260="Rendah",'B.kriteria &amp; R.kecocokan'!$C$49,R260="Sedang",'B.kriteria &amp; R.kecocokan'!$C$50,R260="Tinggi",'B.kriteria &amp; R.kecocokan'!$C$51)</f>
        <v>2.5</v>
      </c>
      <c r="T260" s="8" t="str">
        <f>'B.kriteria &amp; R.kecocokan'!$B$57</f>
        <v>Rendah</v>
      </c>
      <c r="U260" s="51">
        <f>_xlfn.IFS(T260="Rendah",'B.kriteria &amp; R.kecocokan'!$C$57,T260="Sedang",'B.kriteria &amp; R.kecocokan'!$C$58,T260="Tinggi",'B.kriteria &amp; R.kecocokan'!$C$59)</f>
        <v>2.5</v>
      </c>
      <c r="V260" s="51" t="str">
        <f>'B.kriteria &amp; R.kecocokan'!$B$65</f>
        <v>Rendah</v>
      </c>
      <c r="W260" s="9">
        <f>_xlfn.IFS(V260="Rendah",'B.kriteria &amp; R.kecocokan'!$C$65,V260="Sedang",'B.kriteria &amp; R.kecocokan'!$C$66,V260="Tinggi",'B.kriteria &amp; R.kecocokan'!$C$67)</f>
        <v>1</v>
      </c>
      <c r="X260" s="117">
        <f t="shared" si="23"/>
        <v>2.7901182997142717</v>
      </c>
      <c r="Y260" s="117">
        <f t="shared" si="24"/>
        <v>6.7866651257750865</v>
      </c>
      <c r="Z260" s="119">
        <f t="shared" si="25"/>
        <v>2.7901182997142717</v>
      </c>
      <c r="AA260" s="55" t="str">
        <f t="shared" si="26"/>
        <v>Layak</v>
      </c>
    </row>
    <row r="261" spans="1:27" x14ac:dyDescent="0.35">
      <c r="A261" s="5">
        <v>40</v>
      </c>
      <c r="B261" s="2" t="s">
        <v>88</v>
      </c>
      <c r="C261" s="11" t="s">
        <v>13</v>
      </c>
      <c r="D261" s="32" t="str">
        <f>'B.kriteria &amp; R.kecocokan'!$B$24</f>
        <v>Cukup</v>
      </c>
      <c r="E261" s="111">
        <f>_xlfn.IFS(D261="Banyak",'B.kriteria &amp; R.kecocokan'!$C$23,D261="Cukup",'B.kriteria &amp; R.kecocokan'!$C$24,D261="Sedikit",'B.kriteria &amp; R.kecocokan'!$C$25)</f>
        <v>5</v>
      </c>
      <c r="F261" s="9" t="str">
        <f>'B.kriteria &amp; R.kecocokan'!$B$34</f>
        <v>Tinggi</v>
      </c>
      <c r="G261" s="8">
        <f>_xlfn.IFS(F261="Tinggi",'B.kriteria &amp; R.kecocokan'!$C$34,F261="Sangat Tinggi",'B.kriteria &amp; R.kecocokan'!$C$35)</f>
        <v>7.5</v>
      </c>
      <c r="H261" s="9" t="str">
        <f>'B.kriteria &amp; R.kecocokan'!$B$43</f>
        <v>Tinggi</v>
      </c>
      <c r="I261" s="8">
        <f>_xlfn.IFS(H261="Rendah",'B.kriteria &amp; R.kecocokan'!$C$41,H261="Sedang",'B.kriteria &amp; R.kecocokan'!$C$42,H261="Tinggi",'B.kriteria &amp; R.kecocokan'!$C$43)</f>
        <v>7.5</v>
      </c>
      <c r="J261" s="8" t="str">
        <f>'B.kriteria &amp; R.kecocokan'!$B$72</f>
        <v>Rendah</v>
      </c>
      <c r="K261" s="8">
        <f>_xlfn.IFS(J261="Rendah",'B.kriteria &amp; R.kecocokan'!$C$72,J261="Sedang",'B.kriteria &amp; R.kecocokan'!$C$73,J261="Tinggi",'B.kriteria &amp; R.kecocokan'!$C$74)</f>
        <v>2.5</v>
      </c>
      <c r="L261" s="8" t="str">
        <f>'B.kriteria &amp; R.kecocokan'!$B$95</f>
        <v>Rendah</v>
      </c>
      <c r="M261" s="8">
        <f>_xlfn.IFS(L261="Rendah",'B.kriteria &amp; R.kecocokan'!$C$95,L261="Tinggi",'B.kriteria &amp; R.kecocokan'!$C$96)</f>
        <v>2.5</v>
      </c>
      <c r="N261" s="8" t="str">
        <f>'B.kriteria &amp; R.kecocokan'!$B$80</f>
        <v>Rendah</v>
      </c>
      <c r="O261" s="8">
        <f>_xlfn.IFS(N261="Rendah",'B.kriteria &amp; R.kecocokan'!$C$80,N261="Tinggi",'B.kriteria &amp; R.kecocokan'!$C$81)</f>
        <v>2.5</v>
      </c>
      <c r="P261" s="9" t="str">
        <f>'B.kriteria &amp; R.kecocokan'!$B$88</f>
        <v>Sedang</v>
      </c>
      <c r="Q261" s="8">
        <f>_xlfn.IFS(P261="Sedikit",'B.kriteria &amp; R.kecocokan'!$C$89,P261="Sedang",'B.kriteria &amp; R.kecocokan'!$C$88,P261="Sangat Sedikit",'B.kriteria &amp; R.kecocokan'!$C$90)</f>
        <v>5</v>
      </c>
      <c r="R261" s="8" t="str">
        <f>'B.kriteria &amp; R.kecocokan'!$B$49</f>
        <v>Rendah</v>
      </c>
      <c r="S261" s="8">
        <f>_xlfn.IFS(R261="Rendah",'B.kriteria &amp; R.kecocokan'!$C$49,R261="Sedang",'B.kriteria &amp; R.kecocokan'!$C$50,R261="Tinggi",'B.kriteria &amp; R.kecocokan'!$C$51)</f>
        <v>2.5</v>
      </c>
      <c r="T261" s="8" t="str">
        <f>'B.kriteria &amp; R.kecocokan'!$B$57</f>
        <v>Rendah</v>
      </c>
      <c r="U261" s="51">
        <f>_xlfn.IFS(T261="Rendah",'B.kriteria &amp; R.kecocokan'!$C$57,T261="Sedang",'B.kriteria &amp; R.kecocokan'!$C$58,T261="Tinggi",'B.kriteria &amp; R.kecocokan'!$C$59)</f>
        <v>2.5</v>
      </c>
      <c r="V261" s="51" t="str">
        <f>'B.kriteria &amp; R.kecocokan'!$B$65</f>
        <v>Rendah</v>
      </c>
      <c r="W261" s="9">
        <f>_xlfn.IFS(V261="Rendah",'B.kriteria &amp; R.kecocokan'!$C$65,V261="Sedang",'B.kriteria &amp; R.kecocokan'!$C$66,V261="Tinggi",'B.kriteria &amp; R.kecocokan'!$C$67)</f>
        <v>1</v>
      </c>
      <c r="X261" s="117">
        <f t="shared" si="23"/>
        <v>6.6708966279890527</v>
      </c>
      <c r="Y261" s="117">
        <f t="shared" si="24"/>
        <v>4.2926065028412852</v>
      </c>
      <c r="Z261" s="119">
        <f t="shared" si="25"/>
        <v>4.2926065028412852</v>
      </c>
      <c r="AA261" s="55" t="str">
        <f t="shared" si="26"/>
        <v>Tidak Layak</v>
      </c>
    </row>
    <row r="262" spans="1:27" x14ac:dyDescent="0.35">
      <c r="A262" s="1">
        <v>41</v>
      </c>
      <c r="B262" s="2" t="s">
        <v>89</v>
      </c>
      <c r="C262" s="11" t="s">
        <v>13</v>
      </c>
      <c r="D262" s="9" t="str">
        <f>'B.kriteria &amp; R.kecocokan'!$B$23</f>
        <v>Banyak</v>
      </c>
      <c r="E262" s="111">
        <f>_xlfn.IFS(D262="Banyak",'B.kriteria &amp; R.kecocokan'!$C$23,D262="Cukup",'B.kriteria &amp; R.kecocokan'!$C$24,D262="Sedikit",'B.kriteria &amp; R.kecocokan'!$C$25)</f>
        <v>2.5</v>
      </c>
      <c r="F262" s="9" t="str">
        <f>'B.kriteria &amp; R.kecocokan'!$B$34</f>
        <v>Tinggi</v>
      </c>
      <c r="G262" s="8">
        <f>_xlfn.IFS(F262="Tinggi",'B.kriteria &amp; R.kecocokan'!$C$34,F262="Sangat Tinggi",'B.kriteria &amp; R.kecocokan'!$C$35)</f>
        <v>7.5</v>
      </c>
      <c r="H262" s="8" t="str">
        <f>'B.kriteria &amp; R.kecocokan'!$B$41</f>
        <v>Rendah</v>
      </c>
      <c r="I262" s="8">
        <f>_xlfn.IFS(H262="Rendah",'B.kriteria &amp; R.kecocokan'!$C$41,H262="Sedang",'B.kriteria &amp; R.kecocokan'!$C$42,H262="Tinggi",'B.kriteria &amp; R.kecocokan'!$C$43)</f>
        <v>2.5</v>
      </c>
      <c r="J262" s="8" t="str">
        <f>'B.kriteria &amp; R.kecocokan'!$B$72</f>
        <v>Rendah</v>
      </c>
      <c r="K262" s="8">
        <f>_xlfn.IFS(J262="Rendah",'B.kriteria &amp; R.kecocokan'!$C$72,J262="Sedang",'B.kriteria &amp; R.kecocokan'!$C$73,J262="Tinggi",'B.kriteria &amp; R.kecocokan'!$C$74)</f>
        <v>2.5</v>
      </c>
      <c r="L262" s="8" t="str">
        <f>'B.kriteria &amp; R.kecocokan'!$B$95</f>
        <v>Rendah</v>
      </c>
      <c r="M262" s="8">
        <f>_xlfn.IFS(L262="Rendah",'B.kriteria &amp; R.kecocokan'!$C$95,L262="Tinggi",'B.kriteria &amp; R.kecocokan'!$C$96)</f>
        <v>2.5</v>
      </c>
      <c r="N262" s="9" t="str">
        <f>'B.kriteria &amp; R.kecocokan'!$B$81</f>
        <v>Tinggi</v>
      </c>
      <c r="O262" s="8">
        <f>_xlfn.IFS(N262="Rendah",'B.kriteria &amp; R.kecocokan'!$C$80,N262="Tinggi",'B.kriteria &amp; R.kecocokan'!$C$81)</f>
        <v>7.5</v>
      </c>
      <c r="P262" s="9" t="str">
        <f>'B.kriteria &amp; R.kecocokan'!$B$90</f>
        <v>Sangat Sedikit</v>
      </c>
      <c r="Q262" s="8">
        <f>_xlfn.IFS(P262="Sedikit",'B.kriteria &amp; R.kecocokan'!$C$89,P262="Sedang",'B.kriteria &amp; R.kecocokan'!$C$88,P262="Sangat Sedikit",'B.kriteria &amp; R.kecocokan'!$C$90)</f>
        <v>1</v>
      </c>
      <c r="R262" s="8" t="str">
        <f>'B.kriteria &amp; R.kecocokan'!$B$49</f>
        <v>Rendah</v>
      </c>
      <c r="S262" s="8">
        <f>_xlfn.IFS(R262="Rendah",'B.kriteria &amp; R.kecocokan'!$C$49,R262="Sedang",'B.kriteria &amp; R.kecocokan'!$C$50,R262="Tinggi",'B.kriteria &amp; R.kecocokan'!$C$51)</f>
        <v>2.5</v>
      </c>
      <c r="T262" s="8" t="str">
        <f>'B.kriteria &amp; R.kecocokan'!$B$57</f>
        <v>Rendah</v>
      </c>
      <c r="U262" s="51">
        <f>_xlfn.IFS(T262="Rendah",'B.kriteria &amp; R.kecocokan'!$C$57,T262="Sedang",'B.kriteria &amp; R.kecocokan'!$C$58,T262="Tinggi",'B.kriteria &amp; R.kecocokan'!$C$59)</f>
        <v>2.5</v>
      </c>
      <c r="V262" s="51" t="str">
        <f>'B.kriteria &amp; R.kecocokan'!$B$65</f>
        <v>Rendah</v>
      </c>
      <c r="W262" s="9">
        <f>_xlfn.IFS(V262="Rendah",'B.kriteria &amp; R.kecocokan'!$C$65,V262="Sedang",'B.kriteria &amp; R.kecocokan'!$C$66,V262="Tinggi",'B.kriteria &amp; R.kecocokan'!$C$67)</f>
        <v>1</v>
      </c>
      <c r="X262" s="117">
        <f t="shared" si="23"/>
        <v>3.9257965778257349</v>
      </c>
      <c r="Y262" s="117">
        <f t="shared" si="24"/>
        <v>6.4534532479541067</v>
      </c>
      <c r="Z262" s="119">
        <f t="shared" si="25"/>
        <v>3.9257965778257349</v>
      </c>
      <c r="AA262" s="55" t="str">
        <f t="shared" si="26"/>
        <v>Layak</v>
      </c>
    </row>
    <row r="263" spans="1:27" x14ac:dyDescent="0.35">
      <c r="A263" s="5">
        <v>42</v>
      </c>
      <c r="B263" s="2" t="s">
        <v>91</v>
      </c>
      <c r="C263" s="11" t="s">
        <v>92</v>
      </c>
      <c r="D263" s="28" t="str">
        <f>'B.kriteria &amp; R.kecocokan'!$B$25</f>
        <v>Sedikit</v>
      </c>
      <c r="E263" s="111">
        <f>_xlfn.IFS(D263="Banyak",'B.kriteria &amp; R.kecocokan'!$C$23,D263="Cukup",'B.kriteria &amp; R.kecocokan'!$C$24,D263="Sedikit",'B.kriteria &amp; R.kecocokan'!$C$25)</f>
        <v>7.5</v>
      </c>
      <c r="F263" s="9" t="str">
        <f>'B.kriteria &amp; R.kecocokan'!$B$34</f>
        <v>Tinggi</v>
      </c>
      <c r="G263" s="8">
        <f>_xlfn.IFS(F263="Tinggi",'B.kriteria &amp; R.kecocokan'!$C$34,F263="Sangat Tinggi",'B.kriteria &amp; R.kecocokan'!$C$35)</f>
        <v>7.5</v>
      </c>
      <c r="H263" s="8" t="str">
        <f>'B.kriteria &amp; R.kecocokan'!$B$41</f>
        <v>Rendah</v>
      </c>
      <c r="I263" s="8">
        <f>_xlfn.IFS(H263="Rendah",'B.kriteria &amp; R.kecocokan'!$C$41,H263="Sedang",'B.kriteria &amp; R.kecocokan'!$C$42,H263="Tinggi",'B.kriteria &amp; R.kecocokan'!$C$43)</f>
        <v>2.5</v>
      </c>
      <c r="J263" s="8" t="str">
        <f>'B.kriteria &amp; R.kecocokan'!$B$72</f>
        <v>Rendah</v>
      </c>
      <c r="K263" s="8">
        <f>_xlfn.IFS(J263="Rendah",'B.kriteria &amp; R.kecocokan'!$C$72,J263="Sedang",'B.kriteria &amp; R.kecocokan'!$C$73,J263="Tinggi",'B.kriteria &amp; R.kecocokan'!$C$74)</f>
        <v>2.5</v>
      </c>
      <c r="L263" s="8" t="str">
        <f>'B.kriteria &amp; R.kecocokan'!$B$95</f>
        <v>Rendah</v>
      </c>
      <c r="M263" s="8">
        <f>_xlfn.IFS(L263="Rendah",'B.kriteria &amp; R.kecocokan'!$C$95,L263="Tinggi",'B.kriteria &amp; R.kecocokan'!$C$96)</f>
        <v>2.5</v>
      </c>
      <c r="N263" s="9" t="str">
        <f>'B.kriteria &amp; R.kecocokan'!$B$81</f>
        <v>Tinggi</v>
      </c>
      <c r="O263" s="8">
        <f>_xlfn.IFS(N263="Rendah",'B.kriteria &amp; R.kecocokan'!$C$80,N263="Tinggi",'B.kriteria &amp; R.kecocokan'!$C$81)</f>
        <v>7.5</v>
      </c>
      <c r="P263" s="9" t="str">
        <f>'B.kriteria &amp; R.kecocokan'!$B$88</f>
        <v>Sedang</v>
      </c>
      <c r="Q263" s="8">
        <f>_xlfn.IFS(P263="Sedikit",'B.kriteria &amp; R.kecocokan'!$C$89,P263="Sedang",'B.kriteria &amp; R.kecocokan'!$C$88,P263="Sangat Sedikit",'B.kriteria &amp; R.kecocokan'!$C$90)</f>
        <v>5</v>
      </c>
      <c r="R263" s="9" t="str">
        <f>'B.kriteria &amp; R.kecocokan'!$B$50</f>
        <v>Sedang</v>
      </c>
      <c r="S263" s="8">
        <f>_xlfn.IFS(R263="Rendah",'B.kriteria &amp; R.kecocokan'!$C$49,R263="Sedang",'B.kriteria &amp; R.kecocokan'!$C$50,R263="Tinggi",'B.kriteria &amp; R.kecocokan'!$C$51)</f>
        <v>5</v>
      </c>
      <c r="T263" s="8" t="str">
        <f>'B.kriteria &amp; R.kecocokan'!$B$57</f>
        <v>Rendah</v>
      </c>
      <c r="U263" s="51">
        <f>_xlfn.IFS(T263="Rendah",'B.kriteria &amp; R.kecocokan'!$C$57,T263="Sedang",'B.kriteria &amp; R.kecocokan'!$C$58,T263="Tinggi",'B.kriteria &amp; R.kecocokan'!$C$59)</f>
        <v>2.5</v>
      </c>
      <c r="V263" s="51" t="str">
        <f>'B.kriteria &amp; R.kecocokan'!$B$65</f>
        <v>Rendah</v>
      </c>
      <c r="W263" s="9">
        <f>_xlfn.IFS(V263="Rendah",'B.kriteria &amp; R.kecocokan'!$C$65,V263="Sedang",'B.kriteria &amp; R.kecocokan'!$C$66,V263="Tinggi",'B.kriteria &amp; R.kecocokan'!$C$67)</f>
        <v>1</v>
      </c>
      <c r="X263" s="117">
        <f t="shared" si="23"/>
        <v>4.762229301809251</v>
      </c>
      <c r="Y263" s="117">
        <f t="shared" si="24"/>
        <v>6.3628055225385491</v>
      </c>
      <c r="Z263" s="119">
        <f t="shared" si="25"/>
        <v>4.762229301809251</v>
      </c>
      <c r="AA263" s="55" t="str">
        <f t="shared" si="26"/>
        <v>Layak</v>
      </c>
    </row>
    <row r="264" spans="1:27" x14ac:dyDescent="0.35">
      <c r="A264" s="5">
        <v>43</v>
      </c>
      <c r="B264" s="2" t="s">
        <v>94</v>
      </c>
      <c r="C264" s="11" t="s">
        <v>95</v>
      </c>
      <c r="D264" s="28" t="str">
        <f>'B.kriteria &amp; R.kecocokan'!$B$25</f>
        <v>Sedikit</v>
      </c>
      <c r="E264" s="111">
        <f>_xlfn.IFS(D264="Banyak",'B.kriteria &amp; R.kecocokan'!$C$23,D264="Cukup",'B.kriteria &amp; R.kecocokan'!$C$24,D264="Sedikit",'B.kriteria &amp; R.kecocokan'!$C$25)</f>
        <v>7.5</v>
      </c>
      <c r="F264" s="9" t="str">
        <f>'B.kriteria &amp; R.kecocokan'!$B$34</f>
        <v>Tinggi</v>
      </c>
      <c r="G264" s="8">
        <f>_xlfn.IFS(F264="Tinggi",'B.kriteria &amp; R.kecocokan'!$C$34,F264="Sangat Tinggi",'B.kriteria &amp; R.kecocokan'!$C$35)</f>
        <v>7.5</v>
      </c>
      <c r="H264" s="8" t="str">
        <f>'B.kriteria &amp; R.kecocokan'!$B$41</f>
        <v>Rendah</v>
      </c>
      <c r="I264" s="8">
        <f>_xlfn.IFS(H264="Rendah",'B.kriteria &amp; R.kecocokan'!$C$41,H264="Sedang",'B.kriteria &amp; R.kecocokan'!$C$42,H264="Tinggi",'B.kriteria &amp; R.kecocokan'!$C$43)</f>
        <v>2.5</v>
      </c>
      <c r="J264" s="8" t="str">
        <f>'B.kriteria &amp; R.kecocokan'!$B$72</f>
        <v>Rendah</v>
      </c>
      <c r="K264" s="8">
        <f>_xlfn.IFS(J264="Rendah",'B.kriteria &amp; R.kecocokan'!$C$72,J264="Sedang",'B.kriteria &amp; R.kecocokan'!$C$73,J264="Tinggi",'B.kriteria &amp; R.kecocokan'!$C$74)</f>
        <v>2.5</v>
      </c>
      <c r="L264" s="8" t="str">
        <f>'B.kriteria &amp; R.kecocokan'!$B$95</f>
        <v>Rendah</v>
      </c>
      <c r="M264" s="8">
        <f>_xlfn.IFS(L264="Rendah",'B.kriteria &amp; R.kecocokan'!$C$95,L264="Tinggi",'B.kriteria &amp; R.kecocokan'!$C$96)</f>
        <v>2.5</v>
      </c>
      <c r="N264" s="8" t="str">
        <f>'B.kriteria &amp; R.kecocokan'!$B$80</f>
        <v>Rendah</v>
      </c>
      <c r="O264" s="8">
        <f>_xlfn.IFS(N264="Rendah",'B.kriteria &amp; R.kecocokan'!$C$80,N264="Tinggi",'B.kriteria &amp; R.kecocokan'!$C$81)</f>
        <v>2.5</v>
      </c>
      <c r="P264" s="9" t="str">
        <f>'B.kriteria &amp; R.kecocokan'!$B$90</f>
        <v>Sangat Sedikit</v>
      </c>
      <c r="Q264" s="8">
        <f>_xlfn.IFS(P264="Sedikit",'B.kriteria &amp; R.kecocokan'!$C$89,P264="Sedang",'B.kriteria &amp; R.kecocokan'!$C$88,P264="Sangat Sedikit",'B.kriteria &amp; R.kecocokan'!$C$90)</f>
        <v>1</v>
      </c>
      <c r="R264" s="8" t="str">
        <f>'B.kriteria &amp; R.kecocokan'!$B$49</f>
        <v>Rendah</v>
      </c>
      <c r="S264" s="8">
        <f>_xlfn.IFS(R264="Rendah",'B.kriteria &amp; R.kecocokan'!$C$49,R264="Sedang",'B.kriteria &amp; R.kecocokan'!$C$50,R264="Tinggi",'B.kriteria &amp; R.kecocokan'!$C$51)</f>
        <v>2.5</v>
      </c>
      <c r="T264" s="8" t="str">
        <f>'B.kriteria &amp; R.kecocokan'!$B$57</f>
        <v>Rendah</v>
      </c>
      <c r="U264" s="51">
        <f>_xlfn.IFS(T264="Rendah",'B.kriteria &amp; R.kecocokan'!$C$57,T264="Sedang",'B.kriteria &amp; R.kecocokan'!$C$58,T264="Tinggi",'B.kriteria &amp; R.kecocokan'!$C$59)</f>
        <v>2.5</v>
      </c>
      <c r="V264" s="51" t="str">
        <f>'B.kriteria &amp; R.kecocokan'!$B$65</f>
        <v>Rendah</v>
      </c>
      <c r="W264" s="9">
        <f>_xlfn.IFS(V264="Rendah",'B.kriteria &amp; R.kecocokan'!$C$65,V264="Sedang",'B.kriteria &amp; R.kecocokan'!$C$66,V264="Tinggi",'B.kriteria &amp; R.kecocokan'!$C$67)</f>
        <v>1</v>
      </c>
      <c r="X264" s="117">
        <f t="shared" si="23"/>
        <v>3.8714532099599159</v>
      </c>
      <c r="Y264" s="117">
        <f t="shared" si="24"/>
        <v>4.5889893799628441</v>
      </c>
      <c r="Z264" s="119">
        <f t="shared" si="25"/>
        <v>3.8714532099599159</v>
      </c>
      <c r="AA264" s="55" t="str">
        <f t="shared" si="26"/>
        <v>Layak</v>
      </c>
    </row>
    <row r="265" spans="1:27" x14ac:dyDescent="0.35">
      <c r="A265" s="1">
        <v>44</v>
      </c>
      <c r="B265" s="2" t="s">
        <v>96</v>
      </c>
      <c r="C265" s="11" t="s">
        <v>95</v>
      </c>
      <c r="D265" s="28" t="str">
        <f>'B.kriteria &amp; R.kecocokan'!$B$25</f>
        <v>Sedikit</v>
      </c>
      <c r="E265" s="111">
        <f>_xlfn.IFS(D265="Banyak",'B.kriteria &amp; R.kecocokan'!$C$23,D265="Cukup",'B.kriteria &amp; R.kecocokan'!$C$24,D265="Sedikit",'B.kriteria &amp; R.kecocokan'!$C$25)</f>
        <v>7.5</v>
      </c>
      <c r="F265" s="9" t="str">
        <f>'B.kriteria &amp; R.kecocokan'!$B$35</f>
        <v>Sangat Tinggi</v>
      </c>
      <c r="G265" s="8">
        <f>_xlfn.IFS(F265="Tinggi",'B.kriteria &amp; R.kecocokan'!$C$34,F265="Sangat Tinggi",'B.kriteria &amp; R.kecocokan'!$C$35)</f>
        <v>10</v>
      </c>
      <c r="H265" s="8" t="str">
        <f>'B.kriteria &amp; R.kecocokan'!$B$41</f>
        <v>Rendah</v>
      </c>
      <c r="I265" s="8">
        <f>_xlfn.IFS(H265="Rendah",'B.kriteria &amp; R.kecocokan'!$C$41,H265="Sedang",'B.kriteria &amp; R.kecocokan'!$C$42,H265="Tinggi",'B.kriteria &amp; R.kecocokan'!$C$43)</f>
        <v>2.5</v>
      </c>
      <c r="J265" s="8" t="str">
        <f>'B.kriteria &amp; R.kecocokan'!$B$72</f>
        <v>Rendah</v>
      </c>
      <c r="K265" s="8">
        <f>_xlfn.IFS(J265="Rendah",'B.kriteria &amp; R.kecocokan'!$C$72,J265="Sedang",'B.kriteria &amp; R.kecocokan'!$C$73,J265="Tinggi",'B.kriteria &amp; R.kecocokan'!$C$74)</f>
        <v>2.5</v>
      </c>
      <c r="L265" s="8" t="str">
        <f>'B.kriteria &amp; R.kecocokan'!$B$95</f>
        <v>Rendah</v>
      </c>
      <c r="M265" s="8">
        <f>_xlfn.IFS(L265="Rendah",'B.kriteria &amp; R.kecocokan'!$C$95,L265="Tinggi",'B.kriteria &amp; R.kecocokan'!$C$96)</f>
        <v>2.5</v>
      </c>
      <c r="N265" s="9" t="str">
        <f>'B.kriteria &amp; R.kecocokan'!$B$81</f>
        <v>Tinggi</v>
      </c>
      <c r="O265" s="8">
        <f>_xlfn.IFS(N265="Rendah",'B.kriteria &amp; R.kecocokan'!$C$80,N265="Tinggi",'B.kriteria &amp; R.kecocokan'!$C$81)</f>
        <v>7.5</v>
      </c>
      <c r="P265" s="9" t="str">
        <f>'B.kriteria &amp; R.kecocokan'!$B$90</f>
        <v>Sangat Sedikit</v>
      </c>
      <c r="Q265" s="8">
        <f>_xlfn.IFS(P265="Sedikit",'B.kriteria &amp; R.kecocokan'!$C$89,P265="Sedang",'B.kriteria &amp; R.kecocokan'!$C$88,P265="Sangat Sedikit",'B.kriteria &amp; R.kecocokan'!$C$90)</f>
        <v>1</v>
      </c>
      <c r="R265" s="9" t="str">
        <f>'B.kriteria &amp; R.kecocokan'!$B$50</f>
        <v>Sedang</v>
      </c>
      <c r="S265" s="8">
        <f>_xlfn.IFS(R265="Rendah",'B.kriteria &amp; R.kecocokan'!$C$49,R265="Sedang",'B.kriteria &amp; R.kecocokan'!$C$50,R265="Tinggi",'B.kriteria &amp; R.kecocokan'!$C$51)</f>
        <v>5</v>
      </c>
      <c r="T265" s="9" t="str">
        <f>'B.kriteria &amp; R.kecocokan'!$B$59</f>
        <v>Tinggi</v>
      </c>
      <c r="U265" s="51">
        <f>_xlfn.IFS(T265="Rendah",'B.kriteria &amp; R.kecocokan'!$C$57,T265="Sedang",'B.kriteria &amp; R.kecocokan'!$C$58,T265="Tinggi",'B.kriteria &amp; R.kecocokan'!$C$59)</f>
        <v>7.5</v>
      </c>
      <c r="V265" s="51" t="str">
        <f>'B.kriteria &amp; R.kecocokan'!$B$65</f>
        <v>Rendah</v>
      </c>
      <c r="W265" s="9">
        <f>_xlfn.IFS(V265="Rendah",'B.kriteria &amp; R.kecocokan'!$C$65,V265="Sedang",'B.kriteria &amp; R.kecocokan'!$C$66,V265="Tinggi",'B.kriteria &amp; R.kecocokan'!$C$67)</f>
        <v>1</v>
      </c>
      <c r="X265" s="117">
        <f t="shared" si="23"/>
        <v>5.7442688423488777</v>
      </c>
      <c r="Y265" s="117">
        <f t="shared" si="24"/>
        <v>8.559480468016325</v>
      </c>
      <c r="Z265" s="119">
        <f t="shared" si="25"/>
        <v>5.7442688423488777</v>
      </c>
      <c r="AA265" s="55" t="str">
        <f t="shared" si="26"/>
        <v>Layak</v>
      </c>
    </row>
    <row r="266" spans="1:27" x14ac:dyDescent="0.35">
      <c r="A266" s="5">
        <v>45</v>
      </c>
      <c r="B266" s="2" t="s">
        <v>98</v>
      </c>
      <c r="C266" s="11" t="s">
        <v>95</v>
      </c>
      <c r="D266" s="32" t="str">
        <f>'B.kriteria &amp; R.kecocokan'!$B$24</f>
        <v>Cukup</v>
      </c>
      <c r="E266" s="111">
        <f>_xlfn.IFS(D266="Banyak",'B.kriteria &amp; R.kecocokan'!$C$23,D266="Cukup",'B.kriteria &amp; R.kecocokan'!$C$24,D266="Sedikit",'B.kriteria &amp; R.kecocokan'!$C$25)</f>
        <v>5</v>
      </c>
      <c r="F266" s="9" t="str">
        <f>'B.kriteria &amp; R.kecocokan'!$B$34</f>
        <v>Tinggi</v>
      </c>
      <c r="G266" s="8">
        <f>_xlfn.IFS(F266="Tinggi",'B.kriteria &amp; R.kecocokan'!$C$34,F266="Sangat Tinggi",'B.kriteria &amp; R.kecocokan'!$C$35)</f>
        <v>7.5</v>
      </c>
      <c r="H266" s="8" t="str">
        <f>'B.kriteria &amp; R.kecocokan'!$B$41</f>
        <v>Rendah</v>
      </c>
      <c r="I266" s="8">
        <f>_xlfn.IFS(H266="Rendah",'B.kriteria &amp; R.kecocokan'!$C$41,H266="Sedang",'B.kriteria &amp; R.kecocokan'!$C$42,H266="Tinggi",'B.kriteria &amp; R.kecocokan'!$C$43)</f>
        <v>2.5</v>
      </c>
      <c r="J266" s="8" t="str">
        <f>'B.kriteria &amp; R.kecocokan'!$B$72</f>
        <v>Rendah</v>
      </c>
      <c r="K266" s="8">
        <f>_xlfn.IFS(J266="Rendah",'B.kriteria &amp; R.kecocokan'!$C$72,J266="Sedang",'B.kriteria &amp; R.kecocokan'!$C$73,J266="Tinggi",'B.kriteria &amp; R.kecocokan'!$C$74)</f>
        <v>2.5</v>
      </c>
      <c r="L266" s="8" t="str">
        <f>'B.kriteria &amp; R.kecocokan'!$B$95</f>
        <v>Rendah</v>
      </c>
      <c r="M266" s="8">
        <f>_xlfn.IFS(L266="Rendah",'B.kriteria &amp; R.kecocokan'!$C$95,L266="Tinggi",'B.kriteria &amp; R.kecocokan'!$C$96)</f>
        <v>2.5</v>
      </c>
      <c r="N266" s="9" t="str">
        <f>'B.kriteria &amp; R.kecocokan'!$B$81</f>
        <v>Tinggi</v>
      </c>
      <c r="O266" s="8">
        <f>_xlfn.IFS(N266="Rendah",'B.kriteria &amp; R.kecocokan'!$C$80,N266="Tinggi",'B.kriteria &amp; R.kecocokan'!$C$81)</f>
        <v>7.5</v>
      </c>
      <c r="P266" s="9" t="str">
        <f>'B.kriteria &amp; R.kecocokan'!$B$90</f>
        <v>Sangat Sedikit</v>
      </c>
      <c r="Q266" s="8">
        <f>_xlfn.IFS(P266="Sedikit",'B.kriteria &amp; R.kecocokan'!$C$89,P266="Sedang",'B.kriteria &amp; R.kecocokan'!$C$88,P266="Sangat Sedikit",'B.kriteria &amp; R.kecocokan'!$C$90)</f>
        <v>1</v>
      </c>
      <c r="R266" s="8" t="str">
        <f>'B.kriteria &amp; R.kecocokan'!$B$49</f>
        <v>Rendah</v>
      </c>
      <c r="S266" s="8">
        <f>_xlfn.IFS(R266="Rendah",'B.kriteria &amp; R.kecocokan'!$C$49,R266="Sedang",'B.kriteria &amp; R.kecocokan'!$C$50,R266="Tinggi",'B.kriteria &amp; R.kecocokan'!$C$51)</f>
        <v>2.5</v>
      </c>
      <c r="T266" s="8" t="str">
        <f>'B.kriteria &amp; R.kecocokan'!$B$57</f>
        <v>Rendah</v>
      </c>
      <c r="U266" s="51">
        <f>_xlfn.IFS(T266="Rendah",'B.kriteria &amp; R.kecocokan'!$C$57,T266="Sedang",'B.kriteria &amp; R.kecocokan'!$C$58,T266="Tinggi",'B.kriteria &amp; R.kecocokan'!$C$59)</f>
        <v>2.5</v>
      </c>
      <c r="V266" s="51" t="str">
        <f>'B.kriteria &amp; R.kecocokan'!$B$65</f>
        <v>Rendah</v>
      </c>
      <c r="W266" s="9">
        <f>_xlfn.IFS(V266="Rendah",'B.kriteria &amp; R.kecocokan'!$C$65,V266="Sedang",'B.kriteria &amp; R.kecocokan'!$C$66,V266="Tinggi",'B.kriteria &amp; R.kecocokan'!$C$67)</f>
        <v>1</v>
      </c>
      <c r="X266" s="117">
        <f t="shared" si="23"/>
        <v>2.3126433898105336</v>
      </c>
      <c r="Y266" s="117">
        <f t="shared" si="24"/>
        <v>6.1321237085100124</v>
      </c>
      <c r="Z266" s="119">
        <f t="shared" si="25"/>
        <v>2.3126433898105336</v>
      </c>
      <c r="AA266" s="55" t="str">
        <f t="shared" si="26"/>
        <v>Layak</v>
      </c>
    </row>
    <row r="267" spans="1:27" x14ac:dyDescent="0.35">
      <c r="A267" s="5">
        <v>46</v>
      </c>
      <c r="B267" s="2" t="s">
        <v>100</v>
      </c>
      <c r="C267" s="11" t="s">
        <v>92</v>
      </c>
      <c r="D267" s="32" t="str">
        <f>'B.kriteria &amp; R.kecocokan'!$B$24</f>
        <v>Cukup</v>
      </c>
      <c r="E267" s="111">
        <f>_xlfn.IFS(D267="Banyak",'B.kriteria &amp; R.kecocokan'!$C$23,D267="Cukup",'B.kriteria &amp; R.kecocokan'!$C$24,D267="Sedikit",'B.kriteria &amp; R.kecocokan'!$C$25)</f>
        <v>5</v>
      </c>
      <c r="F267" s="9" t="str">
        <f>'B.kriteria &amp; R.kecocokan'!$B$34</f>
        <v>Tinggi</v>
      </c>
      <c r="G267" s="8">
        <f>_xlfn.IFS(F267="Tinggi",'B.kriteria &amp; R.kecocokan'!$C$34,F267="Sangat Tinggi",'B.kriteria &amp; R.kecocokan'!$C$35)</f>
        <v>7.5</v>
      </c>
      <c r="H267" s="8" t="str">
        <f>'B.kriteria &amp; R.kecocokan'!$B$41</f>
        <v>Rendah</v>
      </c>
      <c r="I267" s="8">
        <f>_xlfn.IFS(H267="Rendah",'B.kriteria &amp; R.kecocokan'!$C$41,H267="Sedang",'B.kriteria &amp; R.kecocokan'!$C$42,H267="Tinggi",'B.kriteria &amp; R.kecocokan'!$C$43)</f>
        <v>2.5</v>
      </c>
      <c r="J267" s="8" t="str">
        <f>'B.kriteria &amp; R.kecocokan'!$B$72</f>
        <v>Rendah</v>
      </c>
      <c r="K267" s="8">
        <f>_xlfn.IFS(J267="Rendah",'B.kriteria &amp; R.kecocokan'!$C$72,J267="Sedang",'B.kriteria &amp; R.kecocokan'!$C$73,J267="Tinggi",'B.kriteria &amp; R.kecocokan'!$C$74)</f>
        <v>2.5</v>
      </c>
      <c r="L267" s="8" t="str">
        <f>'B.kriteria &amp; R.kecocokan'!$B$95</f>
        <v>Rendah</v>
      </c>
      <c r="M267" s="8">
        <f>_xlfn.IFS(L267="Rendah",'B.kriteria &amp; R.kecocokan'!$C$95,L267="Tinggi",'B.kriteria &amp; R.kecocokan'!$C$96)</f>
        <v>2.5</v>
      </c>
      <c r="N267" s="8" t="str">
        <f>'B.kriteria &amp; R.kecocokan'!$B$80</f>
        <v>Rendah</v>
      </c>
      <c r="O267" s="8">
        <f>_xlfn.IFS(N267="Rendah",'B.kriteria &amp; R.kecocokan'!$C$80,N267="Tinggi",'B.kriteria &amp; R.kecocokan'!$C$81)</f>
        <v>2.5</v>
      </c>
      <c r="P267" s="9" t="str">
        <f>'B.kriteria &amp; R.kecocokan'!$B$88</f>
        <v>Sedang</v>
      </c>
      <c r="Q267" s="8">
        <f>_xlfn.IFS(P267="Sedikit",'B.kriteria &amp; R.kecocokan'!$C$89,P267="Sedang",'B.kriteria &amp; R.kecocokan'!$C$88,P267="Sangat Sedikit",'B.kriteria &amp; R.kecocokan'!$C$90)</f>
        <v>5</v>
      </c>
      <c r="R267" s="8" t="str">
        <f>'B.kriteria &amp; R.kecocokan'!$B$49</f>
        <v>Rendah</v>
      </c>
      <c r="S267" s="8">
        <f>_xlfn.IFS(R267="Rendah",'B.kriteria &amp; R.kecocokan'!$C$49,R267="Sedang",'B.kriteria &amp; R.kecocokan'!$C$50,R267="Tinggi",'B.kriteria &amp; R.kecocokan'!$C$51)</f>
        <v>2.5</v>
      </c>
      <c r="T267" s="8" t="str">
        <f>'B.kriteria &amp; R.kecocokan'!$B$57</f>
        <v>Rendah</v>
      </c>
      <c r="U267" s="51">
        <f>_xlfn.IFS(T267="Rendah",'B.kriteria &amp; R.kecocokan'!$C$57,T267="Sedang",'B.kriteria &amp; R.kecocokan'!$C$58,T267="Tinggi",'B.kriteria &amp; R.kecocokan'!$C$59)</f>
        <v>2.5</v>
      </c>
      <c r="V267" s="51" t="str">
        <f>'B.kriteria &amp; R.kecocokan'!$B$65</f>
        <v>Rendah</v>
      </c>
      <c r="W267" s="9">
        <f>_xlfn.IFS(V267="Rendah",'B.kriteria &amp; R.kecocokan'!$C$65,V267="Sedang",'B.kriteria &amp; R.kecocokan'!$C$66,V267="Tinggi",'B.kriteria &amp; R.kecocokan'!$C$67)</f>
        <v>1</v>
      </c>
      <c r="X267" s="117">
        <f t="shared" si="23"/>
        <v>4.8721812319441629</v>
      </c>
      <c r="Y267" s="117">
        <f t="shared" si="24"/>
        <v>1.5</v>
      </c>
      <c r="Z267" s="119">
        <f t="shared" si="25"/>
        <v>1.5</v>
      </c>
      <c r="AA267" s="55" t="str">
        <f t="shared" si="26"/>
        <v>Tidak Layak</v>
      </c>
    </row>
    <row r="268" spans="1:27" x14ac:dyDescent="0.35">
      <c r="A268" s="1">
        <v>47</v>
      </c>
      <c r="B268" s="2" t="s">
        <v>101</v>
      </c>
      <c r="C268" s="11" t="s">
        <v>92</v>
      </c>
      <c r="D268" s="28" t="str">
        <f>'B.kriteria &amp; R.kecocokan'!$B$25</f>
        <v>Sedikit</v>
      </c>
      <c r="E268" s="111">
        <f>_xlfn.IFS(D268="Banyak",'B.kriteria &amp; R.kecocokan'!$C$23,D268="Cukup",'B.kriteria &amp; R.kecocokan'!$C$24,D268="Sedikit",'B.kriteria &amp; R.kecocokan'!$C$25)</f>
        <v>7.5</v>
      </c>
      <c r="F268" s="9" t="str">
        <f>'B.kriteria &amp; R.kecocokan'!$B$34</f>
        <v>Tinggi</v>
      </c>
      <c r="G268" s="8">
        <f>_xlfn.IFS(F268="Tinggi",'B.kriteria &amp; R.kecocokan'!$C$34,F268="Sangat Tinggi",'B.kriteria &amp; R.kecocokan'!$C$35)</f>
        <v>7.5</v>
      </c>
      <c r="H268" s="8" t="str">
        <f>'B.kriteria &amp; R.kecocokan'!$B$41</f>
        <v>Rendah</v>
      </c>
      <c r="I268" s="8">
        <f>_xlfn.IFS(H268="Rendah",'B.kriteria &amp; R.kecocokan'!$C$41,H268="Sedang",'B.kriteria &amp; R.kecocokan'!$C$42,H268="Tinggi",'B.kriteria &amp; R.kecocokan'!$C$43)</f>
        <v>2.5</v>
      </c>
      <c r="J268" s="8" t="str">
        <f>'B.kriteria &amp; R.kecocokan'!$B$72</f>
        <v>Rendah</v>
      </c>
      <c r="K268" s="8">
        <f>_xlfn.IFS(J268="Rendah",'B.kriteria &amp; R.kecocokan'!$C$72,J268="Sedang",'B.kriteria &amp; R.kecocokan'!$C$73,J268="Tinggi",'B.kriteria &amp; R.kecocokan'!$C$74)</f>
        <v>2.5</v>
      </c>
      <c r="L268" s="8" t="str">
        <f>'B.kriteria &amp; R.kecocokan'!$B$95</f>
        <v>Rendah</v>
      </c>
      <c r="M268" s="8">
        <f>_xlfn.IFS(L268="Rendah",'B.kriteria &amp; R.kecocokan'!$C$95,L268="Tinggi",'B.kriteria &amp; R.kecocokan'!$C$96)</f>
        <v>2.5</v>
      </c>
      <c r="N268" s="9" t="str">
        <f>'B.kriteria &amp; R.kecocokan'!$B$81</f>
        <v>Tinggi</v>
      </c>
      <c r="O268" s="8">
        <f>_xlfn.IFS(N268="Rendah",'B.kriteria &amp; R.kecocokan'!$C$80,N268="Tinggi",'B.kriteria &amp; R.kecocokan'!$C$81)</f>
        <v>7.5</v>
      </c>
      <c r="P268" s="9" t="str">
        <f>'B.kriteria &amp; R.kecocokan'!$B$90</f>
        <v>Sangat Sedikit</v>
      </c>
      <c r="Q268" s="8">
        <f>_xlfn.IFS(P268="Sedikit",'B.kriteria &amp; R.kecocokan'!$C$89,P268="Sedang",'B.kriteria &amp; R.kecocokan'!$C$88,P268="Sangat Sedikit",'B.kriteria &amp; R.kecocokan'!$C$90)</f>
        <v>1</v>
      </c>
      <c r="R268" s="8" t="str">
        <f>'B.kriteria &amp; R.kecocokan'!$B$49</f>
        <v>Rendah</v>
      </c>
      <c r="S268" s="8">
        <f>_xlfn.IFS(R268="Rendah",'B.kriteria &amp; R.kecocokan'!$C$49,R268="Sedang",'B.kriteria &amp; R.kecocokan'!$C$50,R268="Tinggi",'B.kriteria &amp; R.kecocokan'!$C$51)</f>
        <v>2.5</v>
      </c>
      <c r="T268" s="8" t="str">
        <f>'B.kriteria &amp; R.kecocokan'!$B$57</f>
        <v>Rendah</v>
      </c>
      <c r="U268" s="51">
        <f>_xlfn.IFS(T268="Rendah",'B.kriteria &amp; R.kecocokan'!$C$57,T268="Sedang",'B.kriteria &amp; R.kecocokan'!$C$58,T268="Tinggi",'B.kriteria &amp; R.kecocokan'!$C$59)</f>
        <v>2.5</v>
      </c>
      <c r="V268" s="51" t="str">
        <f>'B.kriteria &amp; R.kecocokan'!$B$65</f>
        <v>Rendah</v>
      </c>
      <c r="W268" s="9">
        <f>_xlfn.IFS(V268="Rendah",'B.kriteria &amp; R.kecocokan'!$C$65,V268="Sedang",'B.kriteria &amp; R.kecocokan'!$C$66,V268="Tinggi",'B.kriteria &amp; R.kecocokan'!$C$67)</f>
        <v>1</v>
      </c>
      <c r="X268" s="117">
        <f t="shared" si="23"/>
        <v>2.7901182997142717</v>
      </c>
      <c r="Y268" s="117">
        <f t="shared" si="24"/>
        <v>6.7866651257750865</v>
      </c>
      <c r="Z268" s="119">
        <f t="shared" si="25"/>
        <v>2.7901182997142717</v>
      </c>
      <c r="AA268" s="55" t="str">
        <f t="shared" si="26"/>
        <v>Layak</v>
      </c>
    </row>
    <row r="269" spans="1:27" x14ac:dyDescent="0.35">
      <c r="A269" s="5">
        <v>48</v>
      </c>
      <c r="B269" s="2" t="s">
        <v>102</v>
      </c>
      <c r="C269" s="11" t="s">
        <v>95</v>
      </c>
      <c r="D269" s="32" t="str">
        <f>'B.kriteria &amp; R.kecocokan'!$B$24</f>
        <v>Cukup</v>
      </c>
      <c r="E269" s="111">
        <f>_xlfn.IFS(D269="Banyak",'B.kriteria &amp; R.kecocokan'!$C$23,D269="Cukup",'B.kriteria &amp; R.kecocokan'!$C$24,D269="Sedikit",'B.kriteria &amp; R.kecocokan'!$C$25)</f>
        <v>5</v>
      </c>
      <c r="F269" s="9" t="str">
        <f>'B.kriteria &amp; R.kecocokan'!$B$34</f>
        <v>Tinggi</v>
      </c>
      <c r="G269" s="8">
        <f>_xlfn.IFS(F269="Tinggi",'B.kriteria &amp; R.kecocokan'!$C$34,F269="Sangat Tinggi",'B.kriteria &amp; R.kecocokan'!$C$35)</f>
        <v>7.5</v>
      </c>
      <c r="H269" s="8" t="str">
        <f>'B.kriteria &amp; R.kecocokan'!$B$41</f>
        <v>Rendah</v>
      </c>
      <c r="I269" s="8">
        <f>_xlfn.IFS(H269="Rendah",'B.kriteria &amp; R.kecocokan'!$C$41,H269="Sedang",'B.kriteria &amp; R.kecocokan'!$C$42,H269="Tinggi",'B.kriteria &amp; R.kecocokan'!$C$43)</f>
        <v>2.5</v>
      </c>
      <c r="J269" s="8" t="str">
        <f>'B.kriteria &amp; R.kecocokan'!$B$72</f>
        <v>Rendah</v>
      </c>
      <c r="K269" s="8">
        <f>_xlfn.IFS(J269="Rendah",'B.kriteria &amp; R.kecocokan'!$C$72,J269="Sedang",'B.kriteria &amp; R.kecocokan'!$C$73,J269="Tinggi",'B.kriteria &amp; R.kecocokan'!$C$74)</f>
        <v>2.5</v>
      </c>
      <c r="L269" s="8" t="str">
        <f>'B.kriteria &amp; R.kecocokan'!$B$95</f>
        <v>Rendah</v>
      </c>
      <c r="M269" s="8">
        <f>_xlfn.IFS(L269="Rendah",'B.kriteria &amp; R.kecocokan'!$C$95,L269="Tinggi",'B.kriteria &amp; R.kecocokan'!$C$96)</f>
        <v>2.5</v>
      </c>
      <c r="N269" s="8" t="str">
        <f>'B.kriteria &amp; R.kecocokan'!$B$80</f>
        <v>Rendah</v>
      </c>
      <c r="O269" s="8">
        <f>_xlfn.IFS(N269="Rendah",'B.kriteria &amp; R.kecocokan'!$C$80,N269="Tinggi",'B.kriteria &amp; R.kecocokan'!$C$81)</f>
        <v>2.5</v>
      </c>
      <c r="P269" s="8" t="str">
        <f>'B.kriteria &amp; R.kecocokan'!$B$89</f>
        <v>Sedikit</v>
      </c>
      <c r="Q269" s="8">
        <f>_xlfn.IFS(P269="Sedikit",'B.kriteria &amp; R.kecocokan'!$C$89,P269="Sedang",'B.kriteria &amp; R.kecocokan'!$C$88,P269="Sangat Sedikit",'B.kriteria &amp; R.kecocokan'!$C$90)</f>
        <v>2.5</v>
      </c>
      <c r="R269" s="8" t="str">
        <f>'B.kriteria &amp; R.kecocokan'!$B$49</f>
        <v>Rendah</v>
      </c>
      <c r="S269" s="8">
        <f>_xlfn.IFS(R269="Rendah",'B.kriteria &amp; R.kecocokan'!$C$49,R269="Sedang",'B.kriteria &amp; R.kecocokan'!$C$50,R269="Tinggi",'B.kriteria &amp; R.kecocokan'!$C$51)</f>
        <v>2.5</v>
      </c>
      <c r="T269" s="8" t="str">
        <f>'B.kriteria &amp; R.kecocokan'!$B$57</f>
        <v>Rendah</v>
      </c>
      <c r="U269" s="51">
        <f>_xlfn.IFS(T269="Rendah",'B.kriteria &amp; R.kecocokan'!$C$57,T269="Sedang",'B.kriteria &amp; R.kecocokan'!$C$58,T269="Tinggi",'B.kriteria &amp; R.kecocokan'!$C$59)</f>
        <v>2.5</v>
      </c>
      <c r="V269" s="51" t="str">
        <f>'B.kriteria &amp; R.kecocokan'!$B$65</f>
        <v>Rendah</v>
      </c>
      <c r="W269" s="9">
        <f>_xlfn.IFS(V269="Rendah",'B.kriteria &amp; R.kecocokan'!$C$65,V269="Sedang",'B.kriteria &amp; R.kecocokan'!$C$66,V269="Tinggi",'B.kriteria &amp; R.kecocokan'!$C$67)</f>
        <v>1</v>
      </c>
      <c r="X269" s="117">
        <f t="shared" si="23"/>
        <v>3.6050831520479694</v>
      </c>
      <c r="Y269" s="117">
        <f t="shared" si="24"/>
        <v>2.2294816068526147</v>
      </c>
      <c r="Z269" s="119">
        <f t="shared" si="25"/>
        <v>2.2294816068526147</v>
      </c>
      <c r="AA269" s="55" t="str">
        <f t="shared" si="26"/>
        <v>Tidak Layak</v>
      </c>
    </row>
    <row r="270" spans="1:27" x14ac:dyDescent="0.35">
      <c r="A270" s="5">
        <v>49</v>
      </c>
      <c r="B270" s="2" t="s">
        <v>104</v>
      </c>
      <c r="C270" s="11" t="s">
        <v>92</v>
      </c>
      <c r="D270" s="28" t="str">
        <f>'B.kriteria &amp; R.kecocokan'!$B$25</f>
        <v>Sedikit</v>
      </c>
      <c r="E270" s="111">
        <f>_xlfn.IFS(D270="Banyak",'B.kriteria &amp; R.kecocokan'!$C$23,D270="Cukup",'B.kriteria &amp; R.kecocokan'!$C$24,D270="Sedikit",'B.kriteria &amp; R.kecocokan'!$C$25)</f>
        <v>7.5</v>
      </c>
      <c r="F270" s="9" t="str">
        <f>'B.kriteria &amp; R.kecocokan'!$B$35</f>
        <v>Sangat Tinggi</v>
      </c>
      <c r="G270" s="8">
        <f>_xlfn.IFS(F270="Tinggi",'B.kriteria &amp; R.kecocokan'!$C$34,F270="Sangat Tinggi",'B.kriteria &amp; R.kecocokan'!$C$35)</f>
        <v>10</v>
      </c>
      <c r="H270" s="8" t="str">
        <f>'B.kriteria &amp; R.kecocokan'!$B$41</f>
        <v>Rendah</v>
      </c>
      <c r="I270" s="8">
        <f>_xlfn.IFS(H270="Rendah",'B.kriteria &amp; R.kecocokan'!$C$41,H270="Sedang",'B.kriteria &amp; R.kecocokan'!$C$42,H270="Tinggi",'B.kriteria &amp; R.kecocokan'!$C$43)</f>
        <v>2.5</v>
      </c>
      <c r="J270" s="8" t="str">
        <f>'B.kriteria &amp; R.kecocokan'!$B$72</f>
        <v>Rendah</v>
      </c>
      <c r="K270" s="8">
        <f>_xlfn.IFS(J270="Rendah",'B.kriteria &amp; R.kecocokan'!$C$72,J270="Sedang",'B.kriteria &amp; R.kecocokan'!$C$73,J270="Tinggi",'B.kriteria &amp; R.kecocokan'!$C$74)</f>
        <v>2.5</v>
      </c>
      <c r="L270" s="8" t="str">
        <f>'B.kriteria &amp; R.kecocokan'!$B$95</f>
        <v>Rendah</v>
      </c>
      <c r="M270" s="8">
        <f>_xlfn.IFS(L270="Rendah",'B.kriteria &amp; R.kecocokan'!$C$95,L270="Tinggi",'B.kriteria &amp; R.kecocokan'!$C$96)</f>
        <v>2.5</v>
      </c>
      <c r="N270" s="9" t="str">
        <f>'B.kriteria &amp; R.kecocokan'!$B$81</f>
        <v>Tinggi</v>
      </c>
      <c r="O270" s="8">
        <f>_xlfn.IFS(N270="Rendah",'B.kriteria &amp; R.kecocokan'!$C$80,N270="Tinggi",'B.kriteria &amp; R.kecocokan'!$C$81)</f>
        <v>7.5</v>
      </c>
      <c r="P270" s="9" t="str">
        <f>'B.kriteria &amp; R.kecocokan'!$B$90</f>
        <v>Sangat Sedikit</v>
      </c>
      <c r="Q270" s="8">
        <f>_xlfn.IFS(P270="Sedikit",'B.kriteria &amp; R.kecocokan'!$C$89,P270="Sedang",'B.kriteria &amp; R.kecocokan'!$C$88,P270="Sangat Sedikit",'B.kriteria &amp; R.kecocokan'!$C$90)</f>
        <v>1</v>
      </c>
      <c r="R270" s="8" t="str">
        <f>'B.kriteria &amp; R.kecocokan'!$B$49</f>
        <v>Rendah</v>
      </c>
      <c r="S270" s="8">
        <f>_xlfn.IFS(R270="Rendah",'B.kriteria &amp; R.kecocokan'!$C$49,R270="Sedang",'B.kriteria &amp; R.kecocokan'!$C$50,R270="Tinggi",'B.kriteria &amp; R.kecocokan'!$C$51)</f>
        <v>2.5</v>
      </c>
      <c r="T270" s="8" t="str">
        <f>'B.kriteria &amp; R.kecocokan'!$B$57</f>
        <v>Rendah</v>
      </c>
      <c r="U270" s="51">
        <f>_xlfn.IFS(T270="Rendah",'B.kriteria &amp; R.kecocokan'!$C$57,T270="Sedang",'B.kriteria &amp; R.kecocokan'!$C$58,T270="Tinggi",'B.kriteria &amp; R.kecocokan'!$C$59)</f>
        <v>2.5</v>
      </c>
      <c r="V270" s="51" t="str">
        <f>'B.kriteria &amp; R.kecocokan'!$B$65</f>
        <v>Rendah</v>
      </c>
      <c r="W270" s="9">
        <f>_xlfn.IFS(V270="Rendah",'B.kriteria &amp; R.kecocokan'!$C$65,V270="Sedang",'B.kriteria &amp; R.kecocokan'!$C$66,V270="Tinggi",'B.kriteria &amp; R.kecocokan'!$C$67)</f>
        <v>1</v>
      </c>
      <c r="X270" s="117">
        <f t="shared" si="23"/>
        <v>3.512811533823466</v>
      </c>
      <c r="Y270" s="117">
        <f t="shared" si="24"/>
        <v>7.0262114299829843</v>
      </c>
      <c r="Z270" s="119">
        <f t="shared" si="25"/>
        <v>3.512811533823466</v>
      </c>
      <c r="AA270" s="55" t="str">
        <f t="shared" si="26"/>
        <v>Layak</v>
      </c>
    </row>
    <row r="271" spans="1:27" x14ac:dyDescent="0.35">
      <c r="A271" s="1">
        <v>50</v>
      </c>
      <c r="B271" s="2" t="s">
        <v>105</v>
      </c>
      <c r="C271" s="11" t="s">
        <v>92</v>
      </c>
      <c r="D271" s="28" t="str">
        <f>'B.kriteria &amp; R.kecocokan'!$B$25</f>
        <v>Sedikit</v>
      </c>
      <c r="E271" s="111">
        <f>_xlfn.IFS(D271="Banyak",'B.kriteria &amp; R.kecocokan'!$C$23,D271="Cukup",'B.kriteria &amp; R.kecocokan'!$C$24,D271="Sedikit",'B.kriteria &amp; R.kecocokan'!$C$25)</f>
        <v>7.5</v>
      </c>
      <c r="F271" s="9" t="str">
        <f>'B.kriteria &amp; R.kecocokan'!$B$34</f>
        <v>Tinggi</v>
      </c>
      <c r="G271" s="8">
        <f>_xlfn.IFS(F271="Tinggi",'B.kriteria &amp; R.kecocokan'!$C$34,F271="Sangat Tinggi",'B.kriteria &amp; R.kecocokan'!$C$35)</f>
        <v>7.5</v>
      </c>
      <c r="H271" s="8" t="str">
        <f>'B.kriteria &amp; R.kecocokan'!$B$41</f>
        <v>Rendah</v>
      </c>
      <c r="I271" s="8">
        <f>_xlfn.IFS(H271="Rendah",'B.kriteria &amp; R.kecocokan'!$C$41,H271="Sedang",'B.kriteria &amp; R.kecocokan'!$C$42,H271="Tinggi",'B.kriteria &amp; R.kecocokan'!$C$43)</f>
        <v>2.5</v>
      </c>
      <c r="J271" s="8" t="str">
        <f>'B.kriteria &amp; R.kecocokan'!$B$72</f>
        <v>Rendah</v>
      </c>
      <c r="K271" s="8">
        <f>_xlfn.IFS(J271="Rendah",'B.kriteria &amp; R.kecocokan'!$C$72,J271="Sedang",'B.kriteria &amp; R.kecocokan'!$C$73,J271="Tinggi",'B.kriteria &amp; R.kecocokan'!$C$74)</f>
        <v>2.5</v>
      </c>
      <c r="L271" s="8" t="str">
        <f>'B.kriteria &amp; R.kecocokan'!$B$95</f>
        <v>Rendah</v>
      </c>
      <c r="M271" s="8">
        <f>_xlfn.IFS(L271="Rendah",'B.kriteria &amp; R.kecocokan'!$C$95,L271="Tinggi",'B.kriteria &amp; R.kecocokan'!$C$96)</f>
        <v>2.5</v>
      </c>
      <c r="N271" s="8" t="str">
        <f>'B.kriteria &amp; R.kecocokan'!$B$80</f>
        <v>Rendah</v>
      </c>
      <c r="O271" s="8">
        <f>_xlfn.IFS(N271="Rendah",'B.kriteria &amp; R.kecocokan'!$C$80,N271="Tinggi",'B.kriteria &amp; R.kecocokan'!$C$81)</f>
        <v>2.5</v>
      </c>
      <c r="P271" s="9" t="str">
        <f>'B.kriteria &amp; R.kecocokan'!$B$88</f>
        <v>Sedang</v>
      </c>
      <c r="Q271" s="8">
        <f>_xlfn.IFS(P271="Sedikit",'B.kriteria &amp; R.kecocokan'!$C$89,P271="Sedang",'B.kriteria &amp; R.kecocokan'!$C$88,P271="Sangat Sedikit",'B.kriteria &amp; R.kecocokan'!$C$90)</f>
        <v>5</v>
      </c>
      <c r="R271" s="9" t="str">
        <f>'B.kriteria &amp; R.kecocokan'!$B$50</f>
        <v>Sedang</v>
      </c>
      <c r="S271" s="8">
        <f>_xlfn.IFS(R271="Rendah",'B.kriteria &amp; R.kecocokan'!$C$49,R271="Sedang",'B.kriteria &amp; R.kecocokan'!$C$50,R271="Tinggi",'B.kriteria &amp; R.kecocokan'!$C$51)</f>
        <v>5</v>
      </c>
      <c r="T271" s="9" t="str">
        <f>'B.kriteria &amp; R.kecocokan'!$B$59</f>
        <v>Tinggi</v>
      </c>
      <c r="U271" s="51">
        <f>_xlfn.IFS(T271="Rendah",'B.kriteria &amp; R.kecocokan'!$C$57,T271="Sedang",'B.kriteria &amp; R.kecocokan'!$C$58,T271="Tinggi",'B.kriteria &amp; R.kecocokan'!$C$59)</f>
        <v>7.5</v>
      </c>
      <c r="V271" s="51" t="str">
        <f>'B.kriteria &amp; R.kecocokan'!$B$65</f>
        <v>Rendah</v>
      </c>
      <c r="W271" s="9">
        <f>_xlfn.IFS(V271="Rendah",'B.kriteria &amp; R.kecocokan'!$C$65,V271="Sedang",'B.kriteria &amp; R.kecocokan'!$C$66,V271="Tinggi",'B.kriteria &amp; R.kecocokan'!$C$67)</f>
        <v>1</v>
      </c>
      <c r="X271" s="117">
        <f t="shared" si="23"/>
        <v>6.8433449639698853</v>
      </c>
      <c r="Y271" s="117">
        <f t="shared" si="24"/>
        <v>5.8824264701286824</v>
      </c>
      <c r="Z271" s="119">
        <f t="shared" si="25"/>
        <v>5.8824264701286824</v>
      </c>
      <c r="AA271" s="55" t="str">
        <f t="shared" si="26"/>
        <v>Tidak Layak</v>
      </c>
    </row>
    <row r="272" spans="1:27" x14ac:dyDescent="0.35">
      <c r="A272" s="5">
        <v>51</v>
      </c>
      <c r="B272" s="2" t="s">
        <v>106</v>
      </c>
      <c r="C272" s="11" t="s">
        <v>92</v>
      </c>
      <c r="D272" s="28" t="str">
        <f>'B.kriteria &amp; R.kecocokan'!$B$25</f>
        <v>Sedikit</v>
      </c>
      <c r="E272" s="111">
        <f>_xlfn.IFS(D272="Banyak",'B.kriteria &amp; R.kecocokan'!$C$23,D272="Cukup",'B.kriteria &amp; R.kecocokan'!$C$24,D272="Sedikit",'B.kriteria &amp; R.kecocokan'!$C$25)</f>
        <v>7.5</v>
      </c>
      <c r="F272" s="9" t="str">
        <f>'B.kriteria &amp; R.kecocokan'!$B$34</f>
        <v>Tinggi</v>
      </c>
      <c r="G272" s="8">
        <f>_xlfn.IFS(F272="Tinggi",'B.kriteria &amp; R.kecocokan'!$C$34,F272="Sangat Tinggi",'B.kriteria &amp; R.kecocokan'!$C$35)</f>
        <v>7.5</v>
      </c>
      <c r="H272" s="8" t="str">
        <f>'B.kriteria &amp; R.kecocokan'!$B$41</f>
        <v>Rendah</v>
      </c>
      <c r="I272" s="8">
        <f>_xlfn.IFS(H272="Rendah",'B.kriteria &amp; R.kecocokan'!$C$41,H272="Sedang",'B.kriteria &amp; R.kecocokan'!$C$42,H272="Tinggi",'B.kriteria &amp; R.kecocokan'!$C$43)</f>
        <v>2.5</v>
      </c>
      <c r="J272" s="8" t="str">
        <f>'B.kriteria &amp; R.kecocokan'!$B$72</f>
        <v>Rendah</v>
      </c>
      <c r="K272" s="8">
        <f>_xlfn.IFS(J272="Rendah",'B.kriteria &amp; R.kecocokan'!$C$72,J272="Sedang",'B.kriteria &amp; R.kecocokan'!$C$73,J272="Tinggi",'B.kriteria &amp; R.kecocokan'!$C$74)</f>
        <v>2.5</v>
      </c>
      <c r="L272" s="8" t="str">
        <f>'B.kriteria &amp; R.kecocokan'!$B$95</f>
        <v>Rendah</v>
      </c>
      <c r="M272" s="8">
        <f>_xlfn.IFS(L272="Rendah",'B.kriteria &amp; R.kecocokan'!$C$95,L272="Tinggi",'B.kriteria &amp; R.kecocokan'!$C$96)</f>
        <v>2.5</v>
      </c>
      <c r="N272" s="8" t="str">
        <f>'B.kriteria &amp; R.kecocokan'!$B$80</f>
        <v>Rendah</v>
      </c>
      <c r="O272" s="8">
        <f>_xlfn.IFS(N272="Rendah",'B.kriteria &amp; R.kecocokan'!$C$80,N272="Tinggi",'B.kriteria &amp; R.kecocokan'!$C$81)</f>
        <v>2.5</v>
      </c>
      <c r="P272" s="9" t="str">
        <f>'B.kriteria &amp; R.kecocokan'!$B$88</f>
        <v>Sedang</v>
      </c>
      <c r="Q272" s="8">
        <f>_xlfn.IFS(P272="Sedikit",'B.kriteria &amp; R.kecocokan'!$C$89,P272="Sedang",'B.kriteria &amp; R.kecocokan'!$C$88,P272="Sangat Sedikit",'B.kriteria &amp; R.kecocokan'!$C$90)</f>
        <v>5</v>
      </c>
      <c r="R272" s="8" t="str">
        <f>'B.kriteria &amp; R.kecocokan'!$B$49</f>
        <v>Rendah</v>
      </c>
      <c r="S272" s="8">
        <f>_xlfn.IFS(R272="Rendah",'B.kriteria &amp; R.kecocokan'!$C$49,R272="Sedang",'B.kriteria &amp; R.kecocokan'!$C$50,R272="Tinggi",'B.kriteria &amp; R.kecocokan'!$C$51)</f>
        <v>2.5</v>
      </c>
      <c r="T272" s="9" t="str">
        <f>'B.kriteria &amp; R.kecocokan'!$B$58</f>
        <v>Sedang</v>
      </c>
      <c r="U272" s="51">
        <f>_xlfn.IFS(T272="Rendah",'B.kriteria &amp; R.kecocokan'!$C$57,T272="Sedang",'B.kriteria &amp; R.kecocokan'!$C$58,T272="Tinggi",'B.kriteria &amp; R.kecocokan'!$C$59)</f>
        <v>5</v>
      </c>
      <c r="V272" s="51" t="str">
        <f>'B.kriteria &amp; R.kecocokan'!$B$65</f>
        <v>Rendah</v>
      </c>
      <c r="W272" s="9">
        <f>_xlfn.IFS(V272="Rendah",'B.kriteria &amp; R.kecocokan'!$C$65,V272="Sedang",'B.kriteria &amp; R.kecocokan'!$C$66,V272="Tinggi",'B.kriteria &amp; R.kecocokan'!$C$67)</f>
        <v>1</v>
      </c>
      <c r="X272" s="117">
        <f t="shared" si="23"/>
        <v>5.3290868735705068</v>
      </c>
      <c r="Y272" s="117">
        <f t="shared" si="24"/>
        <v>3.7436220271754119</v>
      </c>
      <c r="Z272" s="119">
        <f t="shared" si="25"/>
        <v>3.7436220271754119</v>
      </c>
      <c r="AA272" s="55" t="str">
        <f t="shared" si="26"/>
        <v>Tidak Layak</v>
      </c>
    </row>
    <row r="273" spans="1:27" x14ac:dyDescent="0.35">
      <c r="A273" s="5">
        <v>52</v>
      </c>
      <c r="B273" s="2" t="s">
        <v>107</v>
      </c>
      <c r="C273" s="11" t="s">
        <v>92</v>
      </c>
      <c r="D273" s="28" t="str">
        <f>'B.kriteria &amp; R.kecocokan'!$B$25</f>
        <v>Sedikit</v>
      </c>
      <c r="E273" s="111">
        <f>_xlfn.IFS(D273="Banyak",'B.kriteria &amp; R.kecocokan'!$C$23,D273="Cukup",'B.kriteria &amp; R.kecocokan'!$C$24,D273="Sedikit",'B.kriteria &amp; R.kecocokan'!$C$25)</f>
        <v>7.5</v>
      </c>
      <c r="F273" s="9" t="str">
        <f>'B.kriteria &amp; R.kecocokan'!$B$34</f>
        <v>Tinggi</v>
      </c>
      <c r="G273" s="8">
        <f>_xlfn.IFS(F273="Tinggi",'B.kriteria &amp; R.kecocokan'!$C$34,F273="Sangat Tinggi",'B.kriteria &amp; R.kecocokan'!$C$35)</f>
        <v>7.5</v>
      </c>
      <c r="H273" s="8" t="str">
        <f>'B.kriteria &amp; R.kecocokan'!$B$41</f>
        <v>Rendah</v>
      </c>
      <c r="I273" s="8">
        <f>_xlfn.IFS(H273="Rendah",'B.kriteria &amp; R.kecocokan'!$C$41,H273="Sedang",'B.kriteria &amp; R.kecocokan'!$C$42,H273="Tinggi",'B.kriteria &amp; R.kecocokan'!$C$43)</f>
        <v>2.5</v>
      </c>
      <c r="J273" s="8" t="str">
        <f>'B.kriteria &amp; R.kecocokan'!$B$72</f>
        <v>Rendah</v>
      </c>
      <c r="K273" s="8">
        <f>_xlfn.IFS(J273="Rendah",'B.kriteria &amp; R.kecocokan'!$C$72,J273="Sedang",'B.kriteria &amp; R.kecocokan'!$C$73,J273="Tinggi",'B.kriteria &amp; R.kecocokan'!$C$74)</f>
        <v>2.5</v>
      </c>
      <c r="L273" s="8" t="str">
        <f>'B.kriteria &amp; R.kecocokan'!$B$95</f>
        <v>Rendah</v>
      </c>
      <c r="M273" s="8">
        <f>_xlfn.IFS(L273="Rendah",'B.kriteria &amp; R.kecocokan'!$C$95,L273="Tinggi",'B.kriteria &amp; R.kecocokan'!$C$96)</f>
        <v>2.5</v>
      </c>
      <c r="N273" s="8" t="str">
        <f>'B.kriteria &amp; R.kecocokan'!$B$80</f>
        <v>Rendah</v>
      </c>
      <c r="O273" s="8">
        <f>_xlfn.IFS(N273="Rendah",'B.kriteria &amp; R.kecocokan'!$C$80,N273="Tinggi",'B.kriteria &amp; R.kecocokan'!$C$81)</f>
        <v>2.5</v>
      </c>
      <c r="P273" s="8" t="str">
        <f>'B.kriteria &amp; R.kecocokan'!$B$89</f>
        <v>Sedikit</v>
      </c>
      <c r="Q273" s="8">
        <f>_xlfn.IFS(P273="Sedikit",'B.kriteria &amp; R.kecocokan'!$C$89,P273="Sedang",'B.kriteria &amp; R.kecocokan'!$C$88,P273="Sangat Sedikit",'B.kriteria &amp; R.kecocokan'!$C$90)</f>
        <v>2.5</v>
      </c>
      <c r="R273" s="8" t="str">
        <f>'B.kriteria &amp; R.kecocokan'!$B$49</f>
        <v>Rendah</v>
      </c>
      <c r="S273" s="8">
        <f>_xlfn.IFS(R273="Rendah",'B.kriteria &amp; R.kecocokan'!$C$49,R273="Sedang",'B.kriteria &amp; R.kecocokan'!$C$50,R273="Tinggi",'B.kriteria &amp; R.kecocokan'!$C$51)</f>
        <v>2.5</v>
      </c>
      <c r="T273" s="8" t="str">
        <f>'B.kriteria &amp; R.kecocokan'!$B$57</f>
        <v>Rendah</v>
      </c>
      <c r="U273" s="51">
        <f>_xlfn.IFS(T273="Rendah",'B.kriteria &amp; R.kecocokan'!$C$57,T273="Sedang",'B.kriteria &amp; R.kecocokan'!$C$58,T273="Tinggi",'B.kriteria &amp; R.kecocokan'!$C$59)</f>
        <v>2.5</v>
      </c>
      <c r="V273" s="51" t="str">
        <f>'B.kriteria &amp; R.kecocokan'!$B$65</f>
        <v>Rendah</v>
      </c>
      <c r="W273" s="9">
        <f>_xlfn.IFS(V273="Rendah",'B.kriteria &amp; R.kecocokan'!$C$65,V273="Sedang",'B.kriteria &amp; R.kecocokan'!$C$66,V273="Tinggi",'B.kriteria &amp; R.kecocokan'!$C$67)</f>
        <v>1</v>
      </c>
      <c r="X273" s="117">
        <f t="shared" si="23"/>
        <v>3.9284940131233781</v>
      </c>
      <c r="Y273" s="117">
        <f t="shared" si="24"/>
        <v>3.6642148665485346</v>
      </c>
      <c r="Z273" s="119">
        <f t="shared" si="25"/>
        <v>3.6642148665485346</v>
      </c>
      <c r="AA273" s="55" t="str">
        <f t="shared" si="26"/>
        <v>Tidak Layak</v>
      </c>
    </row>
    <row r="274" spans="1:27" x14ac:dyDescent="0.35">
      <c r="A274" s="1">
        <v>53</v>
      </c>
      <c r="B274" s="2" t="s">
        <v>109</v>
      </c>
      <c r="C274" s="11" t="s">
        <v>95</v>
      </c>
      <c r="D274" s="9" t="str">
        <f>'B.kriteria &amp; R.kecocokan'!$B$23</f>
        <v>Banyak</v>
      </c>
      <c r="E274" s="111">
        <f>_xlfn.IFS(D274="Banyak",'B.kriteria &amp; R.kecocokan'!$C$23,D274="Cukup",'B.kriteria &amp; R.kecocokan'!$C$24,D274="Sedikit",'B.kriteria &amp; R.kecocokan'!$C$25)</f>
        <v>2.5</v>
      </c>
      <c r="F274" s="9" t="str">
        <f>'B.kriteria &amp; R.kecocokan'!$B$34</f>
        <v>Tinggi</v>
      </c>
      <c r="G274" s="8">
        <f>_xlfn.IFS(F274="Tinggi",'B.kriteria &amp; R.kecocokan'!$C$34,F274="Sangat Tinggi",'B.kriteria &amp; R.kecocokan'!$C$35)</f>
        <v>7.5</v>
      </c>
      <c r="H274" s="8" t="str">
        <f>'B.kriteria &amp; R.kecocokan'!$B$41</f>
        <v>Rendah</v>
      </c>
      <c r="I274" s="8">
        <f>_xlfn.IFS(H274="Rendah",'B.kriteria &amp; R.kecocokan'!$C$41,H274="Sedang",'B.kriteria &amp; R.kecocokan'!$C$42,H274="Tinggi",'B.kriteria &amp; R.kecocokan'!$C$43)</f>
        <v>2.5</v>
      </c>
      <c r="J274" s="8" t="str">
        <f>'B.kriteria &amp; R.kecocokan'!$B$72</f>
        <v>Rendah</v>
      </c>
      <c r="K274" s="8">
        <f>_xlfn.IFS(J274="Rendah",'B.kriteria &amp; R.kecocokan'!$C$72,J274="Sedang",'B.kriteria &amp; R.kecocokan'!$C$73,J274="Tinggi",'B.kriteria &amp; R.kecocokan'!$C$74)</f>
        <v>2.5</v>
      </c>
      <c r="L274" s="8" t="str">
        <f>'B.kriteria &amp; R.kecocokan'!$B$95</f>
        <v>Rendah</v>
      </c>
      <c r="M274" s="8">
        <f>_xlfn.IFS(L274="Rendah",'B.kriteria &amp; R.kecocokan'!$C$95,L274="Tinggi",'B.kriteria &amp; R.kecocokan'!$C$96)</f>
        <v>2.5</v>
      </c>
      <c r="N274" s="8" t="str">
        <f>'B.kriteria &amp; R.kecocokan'!$B$80</f>
        <v>Rendah</v>
      </c>
      <c r="O274" s="8">
        <f>_xlfn.IFS(N274="Rendah",'B.kriteria &amp; R.kecocokan'!$C$80,N274="Tinggi",'B.kriteria &amp; R.kecocokan'!$C$81)</f>
        <v>2.5</v>
      </c>
      <c r="P274" s="9" t="str">
        <f>'B.kriteria &amp; R.kecocokan'!$B$88</f>
        <v>Sedang</v>
      </c>
      <c r="Q274" s="8">
        <f>_xlfn.IFS(P274="Sedikit",'B.kriteria &amp; R.kecocokan'!$C$89,P274="Sedang",'B.kriteria &amp; R.kecocokan'!$C$88,P274="Sangat Sedikit",'B.kriteria &amp; R.kecocokan'!$C$90)</f>
        <v>5</v>
      </c>
      <c r="R274" s="8" t="str">
        <f>'B.kriteria &amp; R.kecocokan'!$B$49</f>
        <v>Rendah</v>
      </c>
      <c r="S274" s="8">
        <f>_xlfn.IFS(R274="Rendah",'B.kriteria &amp; R.kecocokan'!$C$49,R274="Sedang",'B.kriteria &amp; R.kecocokan'!$C$50,R274="Tinggi",'B.kriteria &amp; R.kecocokan'!$C$51)</f>
        <v>2.5</v>
      </c>
      <c r="T274" s="8" t="str">
        <f>'B.kriteria &amp; R.kecocokan'!$B$57</f>
        <v>Rendah</v>
      </c>
      <c r="U274" s="51">
        <f>_xlfn.IFS(T274="Rendah",'B.kriteria &amp; R.kecocokan'!$C$57,T274="Sedang",'B.kriteria &amp; R.kecocokan'!$C$58,T274="Tinggi",'B.kriteria &amp; R.kecocokan'!$C$59)</f>
        <v>2.5</v>
      </c>
      <c r="V274" s="51" t="str">
        <f>'B.kriteria &amp; R.kecocokan'!$B$65</f>
        <v>Rendah</v>
      </c>
      <c r="W274" s="9">
        <f>_xlfn.IFS(V274="Rendah",'B.kriteria &amp; R.kecocokan'!$C$65,V274="Sedang",'B.kriteria &amp; R.kecocokan'!$C$66,V274="Tinggi",'B.kriteria &amp; R.kecocokan'!$C$67)</f>
        <v>1</v>
      </c>
      <c r="X274" s="117">
        <f t="shared" si="23"/>
        <v>5.8139237420990346</v>
      </c>
      <c r="Y274" s="117">
        <f t="shared" si="24"/>
        <v>2.5088080131924846</v>
      </c>
      <c r="Z274" s="119">
        <f t="shared" si="25"/>
        <v>2.5088080131924846</v>
      </c>
      <c r="AA274" s="55" t="str">
        <f t="shared" si="26"/>
        <v>Tidak Layak</v>
      </c>
    </row>
    <row r="275" spans="1:27" x14ac:dyDescent="0.35">
      <c r="A275" s="5">
        <v>54</v>
      </c>
      <c r="B275" s="2" t="s">
        <v>111</v>
      </c>
      <c r="C275" s="11" t="s">
        <v>92</v>
      </c>
      <c r="D275" s="9" t="str">
        <f>'B.kriteria &amp; R.kecocokan'!$B$23</f>
        <v>Banyak</v>
      </c>
      <c r="E275" s="111">
        <f>_xlfn.IFS(D275="Banyak",'B.kriteria &amp; R.kecocokan'!$C$23,D275="Cukup",'B.kriteria &amp; R.kecocokan'!$C$24,D275="Sedikit",'B.kriteria &amp; R.kecocokan'!$C$25)</f>
        <v>2.5</v>
      </c>
      <c r="F275" s="9" t="str">
        <f>'B.kriteria &amp; R.kecocokan'!$B$34</f>
        <v>Tinggi</v>
      </c>
      <c r="G275" s="8">
        <f>_xlfn.IFS(F275="Tinggi",'B.kriteria &amp; R.kecocokan'!$C$34,F275="Sangat Tinggi",'B.kriteria &amp; R.kecocokan'!$C$35)</f>
        <v>7.5</v>
      </c>
      <c r="H275" s="8" t="str">
        <f>'B.kriteria &amp; R.kecocokan'!$B$41</f>
        <v>Rendah</v>
      </c>
      <c r="I275" s="8">
        <f>_xlfn.IFS(H275="Rendah",'B.kriteria &amp; R.kecocokan'!$C$41,H275="Sedang",'B.kriteria &amp; R.kecocokan'!$C$42,H275="Tinggi",'B.kriteria &amp; R.kecocokan'!$C$43)</f>
        <v>2.5</v>
      </c>
      <c r="J275" s="8" t="str">
        <f>'B.kriteria &amp; R.kecocokan'!$B$72</f>
        <v>Rendah</v>
      </c>
      <c r="K275" s="8">
        <f>_xlfn.IFS(J275="Rendah",'B.kriteria &amp; R.kecocokan'!$C$72,J275="Sedang",'B.kriteria &amp; R.kecocokan'!$C$73,J275="Tinggi",'B.kriteria &amp; R.kecocokan'!$C$74)</f>
        <v>2.5</v>
      </c>
      <c r="L275" s="8" t="str">
        <f>'B.kriteria &amp; R.kecocokan'!$B$95</f>
        <v>Rendah</v>
      </c>
      <c r="M275" s="8">
        <f>_xlfn.IFS(L275="Rendah",'B.kriteria &amp; R.kecocokan'!$C$95,L275="Tinggi",'B.kriteria &amp; R.kecocokan'!$C$96)</f>
        <v>2.5</v>
      </c>
      <c r="N275" s="8" t="str">
        <f>'B.kriteria &amp; R.kecocokan'!$B$80</f>
        <v>Rendah</v>
      </c>
      <c r="O275" s="8">
        <f>_xlfn.IFS(N275="Rendah",'B.kriteria &amp; R.kecocokan'!$C$80,N275="Tinggi",'B.kriteria &amp; R.kecocokan'!$C$81)</f>
        <v>2.5</v>
      </c>
      <c r="P275" s="8" t="str">
        <f>'B.kriteria &amp; R.kecocokan'!$B$89</f>
        <v>Sedikit</v>
      </c>
      <c r="Q275" s="8">
        <f>_xlfn.IFS(P275="Sedikit",'B.kriteria &amp; R.kecocokan'!$C$89,P275="Sedang",'B.kriteria &amp; R.kecocokan'!$C$88,P275="Sangat Sedikit",'B.kriteria &amp; R.kecocokan'!$C$90)</f>
        <v>2.5</v>
      </c>
      <c r="R275" s="8" t="str">
        <f>'B.kriteria &amp; R.kecocokan'!$B$49</f>
        <v>Rendah</v>
      </c>
      <c r="S275" s="8">
        <f>_xlfn.IFS(R275="Rendah",'B.kriteria &amp; R.kecocokan'!$C$49,R275="Sedang",'B.kriteria &amp; R.kecocokan'!$C$50,R275="Tinggi",'B.kriteria &amp; R.kecocokan'!$C$51)</f>
        <v>2.5</v>
      </c>
      <c r="T275" s="8" t="str">
        <f>'B.kriteria &amp; R.kecocokan'!$B$57</f>
        <v>Rendah</v>
      </c>
      <c r="U275" s="51">
        <f>_xlfn.IFS(T275="Rendah",'B.kriteria &amp; R.kecocokan'!$C$57,T275="Sedang",'B.kriteria &amp; R.kecocokan'!$C$58,T275="Tinggi",'B.kriteria &amp; R.kecocokan'!$C$59)</f>
        <v>2.5</v>
      </c>
      <c r="V275" s="51" t="str">
        <f>'B.kriteria &amp; R.kecocokan'!$B$65</f>
        <v>Rendah</v>
      </c>
      <c r="W275" s="9">
        <f>_xlfn.IFS(V275="Rendah",'B.kriteria &amp; R.kecocokan'!$C$65,V275="Sedang",'B.kriteria &amp; R.kecocokan'!$C$66,V275="Tinggi",'B.kriteria &amp; R.kecocokan'!$C$67)</f>
        <v>1</v>
      </c>
      <c r="X275" s="117">
        <f t="shared" si="23"/>
        <v>4.8021020246569126</v>
      </c>
      <c r="Y275" s="117">
        <f t="shared" si="24"/>
        <v>3.0024499799918298</v>
      </c>
      <c r="Z275" s="119">
        <f t="shared" si="25"/>
        <v>3.0024499799918298</v>
      </c>
      <c r="AA275" s="55" t="str">
        <f t="shared" si="26"/>
        <v>Tidak Layak</v>
      </c>
    </row>
    <row r="276" spans="1:27" x14ac:dyDescent="0.35">
      <c r="A276" s="5">
        <v>55</v>
      </c>
      <c r="B276" s="2" t="s">
        <v>113</v>
      </c>
      <c r="C276" s="11" t="s">
        <v>92</v>
      </c>
      <c r="D276" s="28" t="str">
        <f>'B.kriteria &amp; R.kecocokan'!$B$25</f>
        <v>Sedikit</v>
      </c>
      <c r="E276" s="111">
        <f>_xlfn.IFS(D276="Banyak",'B.kriteria &amp; R.kecocokan'!$C$23,D276="Cukup",'B.kriteria &amp; R.kecocokan'!$C$24,D276="Sedikit",'B.kriteria &amp; R.kecocokan'!$C$25)</f>
        <v>7.5</v>
      </c>
      <c r="F276" s="9" t="str">
        <f>'B.kriteria &amp; R.kecocokan'!$B$34</f>
        <v>Tinggi</v>
      </c>
      <c r="G276" s="8">
        <f>_xlfn.IFS(F276="Tinggi",'B.kriteria &amp; R.kecocokan'!$C$34,F276="Sangat Tinggi",'B.kriteria &amp; R.kecocokan'!$C$35)</f>
        <v>7.5</v>
      </c>
      <c r="H276" s="9" t="str">
        <f>'B.kriteria &amp; R.kecocokan'!$B$43</f>
        <v>Tinggi</v>
      </c>
      <c r="I276" s="8">
        <f>_xlfn.IFS(H276="Rendah",'B.kriteria &amp; R.kecocokan'!$C$41,H276="Sedang",'B.kriteria &amp; R.kecocokan'!$C$42,H276="Tinggi",'B.kriteria &amp; R.kecocokan'!$C$43)</f>
        <v>7.5</v>
      </c>
      <c r="J276" s="8" t="str">
        <f>'B.kriteria &amp; R.kecocokan'!$B$72</f>
        <v>Rendah</v>
      </c>
      <c r="K276" s="8">
        <f>_xlfn.IFS(J276="Rendah",'B.kriteria &amp; R.kecocokan'!$C$72,J276="Sedang",'B.kriteria &amp; R.kecocokan'!$C$73,J276="Tinggi",'B.kriteria &amp; R.kecocokan'!$C$74)</f>
        <v>2.5</v>
      </c>
      <c r="L276" s="8" t="str">
        <f>'B.kriteria &amp; R.kecocokan'!$B$95</f>
        <v>Rendah</v>
      </c>
      <c r="M276" s="8">
        <f>_xlfn.IFS(L276="Rendah",'B.kriteria &amp; R.kecocokan'!$C$95,L276="Tinggi",'B.kriteria &amp; R.kecocokan'!$C$96)</f>
        <v>2.5</v>
      </c>
      <c r="N276" s="8" t="str">
        <f>'B.kriteria &amp; R.kecocokan'!$B$80</f>
        <v>Rendah</v>
      </c>
      <c r="O276" s="8">
        <f>_xlfn.IFS(N276="Rendah",'B.kriteria &amp; R.kecocokan'!$C$80,N276="Tinggi",'B.kriteria &amp; R.kecocokan'!$C$81)</f>
        <v>2.5</v>
      </c>
      <c r="P276" s="8" t="str">
        <f>'B.kriteria &amp; R.kecocokan'!$B$89</f>
        <v>Sedikit</v>
      </c>
      <c r="Q276" s="8">
        <f>_xlfn.IFS(P276="Sedikit",'B.kriteria &amp; R.kecocokan'!$C$89,P276="Sedang",'B.kriteria &amp; R.kecocokan'!$C$88,P276="Sangat Sedikit",'B.kriteria &amp; R.kecocokan'!$C$90)</f>
        <v>2.5</v>
      </c>
      <c r="R276" s="8" t="str">
        <f>'B.kriteria &amp; R.kecocokan'!$B$49</f>
        <v>Rendah</v>
      </c>
      <c r="S276" s="8">
        <f>_xlfn.IFS(R276="Rendah",'B.kriteria &amp; R.kecocokan'!$C$49,R276="Sedang",'B.kriteria &amp; R.kecocokan'!$C$50,R276="Tinggi",'B.kriteria &amp; R.kecocokan'!$C$51)</f>
        <v>2.5</v>
      </c>
      <c r="T276" s="8" t="str">
        <f>'B.kriteria &amp; R.kecocokan'!$B$57</f>
        <v>Rendah</v>
      </c>
      <c r="U276" s="51">
        <f>_xlfn.IFS(T276="Rendah",'B.kriteria &amp; R.kecocokan'!$C$57,T276="Sedang",'B.kriteria &amp; R.kecocokan'!$C$58,T276="Tinggi",'B.kriteria &amp; R.kecocokan'!$C$59)</f>
        <v>2.5</v>
      </c>
      <c r="V276" s="51" t="str">
        <f>'B.kriteria &amp; R.kecocokan'!$B$65</f>
        <v>Rendah</v>
      </c>
      <c r="W276" s="9">
        <f>_xlfn.IFS(V276="Rendah",'B.kriteria &amp; R.kecocokan'!$C$65,V276="Sedang",'B.kriteria &amp; R.kecocokan'!$C$66,V276="Tinggi",'B.kriteria &amp; R.kecocokan'!$C$67)</f>
        <v>1</v>
      </c>
      <c r="X276" s="117">
        <f t="shared" si="23"/>
        <v>6.0162926354652164</v>
      </c>
      <c r="Y276" s="117">
        <f t="shared" si="24"/>
        <v>5.440858496273413</v>
      </c>
      <c r="Z276" s="119">
        <f t="shared" si="25"/>
        <v>5.440858496273413</v>
      </c>
      <c r="AA276" s="55" t="str">
        <f t="shared" si="26"/>
        <v>Tidak Layak</v>
      </c>
    </row>
    <row r="277" spans="1:27" x14ac:dyDescent="0.35">
      <c r="A277" s="1">
        <v>56</v>
      </c>
      <c r="B277" s="2" t="s">
        <v>114</v>
      </c>
      <c r="C277" s="11" t="s">
        <v>95</v>
      </c>
      <c r="D277" s="9" t="str">
        <f>'B.kriteria &amp; R.kecocokan'!$B$23</f>
        <v>Banyak</v>
      </c>
      <c r="E277" s="111">
        <f>_xlfn.IFS(D277="Banyak",'B.kriteria &amp; R.kecocokan'!$C$23,D277="Cukup",'B.kriteria &amp; R.kecocokan'!$C$24,D277="Sedikit",'B.kriteria &amp; R.kecocokan'!$C$25)</f>
        <v>2.5</v>
      </c>
      <c r="F277" s="9" t="str">
        <f>'B.kriteria &amp; R.kecocokan'!$B$34</f>
        <v>Tinggi</v>
      </c>
      <c r="G277" s="8">
        <f>_xlfn.IFS(F277="Tinggi",'B.kriteria &amp; R.kecocokan'!$C$34,F277="Sangat Tinggi",'B.kriteria &amp; R.kecocokan'!$C$35)</f>
        <v>7.5</v>
      </c>
      <c r="H277" s="8" t="str">
        <f>'B.kriteria &amp; R.kecocokan'!$B$41</f>
        <v>Rendah</v>
      </c>
      <c r="I277" s="8">
        <f>_xlfn.IFS(H277="Rendah",'B.kriteria &amp; R.kecocokan'!$C$41,H277="Sedang",'B.kriteria &amp; R.kecocokan'!$C$42,H277="Tinggi",'B.kriteria &amp; R.kecocokan'!$C$43)</f>
        <v>2.5</v>
      </c>
      <c r="J277" s="8" t="str">
        <f>'B.kriteria &amp; R.kecocokan'!$B$72</f>
        <v>Rendah</v>
      </c>
      <c r="K277" s="8">
        <f>_xlfn.IFS(J277="Rendah",'B.kriteria &amp; R.kecocokan'!$C$72,J277="Sedang",'B.kriteria &amp; R.kecocokan'!$C$73,J277="Tinggi",'B.kriteria &amp; R.kecocokan'!$C$74)</f>
        <v>2.5</v>
      </c>
      <c r="L277" s="8" t="str">
        <f>'B.kriteria &amp; R.kecocokan'!$B$95</f>
        <v>Rendah</v>
      </c>
      <c r="M277" s="8">
        <f>_xlfn.IFS(L277="Rendah",'B.kriteria &amp; R.kecocokan'!$C$95,L277="Tinggi",'B.kriteria &amp; R.kecocokan'!$C$96)</f>
        <v>2.5</v>
      </c>
      <c r="N277" s="9" t="str">
        <f>'B.kriteria &amp; R.kecocokan'!$B$81</f>
        <v>Tinggi</v>
      </c>
      <c r="O277" s="8">
        <f>_xlfn.IFS(N277="Rendah",'B.kriteria &amp; R.kecocokan'!$C$80,N277="Tinggi",'B.kriteria &amp; R.kecocokan'!$C$81)</f>
        <v>7.5</v>
      </c>
      <c r="P277" s="9" t="str">
        <f>'B.kriteria &amp; R.kecocokan'!$B$90</f>
        <v>Sangat Sedikit</v>
      </c>
      <c r="Q277" s="8">
        <f>_xlfn.IFS(P277="Sedikit",'B.kriteria &amp; R.kecocokan'!$C$89,P277="Sedang",'B.kriteria &amp; R.kecocokan'!$C$88,P277="Sangat Sedikit",'B.kriteria &amp; R.kecocokan'!$C$90)</f>
        <v>1</v>
      </c>
      <c r="R277" s="8" t="str">
        <f>'B.kriteria &amp; R.kecocokan'!$B$49</f>
        <v>Rendah</v>
      </c>
      <c r="S277" s="8">
        <f>_xlfn.IFS(R277="Rendah",'B.kriteria &amp; R.kecocokan'!$C$49,R277="Sedang",'B.kriteria &amp; R.kecocokan'!$C$50,R277="Tinggi",'B.kriteria &amp; R.kecocokan'!$C$51)</f>
        <v>2.5</v>
      </c>
      <c r="T277" s="8" t="str">
        <f>'B.kriteria &amp; R.kecocokan'!$B$57</f>
        <v>Rendah</v>
      </c>
      <c r="U277" s="51">
        <f>_xlfn.IFS(T277="Rendah",'B.kriteria &amp; R.kecocokan'!$C$57,T277="Sedang",'B.kriteria &amp; R.kecocokan'!$C$58,T277="Tinggi",'B.kriteria &amp; R.kecocokan'!$C$59)</f>
        <v>2.5</v>
      </c>
      <c r="V277" s="51" t="str">
        <f>'B.kriteria &amp; R.kecocokan'!$B$65</f>
        <v>Rendah</v>
      </c>
      <c r="W277" s="9">
        <f>_xlfn.IFS(V277="Rendah",'B.kriteria &amp; R.kecocokan'!$C$65,V277="Sedang",'B.kriteria &amp; R.kecocokan'!$C$66,V277="Tinggi",'B.kriteria &amp; R.kecocokan'!$C$67)</f>
        <v>1</v>
      </c>
      <c r="X277" s="117">
        <f t="shared" si="23"/>
        <v>3.9257965778257349</v>
      </c>
      <c r="Y277" s="117">
        <f t="shared" si="24"/>
        <v>6.4534532479541067</v>
      </c>
      <c r="Z277" s="119">
        <f t="shared" si="25"/>
        <v>3.9257965778257349</v>
      </c>
      <c r="AA277" s="55" t="str">
        <f t="shared" si="26"/>
        <v>Layak</v>
      </c>
    </row>
    <row r="278" spans="1:27" x14ac:dyDescent="0.35">
      <c r="A278" s="5">
        <v>57</v>
      </c>
      <c r="B278" s="2" t="s">
        <v>116</v>
      </c>
      <c r="C278" s="11" t="s">
        <v>92</v>
      </c>
      <c r="D278" s="9" t="str">
        <f>'B.kriteria &amp; R.kecocokan'!$B$23</f>
        <v>Banyak</v>
      </c>
      <c r="E278" s="111">
        <f>_xlfn.IFS(D278="Banyak",'B.kriteria &amp; R.kecocokan'!$C$23,D278="Cukup",'B.kriteria &amp; R.kecocokan'!$C$24,D278="Sedikit",'B.kriteria &amp; R.kecocokan'!$C$25)</f>
        <v>2.5</v>
      </c>
      <c r="F278" s="9" t="str">
        <f>'B.kriteria &amp; R.kecocokan'!$B$34</f>
        <v>Tinggi</v>
      </c>
      <c r="G278" s="8">
        <f>_xlfn.IFS(F278="Tinggi",'B.kriteria &amp; R.kecocokan'!$C$34,F278="Sangat Tinggi",'B.kriteria &amp; R.kecocokan'!$C$35)</f>
        <v>7.5</v>
      </c>
      <c r="H278" s="8" t="str">
        <f>'B.kriteria &amp; R.kecocokan'!$B$41</f>
        <v>Rendah</v>
      </c>
      <c r="I278" s="8">
        <f>_xlfn.IFS(H278="Rendah",'B.kriteria &amp; R.kecocokan'!$C$41,H278="Sedang",'B.kriteria &amp; R.kecocokan'!$C$42,H278="Tinggi",'B.kriteria &amp; R.kecocokan'!$C$43)</f>
        <v>2.5</v>
      </c>
      <c r="J278" s="8" t="str">
        <f>'B.kriteria &amp; R.kecocokan'!$B$72</f>
        <v>Rendah</v>
      </c>
      <c r="K278" s="8">
        <f>_xlfn.IFS(J278="Rendah",'B.kriteria &amp; R.kecocokan'!$C$72,J278="Sedang",'B.kriteria &amp; R.kecocokan'!$C$73,J278="Tinggi",'B.kriteria &amp; R.kecocokan'!$C$74)</f>
        <v>2.5</v>
      </c>
      <c r="L278" s="8" t="str">
        <f>'B.kriteria &amp; R.kecocokan'!$B$95</f>
        <v>Rendah</v>
      </c>
      <c r="M278" s="8">
        <f>_xlfn.IFS(L278="Rendah",'B.kriteria &amp; R.kecocokan'!$C$95,L278="Tinggi",'B.kriteria &amp; R.kecocokan'!$C$96)</f>
        <v>2.5</v>
      </c>
      <c r="N278" s="8" t="str">
        <f>'B.kriteria &amp; R.kecocokan'!$B$80</f>
        <v>Rendah</v>
      </c>
      <c r="O278" s="8">
        <f>_xlfn.IFS(N278="Rendah",'B.kriteria &amp; R.kecocokan'!$C$80,N278="Tinggi",'B.kriteria &amp; R.kecocokan'!$C$81)</f>
        <v>2.5</v>
      </c>
      <c r="P278" s="9" t="str">
        <f>'B.kriteria &amp; R.kecocokan'!$B$88</f>
        <v>Sedang</v>
      </c>
      <c r="Q278" s="8">
        <f>_xlfn.IFS(P278="Sedikit",'B.kriteria &amp; R.kecocokan'!$C$89,P278="Sedang",'B.kriteria &amp; R.kecocokan'!$C$88,P278="Sangat Sedikit",'B.kriteria &amp; R.kecocokan'!$C$90)</f>
        <v>5</v>
      </c>
      <c r="R278" s="8" t="str">
        <f>'B.kriteria &amp; R.kecocokan'!$B$49</f>
        <v>Rendah</v>
      </c>
      <c r="S278" s="8">
        <f>_xlfn.IFS(R278="Rendah",'B.kriteria &amp; R.kecocokan'!$C$49,R278="Sedang",'B.kriteria &amp; R.kecocokan'!$C$50,R278="Tinggi",'B.kriteria &amp; R.kecocokan'!$C$51)</f>
        <v>2.5</v>
      </c>
      <c r="T278" s="8" t="str">
        <f>'B.kriteria &amp; R.kecocokan'!$B$57</f>
        <v>Rendah</v>
      </c>
      <c r="U278" s="51">
        <f>_xlfn.IFS(T278="Rendah",'B.kriteria &amp; R.kecocokan'!$C$57,T278="Sedang",'B.kriteria &amp; R.kecocokan'!$C$58,T278="Tinggi",'B.kriteria &amp; R.kecocokan'!$C$59)</f>
        <v>2.5</v>
      </c>
      <c r="V278" s="51" t="str">
        <f>'B.kriteria &amp; R.kecocokan'!$B$65</f>
        <v>Rendah</v>
      </c>
      <c r="W278" s="9">
        <f>_xlfn.IFS(V278="Rendah",'B.kriteria &amp; R.kecocokan'!$C$65,V278="Sedang",'B.kriteria &amp; R.kecocokan'!$C$66,V278="Tinggi",'B.kriteria &amp; R.kecocokan'!$C$67)</f>
        <v>1</v>
      </c>
      <c r="X278" s="117">
        <f t="shared" si="23"/>
        <v>5.8139237420990346</v>
      </c>
      <c r="Y278" s="117">
        <f t="shared" si="24"/>
        <v>2.5088080131924846</v>
      </c>
      <c r="Z278" s="119">
        <f t="shared" si="25"/>
        <v>2.5088080131924846</v>
      </c>
      <c r="AA278" s="55" t="str">
        <f t="shared" si="26"/>
        <v>Tidak Layak</v>
      </c>
    </row>
    <row r="279" spans="1:27" x14ac:dyDescent="0.35">
      <c r="A279" s="5">
        <v>58</v>
      </c>
      <c r="B279" s="2" t="s">
        <v>230</v>
      </c>
      <c r="C279" s="11" t="s">
        <v>92</v>
      </c>
      <c r="D279" s="28" t="str">
        <f>'B.kriteria &amp; R.kecocokan'!$B$25</f>
        <v>Sedikit</v>
      </c>
      <c r="E279" s="111">
        <f>_xlfn.IFS(D279="Banyak",'B.kriteria &amp; R.kecocokan'!$C$23,D279="Cukup",'B.kriteria &amp; R.kecocokan'!$C$24,D279="Sedikit",'B.kriteria &amp; R.kecocokan'!$C$25)</f>
        <v>7.5</v>
      </c>
      <c r="F279" s="9" t="str">
        <f>'B.kriteria &amp; R.kecocokan'!$B$34</f>
        <v>Tinggi</v>
      </c>
      <c r="G279" s="8">
        <f>_xlfn.IFS(F279="Tinggi",'B.kriteria &amp; R.kecocokan'!$C$34,F279="Sangat Tinggi",'B.kriteria &amp; R.kecocokan'!$C$35)</f>
        <v>7.5</v>
      </c>
      <c r="H279" s="8" t="str">
        <f>'B.kriteria &amp; R.kecocokan'!$B$41</f>
        <v>Rendah</v>
      </c>
      <c r="I279" s="8">
        <f>_xlfn.IFS(H279="Rendah",'B.kriteria &amp; R.kecocokan'!$C$41,H279="Sedang",'B.kriteria &amp; R.kecocokan'!$C$42,H279="Tinggi",'B.kriteria &amp; R.kecocokan'!$C$43)</f>
        <v>2.5</v>
      </c>
      <c r="J279" s="8" t="str">
        <f>'B.kriteria &amp; R.kecocokan'!$B$72</f>
        <v>Rendah</v>
      </c>
      <c r="K279" s="8">
        <f>_xlfn.IFS(J279="Rendah",'B.kriteria &amp; R.kecocokan'!$C$72,J279="Sedang",'B.kriteria &amp; R.kecocokan'!$C$73,J279="Tinggi",'B.kriteria &amp; R.kecocokan'!$C$74)</f>
        <v>2.5</v>
      </c>
      <c r="L279" s="8" t="str">
        <f>'B.kriteria &amp; R.kecocokan'!$B$95</f>
        <v>Rendah</v>
      </c>
      <c r="M279" s="8">
        <f>_xlfn.IFS(L279="Rendah",'B.kriteria &amp; R.kecocokan'!$C$95,L279="Tinggi",'B.kriteria &amp; R.kecocokan'!$C$96)</f>
        <v>2.5</v>
      </c>
      <c r="N279" s="8" t="str">
        <f>'B.kriteria &amp; R.kecocokan'!$B$80</f>
        <v>Rendah</v>
      </c>
      <c r="O279" s="8">
        <f>_xlfn.IFS(N279="Rendah",'B.kriteria &amp; R.kecocokan'!$C$80,N279="Tinggi",'B.kriteria &amp; R.kecocokan'!$C$81)</f>
        <v>2.5</v>
      </c>
      <c r="P279" s="9" t="str">
        <f>'B.kriteria &amp; R.kecocokan'!$B$88</f>
        <v>Sedang</v>
      </c>
      <c r="Q279" s="8">
        <f>_xlfn.IFS(P279="Sedikit",'B.kriteria &amp; R.kecocokan'!$C$89,P279="Sedang",'B.kriteria &amp; R.kecocokan'!$C$88,P279="Sangat Sedikit",'B.kriteria &amp; R.kecocokan'!$C$90)</f>
        <v>5</v>
      </c>
      <c r="R279" s="8" t="str">
        <f>'B.kriteria &amp; R.kecocokan'!$B$49</f>
        <v>Rendah</v>
      </c>
      <c r="S279" s="8">
        <f>_xlfn.IFS(R279="Rendah",'B.kriteria &amp; R.kecocokan'!$C$49,R279="Sedang",'B.kriteria &amp; R.kecocokan'!$C$50,R279="Tinggi",'B.kriteria &amp; R.kecocokan'!$C$51)</f>
        <v>2.5</v>
      </c>
      <c r="T279" s="8" t="str">
        <f>'B.kriteria &amp; R.kecocokan'!$B$57</f>
        <v>Rendah</v>
      </c>
      <c r="U279" s="51">
        <f>_xlfn.IFS(T279="Rendah",'B.kriteria &amp; R.kecocokan'!$C$57,T279="Sedang",'B.kriteria &amp; R.kecocokan'!$C$58,T279="Tinggi",'B.kriteria &amp; R.kecocokan'!$C$59)</f>
        <v>2.5</v>
      </c>
      <c r="V279" s="51" t="str">
        <f>'B.kriteria &amp; R.kecocokan'!$B$65</f>
        <v>Rendah</v>
      </c>
      <c r="W279" s="9">
        <f>_xlfn.IFS(V279="Rendah",'B.kriteria &amp; R.kecocokan'!$C$65,V279="Sedang",'B.kriteria &amp; R.kecocokan'!$C$66,V279="Tinggi",'B.kriteria &amp; R.kecocokan'!$C$67)</f>
        <v>1</v>
      </c>
      <c r="X279" s="117">
        <f t="shared" si="23"/>
        <v>5.1161108896186995</v>
      </c>
      <c r="Y279" s="117">
        <f t="shared" si="24"/>
        <v>3.2719844670996188</v>
      </c>
      <c r="Z279" s="119">
        <f t="shared" si="25"/>
        <v>3.2719844670996188</v>
      </c>
      <c r="AA279" s="55" t="str">
        <f t="shared" si="26"/>
        <v>Tidak Layak</v>
      </c>
    </row>
    <row r="280" spans="1:27" x14ac:dyDescent="0.35">
      <c r="A280" s="1">
        <v>59</v>
      </c>
      <c r="B280" s="2" t="s">
        <v>118</v>
      </c>
      <c r="C280" s="11" t="s">
        <v>92</v>
      </c>
      <c r="D280" s="9" t="str">
        <f>'B.kriteria &amp; R.kecocokan'!$B$23</f>
        <v>Banyak</v>
      </c>
      <c r="E280" s="111">
        <f>_xlfn.IFS(D280="Banyak",'B.kriteria &amp; R.kecocokan'!$C$23,D280="Cukup",'B.kriteria &amp; R.kecocokan'!$C$24,D280="Sedikit",'B.kriteria &amp; R.kecocokan'!$C$25)</f>
        <v>2.5</v>
      </c>
      <c r="F280" s="9" t="str">
        <f>'B.kriteria &amp; R.kecocokan'!$B$34</f>
        <v>Tinggi</v>
      </c>
      <c r="G280" s="8">
        <f>_xlfn.IFS(F280="Tinggi",'B.kriteria &amp; R.kecocokan'!$C$34,F280="Sangat Tinggi",'B.kriteria &amp; R.kecocokan'!$C$35)</f>
        <v>7.5</v>
      </c>
      <c r="H280" s="8" t="str">
        <f>'B.kriteria &amp; R.kecocokan'!$B$41</f>
        <v>Rendah</v>
      </c>
      <c r="I280" s="8">
        <f>_xlfn.IFS(H280="Rendah",'B.kriteria &amp; R.kecocokan'!$C$41,H280="Sedang",'B.kriteria &amp; R.kecocokan'!$C$42,H280="Tinggi",'B.kriteria &amp; R.kecocokan'!$C$43)</f>
        <v>2.5</v>
      </c>
      <c r="J280" s="8" t="str">
        <f>'B.kriteria &amp; R.kecocokan'!$B$72</f>
        <v>Rendah</v>
      </c>
      <c r="K280" s="8">
        <f>_xlfn.IFS(J280="Rendah",'B.kriteria &amp; R.kecocokan'!$C$72,J280="Sedang",'B.kriteria &amp; R.kecocokan'!$C$73,J280="Tinggi",'B.kriteria &amp; R.kecocokan'!$C$74)</f>
        <v>2.5</v>
      </c>
      <c r="L280" s="8" t="str">
        <f>'B.kriteria &amp; R.kecocokan'!$B$95</f>
        <v>Rendah</v>
      </c>
      <c r="M280" s="8">
        <f>_xlfn.IFS(L280="Rendah",'B.kriteria &amp; R.kecocokan'!$C$95,L280="Tinggi",'B.kriteria &amp; R.kecocokan'!$C$96)</f>
        <v>2.5</v>
      </c>
      <c r="N280" s="8" t="str">
        <f>'B.kriteria &amp; R.kecocokan'!$B$80</f>
        <v>Rendah</v>
      </c>
      <c r="O280" s="8">
        <f>_xlfn.IFS(N280="Rendah",'B.kriteria &amp; R.kecocokan'!$C$80,N280="Tinggi",'B.kriteria &amp; R.kecocokan'!$C$81)</f>
        <v>2.5</v>
      </c>
      <c r="P280" s="9" t="str">
        <f>'B.kriteria &amp; R.kecocokan'!$B$90</f>
        <v>Sangat Sedikit</v>
      </c>
      <c r="Q280" s="8">
        <f>_xlfn.IFS(P280="Sedikit",'B.kriteria &amp; R.kecocokan'!$C$89,P280="Sedang",'B.kriteria &amp; R.kecocokan'!$C$88,P280="Sangat Sedikit",'B.kriteria &amp; R.kecocokan'!$C$90)</f>
        <v>1</v>
      </c>
      <c r="R280" s="8" t="str">
        <f>'B.kriteria &amp; R.kecocokan'!$B$49</f>
        <v>Rendah</v>
      </c>
      <c r="S280" s="8">
        <f>_xlfn.IFS(R280="Rendah",'B.kriteria &amp; R.kecocokan'!$C$49,R280="Sedang",'B.kriteria &amp; R.kecocokan'!$C$50,R280="Tinggi",'B.kriteria &amp; R.kecocokan'!$C$51)</f>
        <v>2.5</v>
      </c>
      <c r="T280" s="8" t="str">
        <f>'B.kriteria &amp; R.kecocokan'!$B$57</f>
        <v>Rendah</v>
      </c>
      <c r="U280" s="51">
        <f>_xlfn.IFS(T280="Rendah",'B.kriteria &amp; R.kecocokan'!$C$57,T280="Sedang",'B.kriteria &amp; R.kecocokan'!$C$58,T280="Tinggi",'B.kriteria &amp; R.kecocokan'!$C$59)</f>
        <v>2.5</v>
      </c>
      <c r="V280" s="51" t="str">
        <f>'B.kriteria &amp; R.kecocokan'!$B$65</f>
        <v>Rendah</v>
      </c>
      <c r="W280" s="9">
        <f>_xlfn.IFS(V280="Rendah",'B.kriteria &amp; R.kecocokan'!$C$65,V280="Sedang",'B.kriteria &amp; R.kecocokan'!$C$66,V280="Tinggi",'B.kriteria &amp; R.kecocokan'!$C$67)</f>
        <v>1</v>
      </c>
      <c r="X280" s="117">
        <f t="shared" si="23"/>
        <v>4.7555513456356175</v>
      </c>
      <c r="Y280" s="117">
        <f t="shared" si="24"/>
        <v>4.0800807373787853</v>
      </c>
      <c r="Z280" s="119">
        <f t="shared" si="25"/>
        <v>4.0800807373787853</v>
      </c>
      <c r="AA280" s="55" t="str">
        <f t="shared" si="26"/>
        <v>Tidak Layak</v>
      </c>
    </row>
    <row r="281" spans="1:27" x14ac:dyDescent="0.35">
      <c r="A281" s="5">
        <v>60</v>
      </c>
      <c r="B281" s="2" t="s">
        <v>203</v>
      </c>
      <c r="C281" s="11" t="s">
        <v>95</v>
      </c>
      <c r="D281" s="28" t="str">
        <f>'B.kriteria &amp; R.kecocokan'!$B$25</f>
        <v>Sedikit</v>
      </c>
      <c r="E281" s="111">
        <f>_xlfn.IFS(D281="Banyak",'B.kriteria &amp; R.kecocokan'!$C$23,D281="Cukup",'B.kriteria &amp; R.kecocokan'!$C$24,D281="Sedikit",'B.kriteria &amp; R.kecocokan'!$C$25)</f>
        <v>7.5</v>
      </c>
      <c r="F281" s="9" t="str">
        <f>'B.kriteria &amp; R.kecocokan'!$B$34</f>
        <v>Tinggi</v>
      </c>
      <c r="G281" s="8">
        <f>_xlfn.IFS(F281="Tinggi",'B.kriteria &amp; R.kecocokan'!$C$34,F281="Sangat Tinggi",'B.kriteria &amp; R.kecocokan'!$C$35)</f>
        <v>7.5</v>
      </c>
      <c r="H281" s="8" t="str">
        <f>'B.kriteria &amp; R.kecocokan'!$B$41</f>
        <v>Rendah</v>
      </c>
      <c r="I281" s="8">
        <f>_xlfn.IFS(H281="Rendah",'B.kriteria &amp; R.kecocokan'!$C$41,H281="Sedang",'B.kriteria &amp; R.kecocokan'!$C$42,H281="Tinggi",'B.kriteria &amp; R.kecocokan'!$C$43)</f>
        <v>2.5</v>
      </c>
      <c r="J281" s="8" t="str">
        <f>'B.kriteria &amp; R.kecocokan'!$B$72</f>
        <v>Rendah</v>
      </c>
      <c r="K281" s="8">
        <f>_xlfn.IFS(J281="Rendah",'B.kriteria &amp; R.kecocokan'!$C$72,J281="Sedang",'B.kriteria &amp; R.kecocokan'!$C$73,J281="Tinggi",'B.kriteria &amp; R.kecocokan'!$C$74)</f>
        <v>2.5</v>
      </c>
      <c r="L281" s="8" t="str">
        <f>'B.kriteria &amp; R.kecocokan'!$B$95</f>
        <v>Rendah</v>
      </c>
      <c r="M281" s="8">
        <f>_xlfn.IFS(L281="Rendah",'B.kriteria &amp; R.kecocokan'!$C$95,L281="Tinggi",'B.kriteria &amp; R.kecocokan'!$C$96)</f>
        <v>2.5</v>
      </c>
      <c r="N281" s="9" t="str">
        <f>'B.kriteria &amp; R.kecocokan'!$B$81</f>
        <v>Tinggi</v>
      </c>
      <c r="O281" s="8">
        <f>_xlfn.IFS(N281="Rendah",'B.kriteria &amp; R.kecocokan'!$C$80,N281="Tinggi",'B.kriteria &amp; R.kecocokan'!$C$81)</f>
        <v>7.5</v>
      </c>
      <c r="P281" s="9" t="str">
        <f>'B.kriteria &amp; R.kecocokan'!$B$90</f>
        <v>Sangat Sedikit</v>
      </c>
      <c r="Q281" s="8">
        <f>_xlfn.IFS(P281="Sedikit",'B.kriteria &amp; R.kecocokan'!$C$89,P281="Sedang",'B.kriteria &amp; R.kecocokan'!$C$88,P281="Sangat Sedikit",'B.kriteria &amp; R.kecocokan'!$C$90)</f>
        <v>1</v>
      </c>
      <c r="R281" s="8" t="str">
        <f>'B.kriteria &amp; R.kecocokan'!$B$49</f>
        <v>Rendah</v>
      </c>
      <c r="S281" s="8">
        <f>_xlfn.IFS(R281="Rendah",'B.kriteria &amp; R.kecocokan'!$C$49,R281="Sedang",'B.kriteria &amp; R.kecocokan'!$C$50,R281="Tinggi",'B.kriteria &amp; R.kecocokan'!$C$51)</f>
        <v>2.5</v>
      </c>
      <c r="T281" s="8" t="str">
        <f>'B.kriteria &amp; R.kecocokan'!$B$57</f>
        <v>Rendah</v>
      </c>
      <c r="U281" s="51">
        <f>_xlfn.IFS(T281="Rendah",'B.kriteria &amp; R.kecocokan'!$C$57,T281="Sedang",'B.kriteria &amp; R.kecocokan'!$C$58,T281="Tinggi",'B.kriteria &amp; R.kecocokan'!$C$59)</f>
        <v>2.5</v>
      </c>
      <c r="V281" s="51" t="str">
        <f>'B.kriteria &amp; R.kecocokan'!$B$65</f>
        <v>Rendah</v>
      </c>
      <c r="W281" s="9">
        <f>_xlfn.IFS(V281="Rendah",'B.kriteria &amp; R.kecocokan'!$C$65,V281="Sedang",'B.kriteria &amp; R.kecocokan'!$C$66,V281="Tinggi",'B.kriteria &amp; R.kecocokan'!$C$67)</f>
        <v>1</v>
      </c>
      <c r="X281" s="117">
        <f t="shared" si="23"/>
        <v>2.7901182997142717</v>
      </c>
      <c r="Y281" s="117">
        <f t="shared" si="24"/>
        <v>6.7866651257750865</v>
      </c>
      <c r="Z281" s="119">
        <f t="shared" si="25"/>
        <v>2.7901182997142717</v>
      </c>
      <c r="AA281" s="55" t="str">
        <f t="shared" si="26"/>
        <v>Layak</v>
      </c>
    </row>
    <row r="282" spans="1:27" x14ac:dyDescent="0.35">
      <c r="A282" s="5">
        <v>61</v>
      </c>
      <c r="B282" s="2" t="s">
        <v>123</v>
      </c>
      <c r="C282" s="11" t="s">
        <v>95</v>
      </c>
      <c r="D282" s="28" t="str">
        <f>'B.kriteria &amp; R.kecocokan'!$B$25</f>
        <v>Sedikit</v>
      </c>
      <c r="E282" s="111">
        <f>_xlfn.IFS(D282="Banyak",'B.kriteria &amp; R.kecocokan'!$C$23,D282="Cukup",'B.kriteria &amp; R.kecocokan'!$C$24,D282="Sedikit",'B.kriteria &amp; R.kecocokan'!$C$25)</f>
        <v>7.5</v>
      </c>
      <c r="F282" s="9" t="str">
        <f>'B.kriteria &amp; R.kecocokan'!$B$34</f>
        <v>Tinggi</v>
      </c>
      <c r="G282" s="8">
        <f>_xlfn.IFS(F282="Tinggi",'B.kriteria &amp; R.kecocokan'!$C$34,F282="Sangat Tinggi",'B.kriteria &amp; R.kecocokan'!$C$35)</f>
        <v>7.5</v>
      </c>
      <c r="H282" s="8" t="str">
        <f>'B.kriteria &amp; R.kecocokan'!$B$41</f>
        <v>Rendah</v>
      </c>
      <c r="I282" s="8">
        <f>_xlfn.IFS(H282="Rendah",'B.kriteria &amp; R.kecocokan'!$C$41,H282="Sedang",'B.kriteria &amp; R.kecocokan'!$C$42,H282="Tinggi",'B.kriteria &amp; R.kecocokan'!$C$43)</f>
        <v>2.5</v>
      </c>
      <c r="J282" s="8" t="str">
        <f>'B.kriteria &amp; R.kecocokan'!$B$72</f>
        <v>Rendah</v>
      </c>
      <c r="K282" s="8">
        <f>_xlfn.IFS(J282="Rendah",'B.kriteria &amp; R.kecocokan'!$C$72,J282="Sedang",'B.kriteria &amp; R.kecocokan'!$C$73,J282="Tinggi",'B.kriteria &amp; R.kecocokan'!$C$74)</f>
        <v>2.5</v>
      </c>
      <c r="L282" s="8" t="str">
        <f>'B.kriteria &amp; R.kecocokan'!$B$95</f>
        <v>Rendah</v>
      </c>
      <c r="M282" s="8">
        <f>_xlfn.IFS(L282="Rendah",'B.kriteria &amp; R.kecocokan'!$C$95,L282="Tinggi",'B.kriteria &amp; R.kecocokan'!$C$96)</f>
        <v>2.5</v>
      </c>
      <c r="N282" s="8" t="str">
        <f>'B.kriteria &amp; R.kecocokan'!$B$80</f>
        <v>Rendah</v>
      </c>
      <c r="O282" s="8">
        <f>_xlfn.IFS(N282="Rendah",'B.kriteria &amp; R.kecocokan'!$C$80,N282="Tinggi",'B.kriteria &amp; R.kecocokan'!$C$81)</f>
        <v>2.5</v>
      </c>
      <c r="P282" s="8" t="str">
        <f>'B.kriteria &amp; R.kecocokan'!$B$89</f>
        <v>Sedikit</v>
      </c>
      <c r="Q282" s="8">
        <f>_xlfn.IFS(P282="Sedikit",'B.kriteria &amp; R.kecocokan'!$C$89,P282="Sedang",'B.kriteria &amp; R.kecocokan'!$C$88,P282="Sangat Sedikit",'B.kriteria &amp; R.kecocokan'!$C$90)</f>
        <v>2.5</v>
      </c>
      <c r="R282" s="8" t="str">
        <f>'B.kriteria &amp; R.kecocokan'!$B$49</f>
        <v>Rendah</v>
      </c>
      <c r="S282" s="8">
        <f>_xlfn.IFS(R282="Rendah",'B.kriteria &amp; R.kecocokan'!$C$49,R282="Sedang",'B.kriteria &amp; R.kecocokan'!$C$50,R282="Tinggi",'B.kriteria &amp; R.kecocokan'!$C$51)</f>
        <v>2.5</v>
      </c>
      <c r="T282" s="8" t="str">
        <f>'B.kriteria &amp; R.kecocokan'!$B$57</f>
        <v>Rendah</v>
      </c>
      <c r="U282" s="51">
        <f>_xlfn.IFS(T282="Rendah",'B.kriteria &amp; R.kecocokan'!$C$57,T282="Sedang",'B.kriteria &amp; R.kecocokan'!$C$58,T282="Tinggi",'B.kriteria &amp; R.kecocokan'!$C$59)</f>
        <v>2.5</v>
      </c>
      <c r="V282" s="51" t="str">
        <f>'B.kriteria &amp; R.kecocokan'!$B$65</f>
        <v>Rendah</v>
      </c>
      <c r="W282" s="9">
        <f>_xlfn.IFS(V282="Rendah",'B.kriteria &amp; R.kecocokan'!$C$65,V282="Sedang",'B.kriteria &amp; R.kecocokan'!$C$66,V282="Tinggi",'B.kriteria &amp; R.kecocokan'!$C$67)</f>
        <v>1</v>
      </c>
      <c r="X282" s="117">
        <f t="shared" si="23"/>
        <v>3.9284940131233781</v>
      </c>
      <c r="Y282" s="117">
        <f t="shared" si="24"/>
        <v>3.6642148665485346</v>
      </c>
      <c r="Z282" s="119">
        <f t="shared" si="25"/>
        <v>3.6642148665485346</v>
      </c>
      <c r="AA282" s="55" t="str">
        <f t="shared" si="26"/>
        <v>Tidak Layak</v>
      </c>
    </row>
    <row r="283" spans="1:27" x14ac:dyDescent="0.35">
      <c r="A283" s="1">
        <v>62</v>
      </c>
      <c r="B283" s="2" t="s">
        <v>233</v>
      </c>
      <c r="C283" s="11" t="s">
        <v>95</v>
      </c>
      <c r="D283" s="28" t="str">
        <f>'B.kriteria &amp; R.kecocokan'!$B$25</f>
        <v>Sedikit</v>
      </c>
      <c r="E283" s="111">
        <f>_xlfn.IFS(D283="Banyak",'B.kriteria &amp; R.kecocokan'!$C$23,D283="Cukup",'B.kriteria &amp; R.kecocokan'!$C$24,D283="Sedikit",'B.kriteria &amp; R.kecocokan'!$C$25)</f>
        <v>7.5</v>
      </c>
      <c r="F283" s="9" t="str">
        <f>'B.kriteria &amp; R.kecocokan'!$B$34</f>
        <v>Tinggi</v>
      </c>
      <c r="G283" s="8">
        <f>_xlfn.IFS(F283="Tinggi",'B.kriteria &amp; R.kecocokan'!$C$34,F283="Sangat Tinggi",'B.kriteria &amp; R.kecocokan'!$C$35)</f>
        <v>7.5</v>
      </c>
      <c r="H283" s="8" t="str">
        <f>'B.kriteria &amp; R.kecocokan'!$B$41</f>
        <v>Rendah</v>
      </c>
      <c r="I283" s="8">
        <f>_xlfn.IFS(H283="Rendah",'B.kriteria &amp; R.kecocokan'!$C$41,H283="Sedang",'B.kriteria &amp; R.kecocokan'!$C$42,H283="Tinggi",'B.kriteria &amp; R.kecocokan'!$C$43)</f>
        <v>2.5</v>
      </c>
      <c r="J283" s="8" t="str">
        <f>'B.kriteria &amp; R.kecocokan'!$B$72</f>
        <v>Rendah</v>
      </c>
      <c r="K283" s="8">
        <f>_xlfn.IFS(J283="Rendah",'B.kriteria &amp; R.kecocokan'!$C$72,J283="Sedang",'B.kriteria &amp; R.kecocokan'!$C$73,J283="Tinggi",'B.kriteria &amp; R.kecocokan'!$C$74)</f>
        <v>2.5</v>
      </c>
      <c r="L283" s="8" t="str">
        <f>'B.kriteria &amp; R.kecocokan'!$B$95</f>
        <v>Rendah</v>
      </c>
      <c r="M283" s="8">
        <f>_xlfn.IFS(L283="Rendah",'B.kriteria &amp; R.kecocokan'!$C$95,L283="Tinggi",'B.kriteria &amp; R.kecocokan'!$C$96)</f>
        <v>2.5</v>
      </c>
      <c r="N283" s="9" t="str">
        <f>'B.kriteria &amp; R.kecocokan'!$B$81</f>
        <v>Tinggi</v>
      </c>
      <c r="O283" s="8">
        <f>_xlfn.IFS(N283="Rendah",'B.kriteria &amp; R.kecocokan'!$C$80,N283="Tinggi",'B.kriteria &amp; R.kecocokan'!$C$81)</f>
        <v>7.5</v>
      </c>
      <c r="P283" s="9" t="str">
        <f>'B.kriteria &amp; R.kecocokan'!$B$90</f>
        <v>Sangat Sedikit</v>
      </c>
      <c r="Q283" s="8">
        <f>_xlfn.IFS(P283="Sedikit",'B.kriteria &amp; R.kecocokan'!$C$89,P283="Sedang",'B.kriteria &amp; R.kecocokan'!$C$88,P283="Sangat Sedikit",'B.kriteria &amp; R.kecocokan'!$C$90)</f>
        <v>1</v>
      </c>
      <c r="R283" s="8" t="str">
        <f>'B.kriteria &amp; R.kecocokan'!$B$49</f>
        <v>Rendah</v>
      </c>
      <c r="S283" s="8">
        <f>_xlfn.IFS(R283="Rendah",'B.kriteria &amp; R.kecocokan'!$C$49,R283="Sedang",'B.kriteria &amp; R.kecocokan'!$C$50,R283="Tinggi",'B.kriteria &amp; R.kecocokan'!$C$51)</f>
        <v>2.5</v>
      </c>
      <c r="T283" s="8" t="str">
        <f>'B.kriteria &amp; R.kecocokan'!$B$57</f>
        <v>Rendah</v>
      </c>
      <c r="U283" s="51">
        <f>_xlfn.IFS(T283="Rendah",'B.kriteria &amp; R.kecocokan'!$C$57,T283="Sedang",'B.kriteria &amp; R.kecocokan'!$C$58,T283="Tinggi",'B.kriteria &amp; R.kecocokan'!$C$59)</f>
        <v>2.5</v>
      </c>
      <c r="V283" s="51" t="str">
        <f>'B.kriteria &amp; R.kecocokan'!$B$65</f>
        <v>Rendah</v>
      </c>
      <c r="W283" s="9">
        <f>_xlfn.IFS(V283="Rendah",'B.kriteria &amp; R.kecocokan'!$C$65,V283="Sedang",'B.kriteria &amp; R.kecocokan'!$C$66,V283="Tinggi",'B.kriteria &amp; R.kecocokan'!$C$67)</f>
        <v>1</v>
      </c>
      <c r="X283" s="117">
        <f t="shared" si="23"/>
        <v>2.7901182997142717</v>
      </c>
      <c r="Y283" s="117">
        <f t="shared" si="24"/>
        <v>6.7866651257750865</v>
      </c>
      <c r="Z283" s="119">
        <f t="shared" si="25"/>
        <v>2.7901182997142717</v>
      </c>
      <c r="AA283" s="55" t="str">
        <f t="shared" si="26"/>
        <v>Layak</v>
      </c>
    </row>
    <row r="284" spans="1:27" x14ac:dyDescent="0.35">
      <c r="A284" s="5">
        <v>63</v>
      </c>
      <c r="B284" s="2" t="s">
        <v>211</v>
      </c>
      <c r="C284" s="11" t="s">
        <v>95</v>
      </c>
      <c r="D284" s="9" t="str">
        <f>'B.kriteria &amp; R.kecocokan'!$B$23</f>
        <v>Banyak</v>
      </c>
      <c r="E284" s="111">
        <f>_xlfn.IFS(D284="Banyak",'B.kriteria &amp; R.kecocokan'!$C$23,D284="Cukup",'B.kriteria &amp; R.kecocokan'!$C$24,D284="Sedikit",'B.kriteria &amp; R.kecocokan'!$C$25)</f>
        <v>2.5</v>
      </c>
      <c r="F284" s="9" t="str">
        <f>'B.kriteria &amp; R.kecocokan'!$B$34</f>
        <v>Tinggi</v>
      </c>
      <c r="G284" s="8">
        <f>_xlfn.IFS(F284="Tinggi",'B.kriteria &amp; R.kecocokan'!$C$34,F284="Sangat Tinggi",'B.kriteria &amp; R.kecocokan'!$C$35)</f>
        <v>7.5</v>
      </c>
      <c r="H284" s="8" t="str">
        <f>'B.kriteria &amp; R.kecocokan'!$B$41</f>
        <v>Rendah</v>
      </c>
      <c r="I284" s="8">
        <f>_xlfn.IFS(H284="Rendah",'B.kriteria &amp; R.kecocokan'!$C$41,H284="Sedang",'B.kriteria &amp; R.kecocokan'!$C$42,H284="Tinggi",'B.kriteria &amp; R.kecocokan'!$C$43)</f>
        <v>2.5</v>
      </c>
      <c r="J284" s="8" t="str">
        <f>'B.kriteria &amp; R.kecocokan'!$B$72</f>
        <v>Rendah</v>
      </c>
      <c r="K284" s="8">
        <f>_xlfn.IFS(J284="Rendah",'B.kriteria &amp; R.kecocokan'!$C$72,J284="Sedang",'B.kriteria &amp; R.kecocokan'!$C$73,J284="Tinggi",'B.kriteria &amp; R.kecocokan'!$C$74)</f>
        <v>2.5</v>
      </c>
      <c r="L284" s="8" t="str">
        <f>'B.kriteria &amp; R.kecocokan'!$B$95</f>
        <v>Rendah</v>
      </c>
      <c r="M284" s="8">
        <f>_xlfn.IFS(L284="Rendah",'B.kriteria &amp; R.kecocokan'!$C$95,L284="Tinggi",'B.kriteria &amp; R.kecocokan'!$C$96)</f>
        <v>2.5</v>
      </c>
      <c r="N284" s="9" t="str">
        <f>'B.kriteria &amp; R.kecocokan'!$B$81</f>
        <v>Tinggi</v>
      </c>
      <c r="O284" s="8">
        <f>_xlfn.IFS(N284="Rendah",'B.kriteria &amp; R.kecocokan'!$C$80,N284="Tinggi",'B.kriteria &amp; R.kecocokan'!$C$81)</f>
        <v>7.5</v>
      </c>
      <c r="P284" s="9" t="str">
        <f>'B.kriteria &amp; R.kecocokan'!$B$90</f>
        <v>Sangat Sedikit</v>
      </c>
      <c r="Q284" s="8">
        <f>_xlfn.IFS(P284="Sedikit",'B.kriteria &amp; R.kecocokan'!$C$89,P284="Sedang",'B.kriteria &amp; R.kecocokan'!$C$88,P284="Sangat Sedikit",'B.kriteria &amp; R.kecocokan'!$C$90)</f>
        <v>1</v>
      </c>
      <c r="R284" s="8" t="str">
        <f>'B.kriteria &amp; R.kecocokan'!$B$49</f>
        <v>Rendah</v>
      </c>
      <c r="S284" s="8">
        <f>_xlfn.IFS(R284="Rendah",'B.kriteria &amp; R.kecocokan'!$C$49,R284="Sedang",'B.kriteria &amp; R.kecocokan'!$C$50,R284="Tinggi",'B.kriteria &amp; R.kecocokan'!$C$51)</f>
        <v>2.5</v>
      </c>
      <c r="T284" s="8" t="str">
        <f>'B.kriteria &amp; R.kecocokan'!$B$57</f>
        <v>Rendah</v>
      </c>
      <c r="U284" s="51">
        <f>_xlfn.IFS(T284="Rendah",'B.kriteria &amp; R.kecocokan'!$C$57,T284="Sedang",'B.kriteria &amp; R.kecocokan'!$C$58,T284="Tinggi",'B.kriteria &amp; R.kecocokan'!$C$59)</f>
        <v>2.5</v>
      </c>
      <c r="V284" s="51" t="str">
        <f>'B.kriteria &amp; R.kecocokan'!$B$65</f>
        <v>Rendah</v>
      </c>
      <c r="W284" s="9">
        <f>_xlfn.IFS(V284="Rendah",'B.kriteria &amp; R.kecocokan'!$C$65,V284="Sedang",'B.kriteria &amp; R.kecocokan'!$C$66,V284="Tinggi",'B.kriteria &amp; R.kecocokan'!$C$67)</f>
        <v>1</v>
      </c>
      <c r="X284" s="117">
        <f t="shared" si="23"/>
        <v>3.9257965778257349</v>
      </c>
      <c r="Y284" s="117">
        <f t="shared" si="24"/>
        <v>6.4534532479541067</v>
      </c>
      <c r="Z284" s="119">
        <f t="shared" si="25"/>
        <v>3.9257965778257349</v>
      </c>
      <c r="AA284" s="55" t="str">
        <f t="shared" si="26"/>
        <v>Layak</v>
      </c>
    </row>
    <row r="285" spans="1:27" x14ac:dyDescent="0.35">
      <c r="A285" s="5">
        <v>64</v>
      </c>
      <c r="B285" s="2" t="s">
        <v>207</v>
      </c>
      <c r="C285" s="11" t="s">
        <v>235</v>
      </c>
      <c r="D285" s="28" t="str">
        <f>'B.kriteria &amp; R.kecocokan'!$B$25</f>
        <v>Sedikit</v>
      </c>
      <c r="E285" s="111">
        <f>_xlfn.IFS(D285="Banyak",'B.kriteria &amp; R.kecocokan'!$C$23,D285="Cukup",'B.kriteria &amp; R.kecocokan'!$C$24,D285="Sedikit",'B.kriteria &amp; R.kecocokan'!$C$25)</f>
        <v>7.5</v>
      </c>
      <c r="F285" s="9" t="str">
        <f>'B.kriteria &amp; R.kecocokan'!$B$34</f>
        <v>Tinggi</v>
      </c>
      <c r="G285" s="8">
        <f>_xlfn.IFS(F285="Tinggi",'B.kriteria &amp; R.kecocokan'!$C$34,F285="Sangat Tinggi",'B.kriteria &amp; R.kecocokan'!$C$35)</f>
        <v>7.5</v>
      </c>
      <c r="H285" s="8" t="str">
        <f>'B.kriteria &amp; R.kecocokan'!$B$41</f>
        <v>Rendah</v>
      </c>
      <c r="I285" s="8">
        <f>_xlfn.IFS(H285="Rendah",'B.kriteria &amp; R.kecocokan'!$C$41,H285="Sedang",'B.kriteria &amp; R.kecocokan'!$C$42,H285="Tinggi",'B.kriteria &amp; R.kecocokan'!$C$43)</f>
        <v>2.5</v>
      </c>
      <c r="J285" s="8" t="str">
        <f>'B.kriteria &amp; R.kecocokan'!$B$72</f>
        <v>Rendah</v>
      </c>
      <c r="K285" s="8">
        <f>_xlfn.IFS(J285="Rendah",'B.kriteria &amp; R.kecocokan'!$C$72,J285="Sedang",'B.kriteria &amp; R.kecocokan'!$C$73,J285="Tinggi",'B.kriteria &amp; R.kecocokan'!$C$74)</f>
        <v>2.5</v>
      </c>
      <c r="L285" s="8" t="str">
        <f>'B.kriteria &amp; R.kecocokan'!$B$95</f>
        <v>Rendah</v>
      </c>
      <c r="M285" s="8">
        <f>_xlfn.IFS(L285="Rendah",'B.kriteria &amp; R.kecocokan'!$C$95,L285="Tinggi",'B.kriteria &amp; R.kecocokan'!$C$96)</f>
        <v>2.5</v>
      </c>
      <c r="N285" s="9" t="str">
        <f>'B.kriteria &amp; R.kecocokan'!$B$81</f>
        <v>Tinggi</v>
      </c>
      <c r="O285" s="8">
        <f>_xlfn.IFS(N285="Rendah",'B.kriteria &amp; R.kecocokan'!$C$80,N285="Tinggi",'B.kriteria &amp; R.kecocokan'!$C$81)</f>
        <v>7.5</v>
      </c>
      <c r="P285" s="9" t="str">
        <f>'B.kriteria &amp; R.kecocokan'!$B$90</f>
        <v>Sangat Sedikit</v>
      </c>
      <c r="Q285" s="8">
        <f>_xlfn.IFS(P285="Sedikit",'B.kriteria &amp; R.kecocokan'!$C$89,P285="Sedang",'B.kriteria &amp; R.kecocokan'!$C$88,P285="Sangat Sedikit",'B.kriteria &amp; R.kecocokan'!$C$90)</f>
        <v>1</v>
      </c>
      <c r="R285" s="8" t="str">
        <f>'B.kriteria &amp; R.kecocokan'!$B$49</f>
        <v>Rendah</v>
      </c>
      <c r="S285" s="8">
        <f>_xlfn.IFS(R285="Rendah",'B.kriteria &amp; R.kecocokan'!$C$49,R285="Sedang",'B.kriteria &amp; R.kecocokan'!$C$50,R285="Tinggi",'B.kriteria &amp; R.kecocokan'!$C$51)</f>
        <v>2.5</v>
      </c>
      <c r="T285" s="8" t="str">
        <f>'B.kriteria &amp; R.kecocokan'!$B$57</f>
        <v>Rendah</v>
      </c>
      <c r="U285" s="51">
        <f>_xlfn.IFS(T285="Rendah",'B.kriteria &amp; R.kecocokan'!$C$57,T285="Sedang",'B.kriteria &amp; R.kecocokan'!$C$58,T285="Tinggi",'B.kriteria &amp; R.kecocokan'!$C$59)</f>
        <v>2.5</v>
      </c>
      <c r="V285" s="51" t="str">
        <f>'B.kriteria &amp; R.kecocokan'!$B$65</f>
        <v>Rendah</v>
      </c>
      <c r="W285" s="9">
        <f>_xlfn.IFS(V285="Rendah",'B.kriteria &amp; R.kecocokan'!$C$65,V285="Sedang",'B.kriteria &amp; R.kecocokan'!$C$66,V285="Tinggi",'B.kriteria &amp; R.kecocokan'!$C$67)</f>
        <v>1</v>
      </c>
      <c r="X285" s="117">
        <f t="shared" si="23"/>
        <v>2.7901182997142717</v>
      </c>
      <c r="Y285" s="117">
        <f t="shared" si="24"/>
        <v>6.7866651257750865</v>
      </c>
      <c r="Z285" s="119">
        <f t="shared" si="25"/>
        <v>2.7901182997142717</v>
      </c>
      <c r="AA285" s="55" t="str">
        <f t="shared" si="26"/>
        <v>Layak</v>
      </c>
    </row>
    <row r="286" spans="1:27" x14ac:dyDescent="0.35">
      <c r="A286" s="1">
        <v>65</v>
      </c>
      <c r="B286" s="2" t="s">
        <v>209</v>
      </c>
      <c r="C286" s="11" t="s">
        <v>95</v>
      </c>
      <c r="D286" s="9" t="str">
        <f>'B.kriteria &amp; R.kecocokan'!$B$23</f>
        <v>Banyak</v>
      </c>
      <c r="E286" s="111">
        <f>_xlfn.IFS(D286="Banyak",'B.kriteria &amp; R.kecocokan'!$C$23,D286="Cukup",'B.kriteria &amp; R.kecocokan'!$C$24,D286="Sedikit",'B.kriteria &amp; R.kecocokan'!$C$25)</f>
        <v>2.5</v>
      </c>
      <c r="F286" s="9" t="str">
        <f>'B.kriteria &amp; R.kecocokan'!$B$34</f>
        <v>Tinggi</v>
      </c>
      <c r="G286" s="8">
        <f>_xlfn.IFS(F286="Tinggi",'B.kriteria &amp; R.kecocokan'!$C$34,F286="Sangat Tinggi",'B.kriteria &amp; R.kecocokan'!$C$35)</f>
        <v>7.5</v>
      </c>
      <c r="H286" s="8" t="str">
        <f>'B.kriteria &amp; R.kecocokan'!$B$41</f>
        <v>Rendah</v>
      </c>
      <c r="I286" s="8">
        <f>_xlfn.IFS(H286="Rendah",'B.kriteria &amp; R.kecocokan'!$C$41,H286="Sedang",'B.kriteria &amp; R.kecocokan'!$C$42,H286="Tinggi",'B.kriteria &amp; R.kecocokan'!$C$43)</f>
        <v>2.5</v>
      </c>
      <c r="J286" s="8" t="str">
        <f>'B.kriteria &amp; R.kecocokan'!$B$72</f>
        <v>Rendah</v>
      </c>
      <c r="K286" s="8">
        <f>_xlfn.IFS(J286="Rendah",'B.kriteria &amp; R.kecocokan'!$C$72,J286="Sedang",'B.kriteria &amp; R.kecocokan'!$C$73,J286="Tinggi",'B.kriteria &amp; R.kecocokan'!$C$74)</f>
        <v>2.5</v>
      </c>
      <c r="L286" s="8" t="str">
        <f>'B.kriteria &amp; R.kecocokan'!$B$95</f>
        <v>Rendah</v>
      </c>
      <c r="M286" s="8">
        <f>_xlfn.IFS(L286="Rendah",'B.kriteria &amp; R.kecocokan'!$C$95,L286="Tinggi",'B.kriteria &amp; R.kecocokan'!$C$96)</f>
        <v>2.5</v>
      </c>
      <c r="N286" s="8" t="str">
        <f>'B.kriteria &amp; R.kecocokan'!$B$80</f>
        <v>Rendah</v>
      </c>
      <c r="O286" s="8">
        <f>_xlfn.IFS(N286="Rendah",'B.kriteria &amp; R.kecocokan'!$C$80,N286="Tinggi",'B.kriteria &amp; R.kecocokan'!$C$81)</f>
        <v>2.5</v>
      </c>
      <c r="P286" s="8" t="str">
        <f>'B.kriteria &amp; R.kecocokan'!$B$89</f>
        <v>Sedikit</v>
      </c>
      <c r="Q286" s="8">
        <f>_xlfn.IFS(P286="Sedikit",'B.kriteria &amp; R.kecocokan'!$C$89,P286="Sedang",'B.kriteria &amp; R.kecocokan'!$C$88,P286="Sangat Sedikit",'B.kriteria &amp; R.kecocokan'!$C$90)</f>
        <v>2.5</v>
      </c>
      <c r="R286" s="8" t="str">
        <f>'B.kriteria &amp; R.kecocokan'!$B$49</f>
        <v>Rendah</v>
      </c>
      <c r="S286" s="8">
        <f>_xlfn.IFS(R286="Rendah",'B.kriteria &amp; R.kecocokan'!$C$49,R286="Sedang",'B.kriteria &amp; R.kecocokan'!$C$50,R286="Tinggi",'B.kriteria &amp; R.kecocokan'!$C$51)</f>
        <v>2.5</v>
      </c>
      <c r="T286" s="8" t="str">
        <f>'B.kriteria &amp; R.kecocokan'!$B$57</f>
        <v>Rendah</v>
      </c>
      <c r="U286" s="51">
        <f>_xlfn.IFS(T286="Rendah",'B.kriteria &amp; R.kecocokan'!$C$57,T286="Sedang",'B.kriteria &amp; R.kecocokan'!$C$58,T286="Tinggi",'B.kriteria &amp; R.kecocokan'!$C$59)</f>
        <v>2.5</v>
      </c>
      <c r="V286" s="51" t="str">
        <f>'B.kriteria &amp; R.kecocokan'!$B$65</f>
        <v>Rendah</v>
      </c>
      <c r="W286" s="9">
        <f>_xlfn.IFS(V286="Rendah",'B.kriteria &amp; R.kecocokan'!$C$65,V286="Sedang",'B.kriteria &amp; R.kecocokan'!$C$66,V286="Tinggi",'B.kriteria &amp; R.kecocokan'!$C$67)</f>
        <v>1</v>
      </c>
      <c r="X286" s="117">
        <f t="shared" si="23"/>
        <v>4.8021020246569126</v>
      </c>
      <c r="Y286" s="117">
        <f t="shared" si="24"/>
        <v>3.0024499799918298</v>
      </c>
      <c r="Z286" s="119">
        <f t="shared" si="25"/>
        <v>3.0024499799918298</v>
      </c>
      <c r="AA286" s="55" t="str">
        <f t="shared" si="26"/>
        <v>Tidak Layak</v>
      </c>
    </row>
    <row r="287" spans="1:27" x14ac:dyDescent="0.35">
      <c r="A287" s="5">
        <v>66</v>
      </c>
      <c r="B287" s="2" t="s">
        <v>213</v>
      </c>
      <c r="C287" s="11" t="s">
        <v>95</v>
      </c>
      <c r="D287" s="9" t="str">
        <f>'B.kriteria &amp; R.kecocokan'!$B$23</f>
        <v>Banyak</v>
      </c>
      <c r="E287" s="111">
        <f>_xlfn.IFS(D287="Banyak",'B.kriteria &amp; R.kecocokan'!$C$23,D287="Cukup",'B.kriteria &amp; R.kecocokan'!$C$24,D287="Sedikit",'B.kriteria &amp; R.kecocokan'!$C$25)</f>
        <v>2.5</v>
      </c>
      <c r="F287" s="9" t="str">
        <f>'B.kriteria &amp; R.kecocokan'!$B$34</f>
        <v>Tinggi</v>
      </c>
      <c r="G287" s="8">
        <f>_xlfn.IFS(F287="Tinggi",'B.kriteria &amp; R.kecocokan'!$C$34,F287="Sangat Tinggi",'B.kriteria &amp; R.kecocokan'!$C$35)</f>
        <v>7.5</v>
      </c>
      <c r="H287" s="8" t="str">
        <f>'B.kriteria &amp; R.kecocokan'!$B$41</f>
        <v>Rendah</v>
      </c>
      <c r="I287" s="8">
        <f>_xlfn.IFS(H287="Rendah",'B.kriteria &amp; R.kecocokan'!$C$41,H287="Sedang",'B.kriteria &amp; R.kecocokan'!$C$42,H287="Tinggi",'B.kriteria &amp; R.kecocokan'!$C$43)</f>
        <v>2.5</v>
      </c>
      <c r="J287" s="8" t="str">
        <f>'B.kriteria &amp; R.kecocokan'!$B$72</f>
        <v>Rendah</v>
      </c>
      <c r="K287" s="8">
        <f>_xlfn.IFS(J287="Rendah",'B.kriteria &amp; R.kecocokan'!$C$72,J287="Sedang",'B.kriteria &amp; R.kecocokan'!$C$73,J287="Tinggi",'B.kriteria &amp; R.kecocokan'!$C$74)</f>
        <v>2.5</v>
      </c>
      <c r="L287" s="8" t="str">
        <f>'B.kriteria &amp; R.kecocokan'!$B$95</f>
        <v>Rendah</v>
      </c>
      <c r="M287" s="8">
        <f>_xlfn.IFS(L287="Rendah",'B.kriteria &amp; R.kecocokan'!$C$95,L287="Tinggi",'B.kriteria &amp; R.kecocokan'!$C$96)</f>
        <v>2.5</v>
      </c>
      <c r="N287" s="8" t="str">
        <f>'B.kriteria &amp; R.kecocokan'!$B$80</f>
        <v>Rendah</v>
      </c>
      <c r="O287" s="8">
        <f>_xlfn.IFS(N287="Rendah",'B.kriteria &amp; R.kecocokan'!$C$80,N287="Tinggi",'B.kriteria &amp; R.kecocokan'!$C$81)</f>
        <v>2.5</v>
      </c>
      <c r="P287" s="8" t="str">
        <f>'B.kriteria &amp; R.kecocokan'!$B$89</f>
        <v>Sedikit</v>
      </c>
      <c r="Q287" s="8">
        <f>_xlfn.IFS(P287="Sedikit",'B.kriteria &amp; R.kecocokan'!$C$89,P287="Sedang",'B.kriteria &amp; R.kecocokan'!$C$88,P287="Sangat Sedikit",'B.kriteria &amp; R.kecocokan'!$C$90)</f>
        <v>2.5</v>
      </c>
      <c r="R287" s="8" t="str">
        <f>'B.kriteria &amp; R.kecocokan'!$B$49</f>
        <v>Rendah</v>
      </c>
      <c r="S287" s="8">
        <f>_xlfn.IFS(R287="Rendah",'B.kriteria &amp; R.kecocokan'!$C$49,R287="Sedang",'B.kriteria &amp; R.kecocokan'!$C$50,R287="Tinggi",'B.kriteria &amp; R.kecocokan'!$C$51)</f>
        <v>2.5</v>
      </c>
      <c r="T287" s="8" t="str">
        <f>'B.kriteria &amp; R.kecocokan'!$B$57</f>
        <v>Rendah</v>
      </c>
      <c r="U287" s="51">
        <f>_xlfn.IFS(T287="Rendah",'B.kriteria &amp; R.kecocokan'!$C$57,T287="Sedang",'B.kriteria &amp; R.kecocokan'!$C$58,T287="Tinggi",'B.kriteria &amp; R.kecocokan'!$C$59)</f>
        <v>2.5</v>
      </c>
      <c r="V287" s="51" t="str">
        <f>'B.kriteria &amp; R.kecocokan'!$B$65</f>
        <v>Rendah</v>
      </c>
      <c r="W287" s="9">
        <f>_xlfn.IFS(V287="Rendah",'B.kriteria &amp; R.kecocokan'!$C$65,V287="Sedang",'B.kriteria &amp; R.kecocokan'!$C$66,V287="Tinggi",'B.kriteria &amp; R.kecocokan'!$C$67)</f>
        <v>1</v>
      </c>
      <c r="X287" s="117">
        <f t="shared" si="23"/>
        <v>4.8021020246569126</v>
      </c>
      <c r="Y287" s="117">
        <f t="shared" si="24"/>
        <v>3.0024499799918298</v>
      </c>
      <c r="Z287" s="119">
        <f t="shared" si="25"/>
        <v>3.0024499799918298</v>
      </c>
      <c r="AA287" s="55" t="str">
        <f t="shared" si="26"/>
        <v>Tidak Layak</v>
      </c>
    </row>
    <row r="288" spans="1:27" x14ac:dyDescent="0.35">
      <c r="A288" s="5">
        <v>67</v>
      </c>
      <c r="B288" s="2" t="s">
        <v>215</v>
      </c>
      <c r="C288" s="11" t="s">
        <v>95</v>
      </c>
      <c r="D288" s="32" t="str">
        <f>'B.kriteria &amp; R.kecocokan'!$B$24</f>
        <v>Cukup</v>
      </c>
      <c r="E288" s="111">
        <f>_xlfn.IFS(D288="Banyak",'B.kriteria &amp; R.kecocokan'!$C$23,D288="Cukup",'B.kriteria &amp; R.kecocokan'!$C$24,D288="Sedikit",'B.kriteria &amp; R.kecocokan'!$C$25)</f>
        <v>5</v>
      </c>
      <c r="F288" s="9" t="str">
        <f>'B.kriteria &amp; R.kecocokan'!$B$34</f>
        <v>Tinggi</v>
      </c>
      <c r="G288" s="8">
        <f>_xlfn.IFS(F288="Tinggi",'B.kriteria &amp; R.kecocokan'!$C$34,F288="Sangat Tinggi",'B.kriteria &amp; R.kecocokan'!$C$35)</f>
        <v>7.5</v>
      </c>
      <c r="H288" s="8" t="str">
        <f>'B.kriteria &amp; R.kecocokan'!$B$41</f>
        <v>Rendah</v>
      </c>
      <c r="I288" s="8">
        <f>_xlfn.IFS(H288="Rendah",'B.kriteria &amp; R.kecocokan'!$C$41,H288="Sedang",'B.kriteria &amp; R.kecocokan'!$C$42,H288="Tinggi",'B.kriteria &amp; R.kecocokan'!$C$43)</f>
        <v>2.5</v>
      </c>
      <c r="J288" s="8" t="str">
        <f>'B.kriteria &amp; R.kecocokan'!$B$72</f>
        <v>Rendah</v>
      </c>
      <c r="K288" s="8">
        <f>_xlfn.IFS(J288="Rendah",'B.kriteria &amp; R.kecocokan'!$C$72,J288="Sedang",'B.kriteria &amp; R.kecocokan'!$C$73,J288="Tinggi",'B.kriteria &amp; R.kecocokan'!$C$74)</f>
        <v>2.5</v>
      </c>
      <c r="L288" s="8" t="str">
        <f>'B.kriteria &amp; R.kecocokan'!$B$95</f>
        <v>Rendah</v>
      </c>
      <c r="M288" s="8">
        <f>_xlfn.IFS(L288="Rendah",'B.kriteria &amp; R.kecocokan'!$C$95,L288="Tinggi",'B.kriteria &amp; R.kecocokan'!$C$96)</f>
        <v>2.5</v>
      </c>
      <c r="N288" s="8" t="str">
        <f>'B.kriteria &amp; R.kecocokan'!$B$80</f>
        <v>Rendah</v>
      </c>
      <c r="O288" s="8">
        <f>_xlfn.IFS(N288="Rendah",'B.kriteria &amp; R.kecocokan'!$C$80,N288="Tinggi",'B.kriteria &amp; R.kecocokan'!$C$81)</f>
        <v>2.5</v>
      </c>
      <c r="P288" s="8" t="str">
        <f>'B.kriteria &amp; R.kecocokan'!$B$89</f>
        <v>Sedikit</v>
      </c>
      <c r="Q288" s="8">
        <f>_xlfn.IFS(P288="Sedikit",'B.kriteria &amp; R.kecocokan'!$C$89,P288="Sedang",'B.kriteria &amp; R.kecocokan'!$C$88,P288="Sangat Sedikit",'B.kriteria &amp; R.kecocokan'!$C$90)</f>
        <v>2.5</v>
      </c>
      <c r="R288" s="8" t="str">
        <f>'B.kriteria &amp; R.kecocokan'!$B$49</f>
        <v>Rendah</v>
      </c>
      <c r="S288" s="8">
        <f>_xlfn.IFS(R288="Rendah",'B.kriteria &amp; R.kecocokan'!$C$49,R288="Sedang",'B.kriteria &amp; R.kecocokan'!$C$50,R288="Tinggi",'B.kriteria &amp; R.kecocokan'!$C$51)</f>
        <v>2.5</v>
      </c>
      <c r="T288" s="8" t="str">
        <f>'B.kriteria &amp; R.kecocokan'!$B$57</f>
        <v>Rendah</v>
      </c>
      <c r="U288" s="51">
        <f>_xlfn.IFS(T288="Rendah",'B.kriteria &amp; R.kecocokan'!$C$57,T288="Sedang",'B.kriteria &amp; R.kecocokan'!$C$58,T288="Tinggi",'B.kriteria &amp; R.kecocokan'!$C$59)</f>
        <v>2.5</v>
      </c>
      <c r="V288" s="51" t="str">
        <f>'B.kriteria &amp; R.kecocokan'!$B$65</f>
        <v>Rendah</v>
      </c>
      <c r="W288" s="9">
        <f>_xlfn.IFS(V288="Rendah",'B.kriteria &amp; R.kecocokan'!$C$65,V288="Sedang",'B.kriteria &amp; R.kecocokan'!$C$66,V288="Tinggi",'B.kriteria &amp; R.kecocokan'!$C$67)</f>
        <v>1</v>
      </c>
      <c r="X288" s="117">
        <f t="shared" ref="X288:X313" si="27">SQRT(((E288-$E$217)^2)+((G288-$G$217)^2)+((I288-$I$217)^2+((K288-$K$217)^2)+((M288-$M$217)^2)+((O288-$O$217)^2)+((Q288-$Q$217)^2)+((S288-$S$217)^2)+((U288-$U$217)^2)+((W288-$W$217)^2)))</f>
        <v>3.6050831520479694</v>
      </c>
      <c r="Y288" s="117">
        <f t="shared" ref="Y288:Y314" si="28">SQRT(((E288-$E$218)^2)+((G288-$G$218)^2)+((I288-$I$218)^2)+((K288-$K$218)^2)+((M288-$M$218)^2+((O288-$O$218)^2)+((Q288-$Q$218)^2)+((S288-$S$218)^2)+((U288-$U$218)^2)+((W288-$W$218)^2)))</f>
        <v>2.2294816068526147</v>
      </c>
      <c r="Z288" s="119">
        <f t="shared" ref="Z288:Z314" si="29">MIN(X288:Y288)</f>
        <v>2.2294816068526147</v>
      </c>
      <c r="AA288" s="55" t="str">
        <f t="shared" ref="AA288:AA314" si="30">IF(X288&lt;Y288,"Layak","Tidak Layak")</f>
        <v>Tidak Layak</v>
      </c>
    </row>
    <row r="289" spans="1:27" x14ac:dyDescent="0.35">
      <c r="A289" s="1">
        <v>68</v>
      </c>
      <c r="B289" s="2" t="s">
        <v>239</v>
      </c>
      <c r="C289" s="11" t="s">
        <v>92</v>
      </c>
      <c r="D289" s="32" t="str">
        <f>'B.kriteria &amp; R.kecocokan'!$B$24</f>
        <v>Cukup</v>
      </c>
      <c r="E289" s="111">
        <f>_xlfn.IFS(D289="Banyak",'B.kriteria &amp; R.kecocokan'!$C$23,D289="Cukup",'B.kriteria &amp; R.kecocokan'!$C$24,D289="Sedikit",'B.kriteria &amp; R.kecocokan'!$C$25)</f>
        <v>5</v>
      </c>
      <c r="F289" s="9" t="str">
        <f>'B.kriteria &amp; R.kecocokan'!$B$34</f>
        <v>Tinggi</v>
      </c>
      <c r="G289" s="8">
        <f>_xlfn.IFS(F289="Tinggi",'B.kriteria &amp; R.kecocokan'!$C$34,F289="Sangat Tinggi",'B.kriteria &amp; R.kecocokan'!$C$35)</f>
        <v>7.5</v>
      </c>
      <c r="H289" s="8" t="str">
        <f>'B.kriteria &amp; R.kecocokan'!$B$41</f>
        <v>Rendah</v>
      </c>
      <c r="I289" s="8">
        <f>_xlfn.IFS(H289="Rendah",'B.kriteria &amp; R.kecocokan'!$C$41,H289="Sedang",'B.kriteria &amp; R.kecocokan'!$C$42,H289="Tinggi",'B.kriteria &amp; R.kecocokan'!$C$43)</f>
        <v>2.5</v>
      </c>
      <c r="J289" s="8" t="str">
        <f>'B.kriteria &amp; R.kecocokan'!$B$72</f>
        <v>Rendah</v>
      </c>
      <c r="K289" s="8">
        <f>_xlfn.IFS(J289="Rendah",'B.kriteria &amp; R.kecocokan'!$C$72,J289="Sedang",'B.kriteria &amp; R.kecocokan'!$C$73,J289="Tinggi",'B.kriteria &amp; R.kecocokan'!$C$74)</f>
        <v>2.5</v>
      </c>
      <c r="L289" s="8" t="str">
        <f>'B.kriteria &amp; R.kecocokan'!$B$95</f>
        <v>Rendah</v>
      </c>
      <c r="M289" s="8">
        <f>_xlfn.IFS(L289="Rendah",'B.kriteria &amp; R.kecocokan'!$C$95,L289="Tinggi",'B.kriteria &amp; R.kecocokan'!$C$96)</f>
        <v>2.5</v>
      </c>
      <c r="N289" s="8" t="str">
        <f>'B.kriteria &amp; R.kecocokan'!$B$80</f>
        <v>Rendah</v>
      </c>
      <c r="O289" s="8">
        <f>_xlfn.IFS(N289="Rendah",'B.kriteria &amp; R.kecocokan'!$C$80,N289="Tinggi",'B.kriteria &amp; R.kecocokan'!$C$81)</f>
        <v>2.5</v>
      </c>
      <c r="P289" s="8" t="str">
        <f>'B.kriteria &amp; R.kecocokan'!$B$89</f>
        <v>Sedikit</v>
      </c>
      <c r="Q289" s="8">
        <f>_xlfn.IFS(P289="Sedikit",'B.kriteria &amp; R.kecocokan'!$C$89,P289="Sedang",'B.kriteria &amp; R.kecocokan'!$C$88,P289="Sangat Sedikit",'B.kriteria &amp; R.kecocokan'!$C$90)</f>
        <v>2.5</v>
      </c>
      <c r="R289" s="8" t="str">
        <f>'B.kriteria &amp; R.kecocokan'!$B$49</f>
        <v>Rendah</v>
      </c>
      <c r="S289" s="8">
        <f>_xlfn.IFS(R289="Rendah",'B.kriteria &amp; R.kecocokan'!$C$49,R289="Sedang",'B.kriteria &amp; R.kecocokan'!$C$50,R289="Tinggi",'B.kriteria &amp; R.kecocokan'!$C$51)</f>
        <v>2.5</v>
      </c>
      <c r="T289" s="8" t="str">
        <f>'B.kriteria &amp; R.kecocokan'!$B$57</f>
        <v>Rendah</v>
      </c>
      <c r="U289" s="51">
        <f>_xlfn.IFS(T289="Rendah",'B.kriteria &amp; R.kecocokan'!$C$57,T289="Sedang",'B.kriteria &amp; R.kecocokan'!$C$58,T289="Tinggi",'B.kriteria &amp; R.kecocokan'!$C$59)</f>
        <v>2.5</v>
      </c>
      <c r="V289" s="51" t="str">
        <f>'B.kriteria &amp; R.kecocokan'!$B$65</f>
        <v>Rendah</v>
      </c>
      <c r="W289" s="9">
        <f>_xlfn.IFS(V289="Rendah",'B.kriteria &amp; R.kecocokan'!$C$65,V289="Sedang",'B.kriteria &amp; R.kecocokan'!$C$66,V289="Tinggi",'B.kriteria &amp; R.kecocokan'!$C$67)</f>
        <v>1</v>
      </c>
      <c r="X289" s="117">
        <f t="shared" si="27"/>
        <v>3.6050831520479694</v>
      </c>
      <c r="Y289" s="117">
        <f t="shared" si="28"/>
        <v>2.2294816068526147</v>
      </c>
      <c r="Z289" s="119">
        <f t="shared" si="29"/>
        <v>2.2294816068526147</v>
      </c>
      <c r="AA289" s="55" t="str">
        <f t="shared" si="30"/>
        <v>Tidak Layak</v>
      </c>
    </row>
    <row r="290" spans="1:27" x14ac:dyDescent="0.35">
      <c r="A290" s="5">
        <v>69</v>
      </c>
      <c r="B290" s="2" t="s">
        <v>221</v>
      </c>
      <c r="C290" s="11" t="s">
        <v>240</v>
      </c>
      <c r="D290" s="28" t="str">
        <f>'B.kriteria &amp; R.kecocokan'!$B$25</f>
        <v>Sedikit</v>
      </c>
      <c r="E290" s="111">
        <f>_xlfn.IFS(D290="Banyak",'B.kriteria &amp; R.kecocokan'!$C$23,D290="Cukup",'B.kriteria &amp; R.kecocokan'!$C$24,D290="Sedikit",'B.kriteria &amp; R.kecocokan'!$C$25)</f>
        <v>7.5</v>
      </c>
      <c r="F290" s="9" t="str">
        <f>'B.kriteria &amp; R.kecocokan'!$B$34</f>
        <v>Tinggi</v>
      </c>
      <c r="G290" s="8">
        <f>_xlfn.IFS(F290="Tinggi",'B.kriteria &amp; R.kecocokan'!$C$34,F290="Sangat Tinggi",'B.kriteria &amp; R.kecocokan'!$C$35)</f>
        <v>7.5</v>
      </c>
      <c r="H290" s="8" t="str">
        <f>'B.kriteria &amp; R.kecocokan'!$B$41</f>
        <v>Rendah</v>
      </c>
      <c r="I290" s="8">
        <f>_xlfn.IFS(H290="Rendah",'B.kriteria &amp; R.kecocokan'!$C$41,H290="Sedang",'B.kriteria &amp; R.kecocokan'!$C$42,H290="Tinggi",'B.kriteria &amp; R.kecocokan'!$C$43)</f>
        <v>2.5</v>
      </c>
      <c r="J290" s="8" t="str">
        <f>'B.kriteria &amp; R.kecocokan'!$B$72</f>
        <v>Rendah</v>
      </c>
      <c r="K290" s="8">
        <f>_xlfn.IFS(J290="Rendah",'B.kriteria &amp; R.kecocokan'!$C$72,J290="Sedang",'B.kriteria &amp; R.kecocokan'!$C$73,J290="Tinggi",'B.kriteria &amp; R.kecocokan'!$C$74)</f>
        <v>2.5</v>
      </c>
      <c r="L290" s="8" t="str">
        <f>'B.kriteria &amp; R.kecocokan'!$B$95</f>
        <v>Rendah</v>
      </c>
      <c r="M290" s="8">
        <f>_xlfn.IFS(L290="Rendah",'B.kriteria &amp; R.kecocokan'!$C$95,L290="Tinggi",'B.kriteria &amp; R.kecocokan'!$C$96)</f>
        <v>2.5</v>
      </c>
      <c r="N290" s="9" t="str">
        <f>'B.kriteria &amp; R.kecocokan'!$B$81</f>
        <v>Tinggi</v>
      </c>
      <c r="O290" s="8">
        <f>_xlfn.IFS(N290="Rendah",'B.kriteria &amp; R.kecocokan'!$C$80,N290="Tinggi",'B.kriteria &amp; R.kecocokan'!$C$81)</f>
        <v>7.5</v>
      </c>
      <c r="P290" s="9" t="str">
        <f>'B.kriteria &amp; R.kecocokan'!$B$90</f>
        <v>Sangat Sedikit</v>
      </c>
      <c r="Q290" s="8">
        <f>_xlfn.IFS(P290="Sedikit",'B.kriteria &amp; R.kecocokan'!$C$89,P290="Sedang",'B.kriteria &amp; R.kecocokan'!$C$88,P290="Sangat Sedikit",'B.kriteria &amp; R.kecocokan'!$C$90)</f>
        <v>1</v>
      </c>
      <c r="R290" s="8" t="str">
        <f>'B.kriteria &amp; R.kecocokan'!$B$49</f>
        <v>Rendah</v>
      </c>
      <c r="S290" s="8">
        <f>_xlfn.IFS(R290="Rendah",'B.kriteria &amp; R.kecocokan'!$C$49,R290="Sedang",'B.kriteria &amp; R.kecocokan'!$C$50,R290="Tinggi",'B.kriteria &amp; R.kecocokan'!$C$51)</f>
        <v>2.5</v>
      </c>
      <c r="T290" s="8" t="str">
        <f>'B.kriteria &amp; R.kecocokan'!$B$57</f>
        <v>Rendah</v>
      </c>
      <c r="U290" s="51">
        <f>_xlfn.IFS(T290="Rendah",'B.kriteria &amp; R.kecocokan'!$C$57,T290="Sedang",'B.kriteria &amp; R.kecocokan'!$C$58,T290="Tinggi",'B.kriteria &amp; R.kecocokan'!$C$59)</f>
        <v>2.5</v>
      </c>
      <c r="V290" s="51" t="str">
        <f>'B.kriteria &amp; R.kecocokan'!$B$65</f>
        <v>Rendah</v>
      </c>
      <c r="W290" s="9">
        <f>_xlfn.IFS(V290="Rendah",'B.kriteria &amp; R.kecocokan'!$C$65,V290="Sedang",'B.kriteria &amp; R.kecocokan'!$C$66,V290="Tinggi",'B.kriteria &amp; R.kecocokan'!$C$67)</f>
        <v>1</v>
      </c>
      <c r="X290" s="117">
        <f t="shared" si="27"/>
        <v>2.7901182997142717</v>
      </c>
      <c r="Y290" s="117">
        <f t="shared" si="28"/>
        <v>6.7866651257750865</v>
      </c>
      <c r="Z290" s="119">
        <f t="shared" si="29"/>
        <v>2.7901182997142717</v>
      </c>
      <c r="AA290" s="55" t="str">
        <f t="shared" si="30"/>
        <v>Layak</v>
      </c>
    </row>
    <row r="291" spans="1:27" x14ac:dyDescent="0.35">
      <c r="A291" s="5">
        <v>70</v>
      </c>
      <c r="B291" s="2" t="s">
        <v>219</v>
      </c>
      <c r="C291" s="11" t="s">
        <v>95</v>
      </c>
      <c r="D291" s="9" t="str">
        <f>'B.kriteria &amp; R.kecocokan'!$B$23</f>
        <v>Banyak</v>
      </c>
      <c r="E291" s="111">
        <f>_xlfn.IFS(D291="Banyak",'B.kriteria &amp; R.kecocokan'!$C$23,D291="Cukup",'B.kriteria &amp; R.kecocokan'!$C$24,D291="Sedikit",'B.kriteria &amp; R.kecocokan'!$C$25)</f>
        <v>2.5</v>
      </c>
      <c r="F291" s="9" t="str">
        <f>'B.kriteria &amp; R.kecocokan'!$B$34</f>
        <v>Tinggi</v>
      </c>
      <c r="G291" s="8">
        <f>_xlfn.IFS(F291="Tinggi",'B.kriteria &amp; R.kecocokan'!$C$34,F291="Sangat Tinggi",'B.kriteria &amp; R.kecocokan'!$C$35)</f>
        <v>7.5</v>
      </c>
      <c r="H291" s="8" t="str">
        <f>'B.kriteria &amp; R.kecocokan'!$B$41</f>
        <v>Rendah</v>
      </c>
      <c r="I291" s="8">
        <f>_xlfn.IFS(H291="Rendah",'B.kriteria &amp; R.kecocokan'!$C$41,H291="Sedang",'B.kriteria &amp; R.kecocokan'!$C$42,H291="Tinggi",'B.kriteria &amp; R.kecocokan'!$C$43)</f>
        <v>2.5</v>
      </c>
      <c r="J291" s="8" t="str">
        <f>'B.kriteria &amp; R.kecocokan'!$B$72</f>
        <v>Rendah</v>
      </c>
      <c r="K291" s="8">
        <f>_xlfn.IFS(J291="Rendah",'B.kriteria &amp; R.kecocokan'!$C$72,J291="Sedang",'B.kriteria &amp; R.kecocokan'!$C$73,J291="Tinggi",'B.kriteria &amp; R.kecocokan'!$C$74)</f>
        <v>2.5</v>
      </c>
      <c r="L291" s="8" t="str">
        <f>'B.kriteria &amp; R.kecocokan'!$B$95</f>
        <v>Rendah</v>
      </c>
      <c r="M291" s="8">
        <f>_xlfn.IFS(L291="Rendah",'B.kriteria &amp; R.kecocokan'!$C$95,L291="Tinggi",'B.kriteria &amp; R.kecocokan'!$C$96)</f>
        <v>2.5</v>
      </c>
      <c r="N291" s="8" t="str">
        <f>'B.kriteria &amp; R.kecocokan'!$B$80</f>
        <v>Rendah</v>
      </c>
      <c r="O291" s="8">
        <f>_xlfn.IFS(N291="Rendah",'B.kriteria &amp; R.kecocokan'!$C$80,N291="Tinggi",'B.kriteria &amp; R.kecocokan'!$C$81)</f>
        <v>2.5</v>
      </c>
      <c r="P291" s="9" t="str">
        <f>'B.kriteria &amp; R.kecocokan'!$B$88</f>
        <v>Sedang</v>
      </c>
      <c r="Q291" s="8">
        <f>_xlfn.IFS(P291="Sedikit",'B.kriteria &amp; R.kecocokan'!$C$89,P291="Sedang",'B.kriteria &amp; R.kecocokan'!$C$88,P291="Sangat Sedikit",'B.kriteria &amp; R.kecocokan'!$C$90)</f>
        <v>5</v>
      </c>
      <c r="R291" s="8" t="str">
        <f>'B.kriteria &amp; R.kecocokan'!$B$49</f>
        <v>Rendah</v>
      </c>
      <c r="S291" s="8">
        <f>_xlfn.IFS(R291="Rendah",'B.kriteria &amp; R.kecocokan'!$C$49,R291="Sedang",'B.kriteria &amp; R.kecocokan'!$C$50,R291="Tinggi",'B.kriteria &amp; R.kecocokan'!$C$51)</f>
        <v>2.5</v>
      </c>
      <c r="T291" s="8" t="str">
        <f>'B.kriteria &amp; R.kecocokan'!$B$57</f>
        <v>Rendah</v>
      </c>
      <c r="U291" s="51">
        <f>_xlfn.IFS(T291="Rendah",'B.kriteria &amp; R.kecocokan'!$C$57,T291="Sedang",'B.kriteria &amp; R.kecocokan'!$C$58,T291="Tinggi",'B.kriteria &amp; R.kecocokan'!$C$59)</f>
        <v>2.5</v>
      </c>
      <c r="V291" s="51" t="str">
        <f>'B.kriteria &amp; R.kecocokan'!$B$65</f>
        <v>Rendah</v>
      </c>
      <c r="W291" s="9">
        <f>_xlfn.IFS(V291="Rendah",'B.kriteria &amp; R.kecocokan'!$C$65,V291="Sedang",'B.kriteria &amp; R.kecocokan'!$C$66,V291="Tinggi",'B.kriteria &amp; R.kecocokan'!$C$67)</f>
        <v>1</v>
      </c>
      <c r="X291" s="117">
        <f t="shared" si="27"/>
        <v>5.8139237420990346</v>
      </c>
      <c r="Y291" s="117">
        <f t="shared" si="28"/>
        <v>2.5088080131924846</v>
      </c>
      <c r="Z291" s="119">
        <f t="shared" si="29"/>
        <v>2.5088080131924846</v>
      </c>
      <c r="AA291" s="55" t="str">
        <f t="shared" si="30"/>
        <v>Tidak Layak</v>
      </c>
    </row>
    <row r="292" spans="1:27" x14ac:dyDescent="0.35">
      <c r="A292" s="1">
        <v>71</v>
      </c>
      <c r="B292" s="2" t="s">
        <v>241</v>
      </c>
      <c r="C292" s="11" t="s">
        <v>95</v>
      </c>
      <c r="D292" s="9" t="str">
        <f>'B.kriteria &amp; R.kecocokan'!$B$23</f>
        <v>Banyak</v>
      </c>
      <c r="E292" s="111">
        <f>_xlfn.IFS(D292="Banyak",'B.kriteria &amp; R.kecocokan'!$C$23,D292="Cukup",'B.kriteria &amp; R.kecocokan'!$C$24,D292="Sedikit",'B.kriteria &amp; R.kecocokan'!$C$25)</f>
        <v>2.5</v>
      </c>
      <c r="F292" s="9" t="str">
        <f>'B.kriteria &amp; R.kecocokan'!$B$34</f>
        <v>Tinggi</v>
      </c>
      <c r="G292" s="8">
        <f>_xlfn.IFS(F292="Tinggi",'B.kriteria &amp; R.kecocokan'!$C$34,F292="Sangat Tinggi",'B.kriteria &amp; R.kecocokan'!$C$35)</f>
        <v>7.5</v>
      </c>
      <c r="H292" s="8" t="str">
        <f>'B.kriteria &amp; R.kecocokan'!$B$41</f>
        <v>Rendah</v>
      </c>
      <c r="I292" s="8">
        <f>_xlfn.IFS(H292="Rendah",'B.kriteria &amp; R.kecocokan'!$C$41,H292="Sedang",'B.kriteria &amp; R.kecocokan'!$C$42,H292="Tinggi",'B.kriteria &amp; R.kecocokan'!$C$43)</f>
        <v>2.5</v>
      </c>
      <c r="J292" s="8" t="str">
        <f>'B.kriteria &amp; R.kecocokan'!$B$72</f>
        <v>Rendah</v>
      </c>
      <c r="K292" s="8">
        <f>_xlfn.IFS(J292="Rendah",'B.kriteria &amp; R.kecocokan'!$C$72,J292="Sedang",'B.kriteria &amp; R.kecocokan'!$C$73,J292="Tinggi",'B.kriteria &amp; R.kecocokan'!$C$74)</f>
        <v>2.5</v>
      </c>
      <c r="L292" s="8" t="str">
        <f>'B.kriteria &amp; R.kecocokan'!$B$95</f>
        <v>Rendah</v>
      </c>
      <c r="M292" s="8">
        <f>_xlfn.IFS(L292="Rendah",'B.kriteria &amp; R.kecocokan'!$C$95,L292="Tinggi",'B.kriteria &amp; R.kecocokan'!$C$96)</f>
        <v>2.5</v>
      </c>
      <c r="N292" s="8" t="str">
        <f>'B.kriteria &amp; R.kecocokan'!$B$80</f>
        <v>Rendah</v>
      </c>
      <c r="O292" s="8">
        <f>_xlfn.IFS(N292="Rendah",'B.kriteria &amp; R.kecocokan'!$C$80,N292="Tinggi",'B.kriteria &amp; R.kecocokan'!$C$81)</f>
        <v>2.5</v>
      </c>
      <c r="P292" s="9" t="str">
        <f>'B.kriteria &amp; R.kecocokan'!$B$88</f>
        <v>Sedang</v>
      </c>
      <c r="Q292" s="8">
        <f>_xlfn.IFS(P292="Sedikit",'B.kriteria &amp; R.kecocokan'!$C$89,P292="Sedang",'B.kriteria &amp; R.kecocokan'!$C$88,P292="Sangat Sedikit",'B.kriteria &amp; R.kecocokan'!$C$90)</f>
        <v>5</v>
      </c>
      <c r="R292" s="8" t="str">
        <f>'B.kriteria &amp; R.kecocokan'!$B$49</f>
        <v>Rendah</v>
      </c>
      <c r="S292" s="8">
        <f>_xlfn.IFS(R292="Rendah",'B.kriteria &amp; R.kecocokan'!$C$49,R292="Sedang",'B.kriteria &amp; R.kecocokan'!$C$50,R292="Tinggi",'B.kriteria &amp; R.kecocokan'!$C$51)</f>
        <v>2.5</v>
      </c>
      <c r="T292" s="8" t="str">
        <f>'B.kriteria &amp; R.kecocokan'!$B$57</f>
        <v>Rendah</v>
      </c>
      <c r="U292" s="51">
        <f>_xlfn.IFS(T292="Rendah",'B.kriteria &amp; R.kecocokan'!$C$57,T292="Sedang",'B.kriteria &amp; R.kecocokan'!$C$58,T292="Tinggi",'B.kriteria &amp; R.kecocokan'!$C$59)</f>
        <v>2.5</v>
      </c>
      <c r="V292" s="51" t="str">
        <f>'B.kriteria &amp; R.kecocokan'!$B$65</f>
        <v>Rendah</v>
      </c>
      <c r="W292" s="9">
        <f>_xlfn.IFS(V292="Rendah",'B.kriteria &amp; R.kecocokan'!$C$65,V292="Sedang",'B.kriteria &amp; R.kecocokan'!$C$66,V292="Tinggi",'B.kriteria &amp; R.kecocokan'!$C$67)</f>
        <v>1</v>
      </c>
      <c r="X292" s="117">
        <f t="shared" si="27"/>
        <v>5.8139237420990346</v>
      </c>
      <c r="Y292" s="117">
        <f t="shared" si="28"/>
        <v>2.5088080131924846</v>
      </c>
      <c r="Z292" s="119">
        <f t="shared" si="29"/>
        <v>2.5088080131924846</v>
      </c>
      <c r="AA292" s="55" t="str">
        <f t="shared" si="30"/>
        <v>Tidak Layak</v>
      </c>
    </row>
    <row r="293" spans="1:27" x14ac:dyDescent="0.35">
      <c r="A293" s="5">
        <v>72</v>
      </c>
      <c r="B293" s="2" t="s">
        <v>225</v>
      </c>
      <c r="C293" s="11" t="s">
        <v>95</v>
      </c>
      <c r="D293" s="9" t="str">
        <f>'B.kriteria &amp; R.kecocokan'!$B$23</f>
        <v>Banyak</v>
      </c>
      <c r="E293" s="111">
        <f>_xlfn.IFS(D293="Banyak",'B.kriteria &amp; R.kecocokan'!$C$23,D293="Cukup",'B.kriteria &amp; R.kecocokan'!$C$24,D293="Sedikit",'B.kriteria &amp; R.kecocokan'!$C$25)</f>
        <v>2.5</v>
      </c>
      <c r="F293" s="9" t="str">
        <f>'B.kriteria &amp; R.kecocokan'!$B$34</f>
        <v>Tinggi</v>
      </c>
      <c r="G293" s="8">
        <f>_xlfn.IFS(F293="Tinggi",'B.kriteria &amp; R.kecocokan'!$C$34,F293="Sangat Tinggi",'B.kriteria &amp; R.kecocokan'!$C$35)</f>
        <v>7.5</v>
      </c>
      <c r="H293" s="8" t="str">
        <f>'B.kriteria &amp; R.kecocokan'!$B$41</f>
        <v>Rendah</v>
      </c>
      <c r="I293" s="8">
        <f>_xlfn.IFS(H293="Rendah",'B.kriteria &amp; R.kecocokan'!$C$41,H293="Sedang",'B.kriteria &amp; R.kecocokan'!$C$42,H293="Tinggi",'B.kriteria &amp; R.kecocokan'!$C$43)</f>
        <v>2.5</v>
      </c>
      <c r="J293" s="8" t="str">
        <f>'B.kriteria &amp; R.kecocokan'!$B$72</f>
        <v>Rendah</v>
      </c>
      <c r="K293" s="8">
        <f>_xlfn.IFS(J293="Rendah",'B.kriteria &amp; R.kecocokan'!$C$72,J293="Sedang",'B.kriteria &amp; R.kecocokan'!$C$73,J293="Tinggi",'B.kriteria &amp; R.kecocokan'!$C$74)</f>
        <v>2.5</v>
      </c>
      <c r="L293" s="8" t="str">
        <f>'B.kriteria &amp; R.kecocokan'!$B$95</f>
        <v>Rendah</v>
      </c>
      <c r="M293" s="8">
        <f>_xlfn.IFS(L293="Rendah",'B.kriteria &amp; R.kecocokan'!$C$95,L293="Tinggi",'B.kriteria &amp; R.kecocokan'!$C$96)</f>
        <v>2.5</v>
      </c>
      <c r="N293" s="9" t="str">
        <f>'B.kriteria &amp; R.kecocokan'!$B$81</f>
        <v>Tinggi</v>
      </c>
      <c r="O293" s="8">
        <f>_xlfn.IFS(N293="Rendah",'B.kriteria &amp; R.kecocokan'!$C$80,N293="Tinggi",'B.kriteria &amp; R.kecocokan'!$C$81)</f>
        <v>7.5</v>
      </c>
      <c r="P293" s="9" t="str">
        <f>'B.kriteria &amp; R.kecocokan'!$B$90</f>
        <v>Sangat Sedikit</v>
      </c>
      <c r="Q293" s="8">
        <f>_xlfn.IFS(P293="Sedikit",'B.kriteria &amp; R.kecocokan'!$C$89,P293="Sedang",'B.kriteria &amp; R.kecocokan'!$C$88,P293="Sangat Sedikit",'B.kriteria &amp; R.kecocokan'!$C$90)</f>
        <v>1</v>
      </c>
      <c r="R293" s="8" t="str">
        <f>'B.kriteria &amp; R.kecocokan'!$B$49</f>
        <v>Rendah</v>
      </c>
      <c r="S293" s="8">
        <f>_xlfn.IFS(R293="Rendah",'B.kriteria &amp; R.kecocokan'!$C$49,R293="Sedang",'B.kriteria &amp; R.kecocokan'!$C$50,R293="Tinggi",'B.kriteria &amp; R.kecocokan'!$C$51)</f>
        <v>2.5</v>
      </c>
      <c r="T293" s="8" t="str">
        <f>'B.kriteria &amp; R.kecocokan'!$B$57</f>
        <v>Rendah</v>
      </c>
      <c r="U293" s="51">
        <f>_xlfn.IFS(T293="Rendah",'B.kriteria &amp; R.kecocokan'!$C$57,T293="Sedang",'B.kriteria &amp; R.kecocokan'!$C$58,T293="Tinggi",'B.kriteria &amp; R.kecocokan'!$C$59)</f>
        <v>2.5</v>
      </c>
      <c r="V293" s="51" t="str">
        <f>'B.kriteria &amp; R.kecocokan'!$B$65</f>
        <v>Rendah</v>
      </c>
      <c r="W293" s="9">
        <f>_xlfn.IFS(V293="Rendah",'B.kriteria &amp; R.kecocokan'!$C$65,V293="Sedang",'B.kriteria &amp; R.kecocokan'!$C$66,V293="Tinggi",'B.kriteria &amp; R.kecocokan'!$C$67)</f>
        <v>1</v>
      </c>
      <c r="X293" s="117">
        <f t="shared" si="27"/>
        <v>3.9257965778257349</v>
      </c>
      <c r="Y293" s="117">
        <f t="shared" si="28"/>
        <v>6.4534532479541067</v>
      </c>
      <c r="Z293" s="119">
        <f t="shared" si="29"/>
        <v>3.9257965778257349</v>
      </c>
      <c r="AA293" s="55" t="str">
        <f t="shared" si="30"/>
        <v>Layak</v>
      </c>
    </row>
    <row r="294" spans="1:27" x14ac:dyDescent="0.35">
      <c r="A294" s="5">
        <v>73</v>
      </c>
      <c r="B294" s="2" t="s">
        <v>227</v>
      </c>
      <c r="C294" s="11" t="s">
        <v>95</v>
      </c>
      <c r="D294" s="9" t="str">
        <f>'B.kriteria &amp; R.kecocokan'!$B$23</f>
        <v>Banyak</v>
      </c>
      <c r="E294" s="111">
        <f>_xlfn.IFS(D294="Banyak",'B.kriteria &amp; R.kecocokan'!$C$23,D294="Cukup",'B.kriteria &amp; R.kecocokan'!$C$24,D294="Sedikit",'B.kriteria &amp; R.kecocokan'!$C$25)</f>
        <v>2.5</v>
      </c>
      <c r="F294" s="9" t="str">
        <f>'B.kriteria &amp; R.kecocokan'!$B$35</f>
        <v>Sangat Tinggi</v>
      </c>
      <c r="G294" s="8">
        <f>_xlfn.IFS(F294="Tinggi",'B.kriteria &amp; R.kecocokan'!$C$34,F294="Sangat Tinggi",'B.kriteria &amp; R.kecocokan'!$C$35)</f>
        <v>10</v>
      </c>
      <c r="H294" s="8" t="str">
        <f>'B.kriteria &amp; R.kecocokan'!$B$41</f>
        <v>Rendah</v>
      </c>
      <c r="I294" s="8">
        <f>_xlfn.IFS(H294="Rendah",'B.kriteria &amp; R.kecocokan'!$C$41,H294="Sedang",'B.kriteria &amp; R.kecocokan'!$C$42,H294="Tinggi",'B.kriteria &amp; R.kecocokan'!$C$43)</f>
        <v>2.5</v>
      </c>
      <c r="J294" s="8" t="str">
        <f>'B.kriteria &amp; R.kecocokan'!$B$72</f>
        <v>Rendah</v>
      </c>
      <c r="K294" s="8">
        <f>_xlfn.IFS(J294="Rendah",'B.kriteria &amp; R.kecocokan'!$C$72,J294="Sedang",'B.kriteria &amp; R.kecocokan'!$C$73,J294="Tinggi",'B.kriteria &amp; R.kecocokan'!$C$74)</f>
        <v>2.5</v>
      </c>
      <c r="L294" s="8" t="str">
        <f>'B.kriteria &amp; R.kecocokan'!$B$95</f>
        <v>Rendah</v>
      </c>
      <c r="M294" s="8">
        <f>_xlfn.IFS(L294="Rendah",'B.kriteria &amp; R.kecocokan'!$C$95,L294="Tinggi",'B.kriteria &amp; R.kecocokan'!$C$96)</f>
        <v>2.5</v>
      </c>
      <c r="N294" s="8" t="str">
        <f>'B.kriteria &amp; R.kecocokan'!$B$80</f>
        <v>Rendah</v>
      </c>
      <c r="O294" s="8">
        <f>_xlfn.IFS(N294="Rendah",'B.kriteria &amp; R.kecocokan'!$C$80,N294="Tinggi",'B.kriteria &amp; R.kecocokan'!$C$81)</f>
        <v>2.5</v>
      </c>
      <c r="P294" s="9" t="str">
        <f>'B.kriteria &amp; R.kecocokan'!$B$90</f>
        <v>Sangat Sedikit</v>
      </c>
      <c r="Q294" s="8">
        <f>_xlfn.IFS(P294="Sedikit",'B.kriteria &amp; R.kecocokan'!$C$89,P294="Sedang",'B.kriteria &amp; R.kecocokan'!$C$88,P294="Sangat Sedikit",'B.kriteria &amp; R.kecocokan'!$C$90)</f>
        <v>1</v>
      </c>
      <c r="R294" s="9" t="str">
        <f>'B.kriteria &amp; R.kecocokan'!$B$51</f>
        <v>Tinggi</v>
      </c>
      <c r="S294" s="8">
        <f>_xlfn.IFS(R294="Rendah",'B.kriteria &amp; R.kecocokan'!$C$49,R294="Sedang",'B.kriteria &amp; R.kecocokan'!$C$50,R294="Tinggi",'B.kriteria &amp; R.kecocokan'!$C$51)</f>
        <v>7.5</v>
      </c>
      <c r="T294" s="8" t="str">
        <f>'B.kriteria &amp; R.kecocokan'!$B$57</f>
        <v>Rendah</v>
      </c>
      <c r="U294" s="51">
        <f>_xlfn.IFS(T294="Rendah",'B.kriteria &amp; R.kecocokan'!$C$57,T294="Sedang",'B.kriteria &amp; R.kecocokan'!$C$58,T294="Tinggi",'B.kriteria &amp; R.kecocokan'!$C$59)</f>
        <v>2.5</v>
      </c>
      <c r="V294" s="51" t="str">
        <f>'B.kriteria &amp; R.kecocokan'!$B$65</f>
        <v>Rendah</v>
      </c>
      <c r="W294" s="9">
        <f>_xlfn.IFS(V294="Rendah",'B.kriteria &amp; R.kecocokan'!$C$65,V294="Sedang",'B.kriteria &amp; R.kecocokan'!$C$66,V294="Tinggi",'B.kriteria &amp; R.kecocokan'!$C$67)</f>
        <v>1</v>
      </c>
      <c r="X294" s="117">
        <f t="shared" si="27"/>
        <v>6.8618953346744931</v>
      </c>
      <c r="Y294" s="117">
        <f t="shared" si="28"/>
        <v>6.4818751825650684</v>
      </c>
      <c r="Z294" s="119">
        <f t="shared" si="29"/>
        <v>6.4818751825650684</v>
      </c>
      <c r="AA294" s="55" t="str">
        <f t="shared" si="30"/>
        <v>Tidak Layak</v>
      </c>
    </row>
    <row r="295" spans="1:27" x14ac:dyDescent="0.35">
      <c r="A295" s="1">
        <v>74</v>
      </c>
      <c r="B295" s="2" t="s">
        <v>245</v>
      </c>
      <c r="C295" s="11" t="s">
        <v>95</v>
      </c>
      <c r="D295" s="32" t="str">
        <f>'B.kriteria &amp; R.kecocokan'!$B$24</f>
        <v>Cukup</v>
      </c>
      <c r="E295" s="111">
        <f>_xlfn.IFS(D295="Banyak",'B.kriteria &amp; R.kecocokan'!$C$23,D295="Cukup",'B.kriteria &amp; R.kecocokan'!$C$24,D295="Sedikit",'B.kriteria &amp; R.kecocokan'!$C$25)</f>
        <v>5</v>
      </c>
      <c r="F295" s="9" t="str">
        <f>'B.kriteria &amp; R.kecocokan'!$B$34</f>
        <v>Tinggi</v>
      </c>
      <c r="G295" s="8">
        <f>_xlfn.IFS(F295="Tinggi",'B.kriteria &amp; R.kecocokan'!$C$34,F295="Sangat Tinggi",'B.kriteria &amp; R.kecocokan'!$C$35)</f>
        <v>7.5</v>
      </c>
      <c r="H295" s="8" t="str">
        <f>'B.kriteria &amp; R.kecocokan'!$B$41</f>
        <v>Rendah</v>
      </c>
      <c r="I295" s="8">
        <f>_xlfn.IFS(H295="Rendah",'B.kriteria &amp; R.kecocokan'!$C$41,H295="Sedang",'B.kriteria &amp; R.kecocokan'!$C$42,H295="Tinggi",'B.kriteria &amp; R.kecocokan'!$C$43)</f>
        <v>2.5</v>
      </c>
      <c r="J295" s="8" t="str">
        <f>'B.kriteria &amp; R.kecocokan'!$B$72</f>
        <v>Rendah</v>
      </c>
      <c r="K295" s="8">
        <f>_xlfn.IFS(J295="Rendah",'B.kriteria &amp; R.kecocokan'!$C$72,J295="Sedang",'B.kriteria &amp; R.kecocokan'!$C$73,J295="Tinggi",'B.kriteria &amp; R.kecocokan'!$C$74)</f>
        <v>2.5</v>
      </c>
      <c r="L295" s="8" t="str">
        <f>'B.kriteria &amp; R.kecocokan'!$B$95</f>
        <v>Rendah</v>
      </c>
      <c r="M295" s="8">
        <f>_xlfn.IFS(L295="Rendah",'B.kriteria &amp; R.kecocokan'!$C$95,L295="Tinggi",'B.kriteria &amp; R.kecocokan'!$C$96)</f>
        <v>2.5</v>
      </c>
      <c r="N295" s="8" t="str">
        <f>'B.kriteria &amp; R.kecocokan'!$B$80</f>
        <v>Rendah</v>
      </c>
      <c r="O295" s="8">
        <f>_xlfn.IFS(N295="Rendah",'B.kriteria &amp; R.kecocokan'!$C$80,N295="Tinggi",'B.kriteria &amp; R.kecocokan'!$C$81)</f>
        <v>2.5</v>
      </c>
      <c r="P295" s="8" t="str">
        <f>'B.kriteria &amp; R.kecocokan'!$B$89</f>
        <v>Sedikit</v>
      </c>
      <c r="Q295" s="8">
        <f>_xlfn.IFS(P295="Sedikit",'B.kriteria &amp; R.kecocokan'!$C$89,P295="Sedang",'B.kriteria &amp; R.kecocokan'!$C$88,P295="Sangat Sedikit",'B.kriteria &amp; R.kecocokan'!$C$90)</f>
        <v>2.5</v>
      </c>
      <c r="R295" s="8" t="str">
        <f>'B.kriteria &amp; R.kecocokan'!$B$49</f>
        <v>Rendah</v>
      </c>
      <c r="S295" s="8">
        <f>_xlfn.IFS(R295="Rendah",'B.kriteria &amp; R.kecocokan'!$C$49,R295="Sedang",'B.kriteria &amp; R.kecocokan'!$C$50,R295="Tinggi",'B.kriteria &amp; R.kecocokan'!$C$51)</f>
        <v>2.5</v>
      </c>
      <c r="T295" s="8" t="str">
        <f>'B.kriteria &amp; R.kecocokan'!$B$57</f>
        <v>Rendah</v>
      </c>
      <c r="U295" s="51">
        <f>_xlfn.IFS(T295="Rendah",'B.kriteria &amp; R.kecocokan'!$C$57,T295="Sedang",'B.kriteria &amp; R.kecocokan'!$C$58,T295="Tinggi",'B.kriteria &amp; R.kecocokan'!$C$59)</f>
        <v>2.5</v>
      </c>
      <c r="V295" s="51" t="str">
        <f>'B.kriteria &amp; R.kecocokan'!$B$65</f>
        <v>Rendah</v>
      </c>
      <c r="W295" s="9">
        <f>_xlfn.IFS(V295="Rendah",'B.kriteria &amp; R.kecocokan'!$C$65,V295="Sedang",'B.kriteria &amp; R.kecocokan'!$C$66,V295="Tinggi",'B.kriteria &amp; R.kecocokan'!$C$67)</f>
        <v>1</v>
      </c>
      <c r="X295" s="117">
        <f t="shared" si="27"/>
        <v>3.6050831520479694</v>
      </c>
      <c r="Y295" s="117">
        <f t="shared" si="28"/>
        <v>2.2294816068526147</v>
      </c>
      <c r="Z295" s="119">
        <f t="shared" si="29"/>
        <v>2.2294816068526147</v>
      </c>
      <c r="AA295" s="55" t="str">
        <f t="shared" si="30"/>
        <v>Tidak Layak</v>
      </c>
    </row>
    <row r="296" spans="1:27" x14ac:dyDescent="0.35">
      <c r="A296" s="5">
        <v>75</v>
      </c>
      <c r="B296" s="2" t="s">
        <v>155</v>
      </c>
      <c r="C296" s="11" t="s">
        <v>95</v>
      </c>
      <c r="D296" s="32" t="str">
        <f>'B.kriteria &amp; R.kecocokan'!$B$24</f>
        <v>Cukup</v>
      </c>
      <c r="E296" s="111">
        <f>_xlfn.IFS(D296="Banyak",'B.kriteria &amp; R.kecocokan'!$C$23,D296="Cukup",'B.kriteria &amp; R.kecocokan'!$C$24,D296="Sedikit",'B.kriteria &amp; R.kecocokan'!$C$25)</f>
        <v>5</v>
      </c>
      <c r="F296" s="9" t="str">
        <f>'B.kriteria &amp; R.kecocokan'!$B$34</f>
        <v>Tinggi</v>
      </c>
      <c r="G296" s="8">
        <f>_xlfn.IFS(F296="Tinggi",'B.kriteria &amp; R.kecocokan'!$C$34,F296="Sangat Tinggi",'B.kriteria &amp; R.kecocokan'!$C$35)</f>
        <v>7.5</v>
      </c>
      <c r="H296" s="9" t="str">
        <f>'B.kriteria &amp; R.kecocokan'!$B$43</f>
        <v>Tinggi</v>
      </c>
      <c r="I296" s="8">
        <f>_xlfn.IFS(H296="Rendah",'B.kriteria &amp; R.kecocokan'!$C$41,H296="Sedang",'B.kriteria &amp; R.kecocokan'!$C$42,H296="Tinggi",'B.kriteria &amp; R.kecocokan'!$C$43)</f>
        <v>7.5</v>
      </c>
      <c r="J296" s="8" t="str">
        <f>'B.kriteria &amp; R.kecocokan'!$B$72</f>
        <v>Rendah</v>
      </c>
      <c r="K296" s="8">
        <f>_xlfn.IFS(J296="Rendah",'B.kriteria &amp; R.kecocokan'!$C$72,J296="Sedang",'B.kriteria &amp; R.kecocokan'!$C$73,J296="Tinggi",'B.kriteria &amp; R.kecocokan'!$C$74)</f>
        <v>2.5</v>
      </c>
      <c r="L296" s="8" t="str">
        <f>'B.kriteria &amp; R.kecocokan'!$B$95</f>
        <v>Rendah</v>
      </c>
      <c r="M296" s="8">
        <f>_xlfn.IFS(L296="Rendah",'B.kriteria &amp; R.kecocokan'!$C$95,L296="Tinggi",'B.kriteria &amp; R.kecocokan'!$C$96)</f>
        <v>2.5</v>
      </c>
      <c r="N296" s="8" t="str">
        <f>'B.kriteria &amp; R.kecocokan'!$B$80</f>
        <v>Rendah</v>
      </c>
      <c r="O296" s="8">
        <f>_xlfn.IFS(N296="Rendah",'B.kriteria &amp; R.kecocokan'!$C$80,N296="Tinggi",'B.kriteria &amp; R.kecocokan'!$C$81)</f>
        <v>2.5</v>
      </c>
      <c r="P296" s="9" t="str">
        <f>'B.kriteria &amp; R.kecocokan'!$B$88</f>
        <v>Sedang</v>
      </c>
      <c r="Q296" s="8">
        <f>_xlfn.IFS(P296="Sedikit",'B.kriteria &amp; R.kecocokan'!$C$89,P296="Sedang",'B.kriteria &amp; R.kecocokan'!$C$88,P296="Sangat Sedikit",'B.kriteria &amp; R.kecocokan'!$C$90)</f>
        <v>5</v>
      </c>
      <c r="R296" s="8" t="str">
        <f>'B.kriteria &amp; R.kecocokan'!$B$49</f>
        <v>Rendah</v>
      </c>
      <c r="S296" s="8">
        <f>_xlfn.IFS(R296="Rendah",'B.kriteria &amp; R.kecocokan'!$C$49,R296="Sedang",'B.kriteria &amp; R.kecocokan'!$C$50,R296="Tinggi",'B.kriteria &amp; R.kecocokan'!$C$51)</f>
        <v>2.5</v>
      </c>
      <c r="T296" s="8" t="str">
        <f>'B.kriteria &amp; R.kecocokan'!$B$57</f>
        <v>Rendah</v>
      </c>
      <c r="U296" s="51">
        <f>_xlfn.IFS(T296="Rendah",'B.kriteria &amp; R.kecocokan'!$C$57,T296="Sedang",'B.kriteria &amp; R.kecocokan'!$C$58,T296="Tinggi",'B.kriteria &amp; R.kecocokan'!$C$59)</f>
        <v>2.5</v>
      </c>
      <c r="V296" s="51" t="str">
        <f>'B.kriteria &amp; R.kecocokan'!$B$65</f>
        <v>Rendah</v>
      </c>
      <c r="W296" s="9">
        <f>_xlfn.IFS(V296="Rendah",'B.kriteria &amp; R.kecocokan'!$C$65,V296="Sedang",'B.kriteria &amp; R.kecocokan'!$C$66,V296="Tinggi",'B.kriteria &amp; R.kecocokan'!$C$67)</f>
        <v>1</v>
      </c>
      <c r="X296" s="117">
        <f t="shared" si="27"/>
        <v>6.6708966279890527</v>
      </c>
      <c r="Y296" s="117">
        <f t="shared" si="28"/>
        <v>4.2926065028412852</v>
      </c>
      <c r="Z296" s="119">
        <f t="shared" si="29"/>
        <v>4.2926065028412852</v>
      </c>
      <c r="AA296" s="55" t="str">
        <f t="shared" si="30"/>
        <v>Tidak Layak</v>
      </c>
    </row>
    <row r="297" spans="1:27" x14ac:dyDescent="0.35">
      <c r="A297" s="5">
        <v>76</v>
      </c>
      <c r="B297" s="2" t="s">
        <v>152</v>
      </c>
      <c r="C297" s="11" t="s">
        <v>95</v>
      </c>
      <c r="D297" s="9" t="str">
        <f>'B.kriteria &amp; R.kecocokan'!$B$23</f>
        <v>Banyak</v>
      </c>
      <c r="E297" s="111">
        <f>_xlfn.IFS(D297="Banyak",'B.kriteria &amp; R.kecocokan'!$C$23,D297="Cukup",'B.kriteria &amp; R.kecocokan'!$C$24,D297="Sedikit",'B.kriteria &amp; R.kecocokan'!$C$25)</f>
        <v>2.5</v>
      </c>
      <c r="F297" s="9" t="str">
        <f>'B.kriteria &amp; R.kecocokan'!$B$34</f>
        <v>Tinggi</v>
      </c>
      <c r="G297" s="8">
        <f>_xlfn.IFS(F297="Tinggi",'B.kriteria &amp; R.kecocokan'!$C$34,F297="Sangat Tinggi",'B.kriteria &amp; R.kecocokan'!$C$35)</f>
        <v>7.5</v>
      </c>
      <c r="H297" s="8" t="str">
        <f>'B.kriteria &amp; R.kecocokan'!$B$41</f>
        <v>Rendah</v>
      </c>
      <c r="I297" s="8">
        <f>_xlfn.IFS(H297="Rendah",'B.kriteria &amp; R.kecocokan'!$C$41,H297="Sedang",'B.kriteria &amp; R.kecocokan'!$C$42,H297="Tinggi",'B.kriteria &amp; R.kecocokan'!$C$43)</f>
        <v>2.5</v>
      </c>
      <c r="J297" s="8" t="str">
        <f>'B.kriteria &amp; R.kecocokan'!$B$72</f>
        <v>Rendah</v>
      </c>
      <c r="K297" s="8">
        <f>_xlfn.IFS(J297="Rendah",'B.kriteria &amp; R.kecocokan'!$C$72,J297="Sedang",'B.kriteria &amp; R.kecocokan'!$C$73,J297="Tinggi",'B.kriteria &amp; R.kecocokan'!$C$74)</f>
        <v>2.5</v>
      </c>
      <c r="L297" s="8" t="str">
        <f>'B.kriteria &amp; R.kecocokan'!$B$95</f>
        <v>Rendah</v>
      </c>
      <c r="M297" s="8">
        <f>_xlfn.IFS(L297="Rendah",'B.kriteria &amp; R.kecocokan'!$C$95,L297="Tinggi",'B.kriteria &amp; R.kecocokan'!$C$96)</f>
        <v>2.5</v>
      </c>
      <c r="N297" s="9" t="str">
        <f>'B.kriteria &amp; R.kecocokan'!$B$81</f>
        <v>Tinggi</v>
      </c>
      <c r="O297" s="8">
        <f>_xlfn.IFS(N297="Rendah",'B.kriteria &amp; R.kecocokan'!$C$80,N297="Tinggi",'B.kriteria &amp; R.kecocokan'!$C$81)</f>
        <v>7.5</v>
      </c>
      <c r="P297" s="9" t="str">
        <f>'B.kriteria &amp; R.kecocokan'!$B$88</f>
        <v>Sedang</v>
      </c>
      <c r="Q297" s="8">
        <f>_xlfn.IFS(P297="Sedikit",'B.kriteria &amp; R.kecocokan'!$C$89,P297="Sedang",'B.kriteria &amp; R.kecocokan'!$C$88,P297="Sangat Sedikit",'B.kriteria &amp; R.kecocokan'!$C$90)</f>
        <v>5</v>
      </c>
      <c r="R297" s="8" t="str">
        <f>'B.kriteria &amp; R.kecocokan'!$B$49</f>
        <v>Rendah</v>
      </c>
      <c r="S297" s="8">
        <f>_xlfn.IFS(R297="Rendah",'B.kriteria &amp; R.kecocokan'!$C$49,R297="Sedang",'B.kriteria &amp; R.kecocokan'!$C$50,R297="Tinggi",'B.kriteria &amp; R.kecocokan'!$C$51)</f>
        <v>2.5</v>
      </c>
      <c r="T297" s="8" t="str">
        <f>'B.kriteria &amp; R.kecocokan'!$B$57</f>
        <v>Rendah</v>
      </c>
      <c r="U297" s="51">
        <f>_xlfn.IFS(T297="Rendah",'B.kriteria &amp; R.kecocokan'!$C$57,T297="Sedang",'B.kriteria &amp; R.kecocokan'!$C$58,T297="Tinggi",'B.kriteria &amp; R.kecocokan'!$C$59)</f>
        <v>2.5</v>
      </c>
      <c r="V297" s="51" t="str">
        <f>'B.kriteria &amp; R.kecocokan'!$B$65</f>
        <v>Rendah</v>
      </c>
      <c r="W297" s="9">
        <f>_xlfn.IFS(V297="Rendah",'B.kriteria &amp; R.kecocokan'!$C$65,V297="Sedang",'B.kriteria &amp; R.kecocokan'!$C$66,V297="Tinggi",'B.kriteria &amp; R.kecocokan'!$C$67)</f>
        <v>1</v>
      </c>
      <c r="X297" s="117">
        <f t="shared" si="27"/>
        <v>5.15735585823146</v>
      </c>
      <c r="Y297" s="117">
        <f t="shared" si="28"/>
        <v>5.5941145543382307</v>
      </c>
      <c r="Z297" s="119">
        <f t="shared" si="29"/>
        <v>5.15735585823146</v>
      </c>
      <c r="AA297" s="55" t="str">
        <f t="shared" si="30"/>
        <v>Layak</v>
      </c>
    </row>
    <row r="298" spans="1:27" x14ac:dyDescent="0.35">
      <c r="A298" s="1">
        <v>77</v>
      </c>
      <c r="B298" s="2" t="s">
        <v>157</v>
      </c>
      <c r="C298" s="11" t="s">
        <v>95</v>
      </c>
      <c r="D298" s="32" t="str">
        <f>'B.kriteria &amp; R.kecocokan'!$B$24</f>
        <v>Cukup</v>
      </c>
      <c r="E298" s="111">
        <f>_xlfn.IFS(D298="Banyak",'B.kriteria &amp; R.kecocokan'!$C$23,D298="Cukup",'B.kriteria &amp; R.kecocokan'!$C$24,D298="Sedikit",'B.kriteria &amp; R.kecocokan'!$C$25)</f>
        <v>5</v>
      </c>
      <c r="F298" s="9" t="str">
        <f>'B.kriteria &amp; R.kecocokan'!$B$34</f>
        <v>Tinggi</v>
      </c>
      <c r="G298" s="8">
        <f>_xlfn.IFS(F298="Tinggi",'B.kriteria &amp; R.kecocokan'!$C$34,F298="Sangat Tinggi",'B.kriteria &amp; R.kecocokan'!$C$35)</f>
        <v>7.5</v>
      </c>
      <c r="H298" s="8" t="str">
        <f>'B.kriteria &amp; R.kecocokan'!$B$41</f>
        <v>Rendah</v>
      </c>
      <c r="I298" s="8">
        <f>_xlfn.IFS(H298="Rendah",'B.kriteria &amp; R.kecocokan'!$C$41,H298="Sedang",'B.kriteria &amp; R.kecocokan'!$C$42,H298="Tinggi",'B.kriteria &amp; R.kecocokan'!$C$43)</f>
        <v>2.5</v>
      </c>
      <c r="J298" s="8" t="str">
        <f>'B.kriteria &amp; R.kecocokan'!$B$72</f>
        <v>Rendah</v>
      </c>
      <c r="K298" s="8">
        <f>_xlfn.IFS(J298="Rendah",'B.kriteria &amp; R.kecocokan'!$C$72,J298="Sedang",'B.kriteria &amp; R.kecocokan'!$C$73,J298="Tinggi",'B.kriteria &amp; R.kecocokan'!$C$74)</f>
        <v>2.5</v>
      </c>
      <c r="L298" s="8" t="str">
        <f>'B.kriteria &amp; R.kecocokan'!$B$95</f>
        <v>Rendah</v>
      </c>
      <c r="M298" s="8">
        <f>_xlfn.IFS(L298="Rendah",'B.kriteria &amp; R.kecocokan'!$C$95,L298="Tinggi",'B.kriteria &amp; R.kecocokan'!$C$96)</f>
        <v>2.5</v>
      </c>
      <c r="N298" s="9" t="str">
        <f>'B.kriteria &amp; R.kecocokan'!$B$81</f>
        <v>Tinggi</v>
      </c>
      <c r="O298" s="8">
        <f>_xlfn.IFS(N298="Rendah",'B.kriteria &amp; R.kecocokan'!$C$80,N298="Tinggi",'B.kriteria &amp; R.kecocokan'!$C$81)</f>
        <v>7.5</v>
      </c>
      <c r="P298" s="9" t="str">
        <f>'B.kriteria &amp; R.kecocokan'!$B$90</f>
        <v>Sangat Sedikit</v>
      </c>
      <c r="Q298" s="8">
        <f>_xlfn.IFS(P298="Sedikit",'B.kriteria &amp; R.kecocokan'!$C$89,P298="Sedang",'B.kriteria &amp; R.kecocokan'!$C$88,P298="Sangat Sedikit",'B.kriteria &amp; R.kecocokan'!$C$90)</f>
        <v>1</v>
      </c>
      <c r="R298" s="8" t="str">
        <f>'B.kriteria &amp; R.kecocokan'!$B$49</f>
        <v>Rendah</v>
      </c>
      <c r="S298" s="8">
        <f>_xlfn.IFS(R298="Rendah",'B.kriteria &amp; R.kecocokan'!$C$49,R298="Sedang",'B.kriteria &amp; R.kecocokan'!$C$50,R298="Tinggi",'B.kriteria &amp; R.kecocokan'!$C$51)</f>
        <v>2.5</v>
      </c>
      <c r="T298" s="8" t="str">
        <f>'B.kriteria &amp; R.kecocokan'!$B$57</f>
        <v>Rendah</v>
      </c>
      <c r="U298" s="51">
        <f>_xlfn.IFS(T298="Rendah",'B.kriteria &amp; R.kecocokan'!$C$57,T298="Sedang",'B.kriteria &amp; R.kecocokan'!$C$58,T298="Tinggi",'B.kriteria &amp; R.kecocokan'!$C$59)</f>
        <v>2.5</v>
      </c>
      <c r="V298" s="51" t="str">
        <f>'B.kriteria &amp; R.kecocokan'!$B$65</f>
        <v>Rendah</v>
      </c>
      <c r="W298" s="9">
        <f>_xlfn.IFS(V298="Rendah",'B.kriteria &amp; R.kecocokan'!$C$65,V298="Sedang",'B.kriteria &amp; R.kecocokan'!$C$66,V298="Tinggi",'B.kriteria &amp; R.kecocokan'!$C$67)</f>
        <v>1</v>
      </c>
      <c r="X298" s="117">
        <f t="shared" si="27"/>
        <v>2.3126433898105336</v>
      </c>
      <c r="Y298" s="117">
        <f t="shared" si="28"/>
        <v>6.1321237085100124</v>
      </c>
      <c r="Z298" s="119">
        <f t="shared" si="29"/>
        <v>2.3126433898105336</v>
      </c>
      <c r="AA298" s="55" t="str">
        <f t="shared" si="30"/>
        <v>Layak</v>
      </c>
    </row>
    <row r="299" spans="1:27" x14ac:dyDescent="0.35">
      <c r="A299" s="5">
        <v>78</v>
      </c>
      <c r="B299" s="2" t="s">
        <v>146</v>
      </c>
      <c r="C299" s="11" t="s">
        <v>235</v>
      </c>
      <c r="D299" s="32" t="str">
        <f>'B.kriteria &amp; R.kecocokan'!$B$24</f>
        <v>Cukup</v>
      </c>
      <c r="E299" s="111">
        <f>_xlfn.IFS(D299="Banyak",'B.kriteria &amp; R.kecocokan'!$C$23,D299="Cukup",'B.kriteria &amp; R.kecocokan'!$C$24,D299="Sedikit",'B.kriteria &amp; R.kecocokan'!$C$25)</f>
        <v>5</v>
      </c>
      <c r="F299" s="9" t="str">
        <f>'B.kriteria &amp; R.kecocokan'!$B$34</f>
        <v>Tinggi</v>
      </c>
      <c r="G299" s="8">
        <f>_xlfn.IFS(F299="Tinggi",'B.kriteria &amp; R.kecocokan'!$C$34,F299="Sangat Tinggi",'B.kriteria &amp; R.kecocokan'!$C$35)</f>
        <v>7.5</v>
      </c>
      <c r="H299" s="9" t="str">
        <f>'B.kriteria &amp; R.kecocokan'!$B$43</f>
        <v>Tinggi</v>
      </c>
      <c r="I299" s="8">
        <f>_xlfn.IFS(H299="Rendah",'B.kriteria &amp; R.kecocokan'!$C$41,H299="Sedang",'B.kriteria &amp; R.kecocokan'!$C$42,H299="Tinggi",'B.kriteria &amp; R.kecocokan'!$C$43)</f>
        <v>7.5</v>
      </c>
      <c r="J299" s="8" t="str">
        <f>'B.kriteria &amp; R.kecocokan'!$B$72</f>
        <v>Rendah</v>
      </c>
      <c r="K299" s="8">
        <f>_xlfn.IFS(J299="Rendah",'B.kriteria &amp; R.kecocokan'!$C$72,J299="Sedang",'B.kriteria &amp; R.kecocokan'!$C$73,J299="Tinggi",'B.kriteria &amp; R.kecocokan'!$C$74)</f>
        <v>2.5</v>
      </c>
      <c r="L299" s="8" t="str">
        <f>'B.kriteria &amp; R.kecocokan'!$B$95</f>
        <v>Rendah</v>
      </c>
      <c r="M299" s="8">
        <f>_xlfn.IFS(L299="Rendah",'B.kriteria &amp; R.kecocokan'!$C$95,L299="Tinggi",'B.kriteria &amp; R.kecocokan'!$C$96)</f>
        <v>2.5</v>
      </c>
      <c r="N299" s="8" t="str">
        <f>'B.kriteria &amp; R.kecocokan'!$B$80</f>
        <v>Rendah</v>
      </c>
      <c r="O299" s="8">
        <f>_xlfn.IFS(N299="Rendah",'B.kriteria &amp; R.kecocokan'!$C$80,N299="Tinggi",'B.kriteria &amp; R.kecocokan'!$C$81)</f>
        <v>2.5</v>
      </c>
      <c r="P299" s="9" t="str">
        <f>'B.kriteria &amp; R.kecocokan'!$B$90</f>
        <v>Sangat Sedikit</v>
      </c>
      <c r="Q299" s="8">
        <f>_xlfn.IFS(P299="Sedikit",'B.kriteria &amp; R.kecocokan'!$C$89,P299="Sedang",'B.kriteria &amp; R.kecocokan'!$C$88,P299="Sangat Sedikit",'B.kriteria &amp; R.kecocokan'!$C$90)</f>
        <v>1</v>
      </c>
      <c r="R299" s="8" t="str">
        <f>'B.kriteria &amp; R.kecocokan'!$B$49</f>
        <v>Rendah</v>
      </c>
      <c r="S299" s="8">
        <f>_xlfn.IFS(R299="Rendah",'B.kriteria &amp; R.kecocokan'!$C$49,R299="Sedang",'B.kriteria &amp; R.kecocokan'!$C$50,R299="Tinggi",'B.kriteria &amp; R.kecocokan'!$C$51)</f>
        <v>2.5</v>
      </c>
      <c r="T299" s="8" t="str">
        <f>'B.kriteria &amp; R.kecocokan'!$B$57</f>
        <v>Rendah</v>
      </c>
      <c r="U299" s="51">
        <f>_xlfn.IFS(T299="Rendah",'B.kriteria &amp; R.kecocokan'!$C$57,T299="Sedang",'B.kriteria &amp; R.kecocokan'!$C$58,T299="Tinggi",'B.kriteria &amp; R.kecocokan'!$C$59)</f>
        <v>2.5</v>
      </c>
      <c r="V299" s="51" t="str">
        <f>'B.kriteria &amp; R.kecocokan'!$B$65</f>
        <v>Rendah</v>
      </c>
      <c r="W299" s="9">
        <f>_xlfn.IFS(V299="Rendah",'B.kriteria &amp; R.kecocokan'!$C$65,V299="Sedang",'B.kriteria &amp; R.kecocokan'!$C$66,V299="Tinggi",'B.kriteria &amp; R.kecocokan'!$C$67)</f>
        <v>1</v>
      </c>
      <c r="X299" s="117">
        <f t="shared" si="27"/>
        <v>5.7718646158195375</v>
      </c>
      <c r="Y299" s="117">
        <f t="shared" si="28"/>
        <v>5.3646446074932008</v>
      </c>
      <c r="Z299" s="119">
        <f t="shared" si="29"/>
        <v>5.3646446074932008</v>
      </c>
      <c r="AA299" s="55" t="str">
        <f t="shared" si="30"/>
        <v>Tidak Layak</v>
      </c>
    </row>
    <row r="300" spans="1:27" x14ac:dyDescent="0.35">
      <c r="A300" s="5">
        <v>79</v>
      </c>
      <c r="B300" s="2" t="s">
        <v>173</v>
      </c>
      <c r="C300" s="11" t="s">
        <v>95</v>
      </c>
      <c r="D300" s="28" t="str">
        <f>'B.kriteria &amp; R.kecocokan'!$B$25</f>
        <v>Sedikit</v>
      </c>
      <c r="E300" s="111">
        <f>_xlfn.IFS(D300="Banyak",'B.kriteria &amp; R.kecocokan'!$C$23,D300="Cukup",'B.kriteria &amp; R.kecocokan'!$C$24,D300="Sedikit",'B.kriteria &amp; R.kecocokan'!$C$25)</f>
        <v>7.5</v>
      </c>
      <c r="F300" s="9" t="str">
        <f>'B.kriteria &amp; R.kecocokan'!$B$34</f>
        <v>Tinggi</v>
      </c>
      <c r="G300" s="8">
        <f>_xlfn.IFS(F300="Tinggi",'B.kriteria &amp; R.kecocokan'!$C$34,F300="Sangat Tinggi",'B.kriteria &amp; R.kecocokan'!$C$35)</f>
        <v>7.5</v>
      </c>
      <c r="H300" s="8" t="str">
        <f>'B.kriteria &amp; R.kecocokan'!$B$41</f>
        <v>Rendah</v>
      </c>
      <c r="I300" s="8">
        <f>_xlfn.IFS(H300="Rendah",'B.kriteria &amp; R.kecocokan'!$C$41,H300="Sedang",'B.kriteria &amp; R.kecocokan'!$C$42,H300="Tinggi",'B.kriteria &amp; R.kecocokan'!$C$43)</f>
        <v>2.5</v>
      </c>
      <c r="J300" s="8" t="str">
        <f>'B.kriteria &amp; R.kecocokan'!$B$72</f>
        <v>Rendah</v>
      </c>
      <c r="K300" s="8">
        <f>_xlfn.IFS(J300="Rendah",'B.kriteria &amp; R.kecocokan'!$C$72,J300="Sedang",'B.kriteria &amp; R.kecocokan'!$C$73,J300="Tinggi",'B.kriteria &amp; R.kecocokan'!$C$74)</f>
        <v>2.5</v>
      </c>
      <c r="L300" s="8" t="str">
        <f>'B.kriteria &amp; R.kecocokan'!$B$95</f>
        <v>Rendah</v>
      </c>
      <c r="M300" s="8">
        <f>_xlfn.IFS(L300="Rendah",'B.kriteria &amp; R.kecocokan'!$C$95,L300="Tinggi",'B.kriteria &amp; R.kecocokan'!$C$96)</f>
        <v>2.5</v>
      </c>
      <c r="N300" s="9" t="str">
        <f>'B.kriteria &amp; R.kecocokan'!$B$81</f>
        <v>Tinggi</v>
      </c>
      <c r="O300" s="8">
        <f>_xlfn.IFS(N300="Rendah",'B.kriteria &amp; R.kecocokan'!$C$80,N300="Tinggi",'B.kriteria &amp; R.kecocokan'!$C$81)</f>
        <v>7.5</v>
      </c>
      <c r="P300" s="9" t="str">
        <f>'B.kriteria &amp; R.kecocokan'!$B$90</f>
        <v>Sangat Sedikit</v>
      </c>
      <c r="Q300" s="8">
        <f>_xlfn.IFS(P300="Sedikit",'B.kriteria &amp; R.kecocokan'!$C$89,P300="Sedang",'B.kriteria &amp; R.kecocokan'!$C$88,P300="Sangat Sedikit",'B.kriteria &amp; R.kecocokan'!$C$90)</f>
        <v>1</v>
      </c>
      <c r="R300" s="8" t="str">
        <f>'B.kriteria &amp; R.kecocokan'!$B$49</f>
        <v>Rendah</v>
      </c>
      <c r="S300" s="8">
        <f>_xlfn.IFS(R300="Rendah",'B.kriteria &amp; R.kecocokan'!$C$49,R300="Sedang",'B.kriteria &amp; R.kecocokan'!$C$50,R300="Tinggi",'B.kriteria &amp; R.kecocokan'!$C$51)</f>
        <v>2.5</v>
      </c>
      <c r="T300" s="9" t="str">
        <f>'B.kriteria &amp; R.kecocokan'!$B$58</f>
        <v>Sedang</v>
      </c>
      <c r="U300" s="51">
        <f>_xlfn.IFS(T300="Rendah",'B.kriteria &amp; R.kecocokan'!$C$57,T300="Sedang",'B.kriteria &amp; R.kecocokan'!$C$58,T300="Tinggi",'B.kriteria &amp; R.kecocokan'!$C$59)</f>
        <v>5</v>
      </c>
      <c r="V300" s="51" t="str">
        <f>'B.kriteria &amp; R.kecocokan'!$B$65</f>
        <v>Rendah</v>
      </c>
      <c r="W300" s="9">
        <f>_xlfn.IFS(V300="Rendah",'B.kriteria &amp; R.kecocokan'!$C$65,V300="Sedang",'B.kriteria &amp; R.kecocokan'!$C$66,V300="Tinggi",'B.kriteria &amp; R.kecocokan'!$C$67)</f>
        <v>1</v>
      </c>
      <c r="X300" s="117">
        <f t="shared" si="27"/>
        <v>3.1637535298418711</v>
      </c>
      <c r="Y300" s="117">
        <f t="shared" si="28"/>
        <v>7.0262114299829834</v>
      </c>
      <c r="Z300" s="119">
        <f t="shared" si="29"/>
        <v>3.1637535298418711</v>
      </c>
      <c r="AA300" s="55" t="str">
        <f t="shared" si="30"/>
        <v>Layak</v>
      </c>
    </row>
    <row r="301" spans="1:27" x14ac:dyDescent="0.35">
      <c r="A301" s="1">
        <v>80</v>
      </c>
      <c r="B301" s="2" t="s">
        <v>150</v>
      </c>
      <c r="C301" s="11" t="s">
        <v>95</v>
      </c>
      <c r="D301" s="28" t="str">
        <f>'B.kriteria &amp; R.kecocokan'!$B$25</f>
        <v>Sedikit</v>
      </c>
      <c r="E301" s="111">
        <f>_xlfn.IFS(D301="Banyak",'B.kriteria &amp; R.kecocokan'!$C$23,D301="Cukup",'B.kriteria &amp; R.kecocokan'!$C$24,D301="Sedikit",'B.kriteria &amp; R.kecocokan'!$C$25)</f>
        <v>7.5</v>
      </c>
      <c r="F301" s="9" t="str">
        <f>'B.kriteria &amp; R.kecocokan'!$B$34</f>
        <v>Tinggi</v>
      </c>
      <c r="G301" s="8">
        <f>_xlfn.IFS(F301="Tinggi",'B.kriteria &amp; R.kecocokan'!$C$34,F301="Sangat Tinggi",'B.kriteria &amp; R.kecocokan'!$C$35)</f>
        <v>7.5</v>
      </c>
      <c r="H301" s="9" t="str">
        <f>'B.kriteria &amp; R.kecocokan'!$B$43</f>
        <v>Tinggi</v>
      </c>
      <c r="I301" s="8">
        <f>_xlfn.IFS(H301="Rendah",'B.kriteria &amp; R.kecocokan'!$C$41,H301="Sedang",'B.kriteria &amp; R.kecocokan'!$C$42,H301="Tinggi",'B.kriteria &amp; R.kecocokan'!$C$43)</f>
        <v>7.5</v>
      </c>
      <c r="J301" s="8" t="str">
        <f>'B.kriteria &amp; R.kecocokan'!$B$72</f>
        <v>Rendah</v>
      </c>
      <c r="K301" s="8">
        <f>_xlfn.IFS(J301="Rendah",'B.kriteria &amp; R.kecocokan'!$C$72,J301="Sedang",'B.kriteria &amp; R.kecocokan'!$C$73,J301="Tinggi",'B.kriteria &amp; R.kecocokan'!$C$74)</f>
        <v>2.5</v>
      </c>
      <c r="L301" s="9" t="str">
        <f>'B.kriteria &amp; R.kecocokan'!$B$96</f>
        <v>Tinggi</v>
      </c>
      <c r="M301" s="8">
        <f>_xlfn.IFS(L301="Rendah",'B.kriteria &amp; R.kecocokan'!$C$95,L301="Tinggi",'B.kriteria &amp; R.kecocokan'!$C$96)</f>
        <v>7.5</v>
      </c>
      <c r="N301" s="8" t="str">
        <f>'B.kriteria &amp; R.kecocokan'!$B$80</f>
        <v>Rendah</v>
      </c>
      <c r="O301" s="8">
        <f>_xlfn.IFS(N301="Rendah",'B.kriteria &amp; R.kecocokan'!$C$80,N301="Tinggi",'B.kriteria &amp; R.kecocokan'!$C$81)</f>
        <v>2.5</v>
      </c>
      <c r="P301" s="8" t="str">
        <f>'B.kriteria &amp; R.kecocokan'!$B$89</f>
        <v>Sedikit</v>
      </c>
      <c r="Q301" s="8">
        <f>_xlfn.IFS(P301="Sedikit",'B.kriteria &amp; R.kecocokan'!$C$89,P301="Sedang",'B.kriteria &amp; R.kecocokan'!$C$88,P301="Sangat Sedikit",'B.kriteria &amp; R.kecocokan'!$C$90)</f>
        <v>2.5</v>
      </c>
      <c r="R301" s="8" t="str">
        <f>'B.kriteria &amp; R.kecocokan'!$B$49</f>
        <v>Rendah</v>
      </c>
      <c r="S301" s="8">
        <f>_xlfn.IFS(R301="Rendah",'B.kriteria &amp; R.kecocokan'!$C$49,R301="Sedang",'B.kriteria &amp; R.kecocokan'!$C$50,R301="Tinggi",'B.kriteria &amp; R.kecocokan'!$C$51)</f>
        <v>2.5</v>
      </c>
      <c r="T301" s="8" t="str">
        <f>'B.kriteria &amp; R.kecocokan'!$B$57</f>
        <v>Rendah</v>
      </c>
      <c r="U301" s="51">
        <f>_xlfn.IFS(T301="Rendah",'B.kriteria &amp; R.kecocokan'!$C$57,T301="Sedang",'B.kriteria &amp; R.kecocokan'!$C$58,T301="Tinggi",'B.kriteria &amp; R.kecocokan'!$C$59)</f>
        <v>2.5</v>
      </c>
      <c r="V301" s="51" t="str">
        <f>'B.kriteria &amp; R.kecocokan'!$B$65</f>
        <v>Rendah</v>
      </c>
      <c r="W301" s="9">
        <f>_xlfn.IFS(V301="Rendah",'B.kriteria &amp; R.kecocokan'!$C$65,V301="Sedang",'B.kriteria &amp; R.kecocokan'!$C$66,V301="Tinggi",'B.kriteria &amp; R.kecocokan'!$C$67)</f>
        <v>1</v>
      </c>
      <c r="X301" s="117">
        <f t="shared" si="27"/>
        <v>7.7136801736470586</v>
      </c>
      <c r="Y301" s="117">
        <f t="shared" si="28"/>
        <v>7.3893802971880245</v>
      </c>
      <c r="Z301" s="119">
        <f t="shared" si="29"/>
        <v>7.3893802971880245</v>
      </c>
      <c r="AA301" s="55" t="str">
        <f t="shared" si="30"/>
        <v>Tidak Layak</v>
      </c>
    </row>
    <row r="302" spans="1:27" x14ac:dyDescent="0.35">
      <c r="A302" s="5">
        <v>81</v>
      </c>
      <c r="B302" s="2" t="s">
        <v>147</v>
      </c>
      <c r="C302" s="11" t="s">
        <v>95</v>
      </c>
      <c r="D302" s="28" t="str">
        <f>'B.kriteria &amp; R.kecocokan'!$B$25</f>
        <v>Sedikit</v>
      </c>
      <c r="E302" s="111">
        <f>_xlfn.IFS(D302="Banyak",'B.kriteria &amp; R.kecocokan'!$C$23,D302="Cukup",'B.kriteria &amp; R.kecocokan'!$C$24,D302="Sedikit",'B.kriteria &amp; R.kecocokan'!$C$25)</f>
        <v>7.5</v>
      </c>
      <c r="F302" s="9" t="str">
        <f>'B.kriteria &amp; R.kecocokan'!$B$34</f>
        <v>Tinggi</v>
      </c>
      <c r="G302" s="8">
        <f>_xlfn.IFS(F302="Tinggi",'B.kriteria &amp; R.kecocokan'!$C$34,F302="Sangat Tinggi",'B.kriteria &amp; R.kecocokan'!$C$35)</f>
        <v>7.5</v>
      </c>
      <c r="H302" s="8" t="str">
        <f>'B.kriteria &amp; R.kecocokan'!$B$41</f>
        <v>Rendah</v>
      </c>
      <c r="I302" s="8">
        <f>_xlfn.IFS(H302="Rendah",'B.kriteria &amp; R.kecocokan'!$C$41,H302="Sedang",'B.kriteria &amp; R.kecocokan'!$C$42,H302="Tinggi",'B.kriteria &amp; R.kecocokan'!$C$43)</f>
        <v>2.5</v>
      </c>
      <c r="J302" s="8" t="str">
        <f>'B.kriteria &amp; R.kecocokan'!$B$72</f>
        <v>Rendah</v>
      </c>
      <c r="K302" s="8">
        <f>_xlfn.IFS(J302="Rendah",'B.kriteria &amp; R.kecocokan'!$C$72,J302="Sedang",'B.kriteria &amp; R.kecocokan'!$C$73,J302="Tinggi",'B.kriteria &amp; R.kecocokan'!$C$74)</f>
        <v>2.5</v>
      </c>
      <c r="L302" s="8" t="str">
        <f>'B.kriteria &amp; R.kecocokan'!$B$95</f>
        <v>Rendah</v>
      </c>
      <c r="M302" s="8">
        <f>_xlfn.IFS(L302="Rendah",'B.kriteria &amp; R.kecocokan'!$C$95,L302="Tinggi",'B.kriteria &amp; R.kecocokan'!$C$96)</f>
        <v>2.5</v>
      </c>
      <c r="N302" s="9" t="str">
        <f>'B.kriteria &amp; R.kecocokan'!$B$81</f>
        <v>Tinggi</v>
      </c>
      <c r="O302" s="8">
        <f>_xlfn.IFS(N302="Rendah",'B.kriteria &amp; R.kecocokan'!$C$80,N302="Tinggi",'B.kriteria &amp; R.kecocokan'!$C$81)</f>
        <v>7.5</v>
      </c>
      <c r="P302" s="9" t="str">
        <f>'B.kriteria &amp; R.kecocokan'!$B$90</f>
        <v>Sangat Sedikit</v>
      </c>
      <c r="Q302" s="8">
        <f>_xlfn.IFS(P302="Sedikit",'B.kriteria &amp; R.kecocokan'!$C$89,P302="Sedang",'B.kriteria &amp; R.kecocokan'!$C$88,P302="Sangat Sedikit",'B.kriteria &amp; R.kecocokan'!$C$90)</f>
        <v>1</v>
      </c>
      <c r="R302" s="8" t="str">
        <f>'B.kriteria &amp; R.kecocokan'!$B$49</f>
        <v>Rendah</v>
      </c>
      <c r="S302" s="8">
        <f>_xlfn.IFS(R302="Rendah",'B.kriteria &amp; R.kecocokan'!$C$49,R302="Sedang",'B.kriteria &amp; R.kecocokan'!$C$50,R302="Tinggi",'B.kriteria &amp; R.kecocokan'!$C$51)</f>
        <v>2.5</v>
      </c>
      <c r="T302" s="8" t="str">
        <f>'B.kriteria &amp; R.kecocokan'!$B$57</f>
        <v>Rendah</v>
      </c>
      <c r="U302" s="51">
        <f>_xlfn.IFS(T302="Rendah",'B.kriteria &amp; R.kecocokan'!$C$57,T302="Sedang",'B.kriteria &amp; R.kecocokan'!$C$58,T302="Tinggi",'B.kriteria &amp; R.kecocokan'!$C$59)</f>
        <v>2.5</v>
      </c>
      <c r="V302" s="51" t="str">
        <f>'B.kriteria &amp; R.kecocokan'!$B$65</f>
        <v>Rendah</v>
      </c>
      <c r="W302" s="9">
        <f>_xlfn.IFS(V302="Rendah",'B.kriteria &amp; R.kecocokan'!$C$65,V302="Sedang",'B.kriteria &amp; R.kecocokan'!$C$66,V302="Tinggi",'B.kriteria &amp; R.kecocokan'!$C$67)</f>
        <v>1</v>
      </c>
      <c r="X302" s="117">
        <f t="shared" si="27"/>
        <v>2.7901182997142717</v>
      </c>
      <c r="Y302" s="117">
        <f t="shared" si="28"/>
        <v>6.7866651257750865</v>
      </c>
      <c r="Z302" s="119">
        <f t="shared" si="29"/>
        <v>2.7901182997142717</v>
      </c>
      <c r="AA302" s="55" t="str">
        <f t="shared" si="30"/>
        <v>Layak</v>
      </c>
    </row>
    <row r="303" spans="1:27" x14ac:dyDescent="0.35">
      <c r="A303" s="5">
        <v>82</v>
      </c>
      <c r="B303" s="2" t="s">
        <v>126</v>
      </c>
      <c r="C303" s="11" t="s">
        <v>95</v>
      </c>
      <c r="D303" s="28" t="str">
        <f>'B.kriteria &amp; R.kecocokan'!$B$25</f>
        <v>Sedikit</v>
      </c>
      <c r="E303" s="111">
        <f>_xlfn.IFS(D303="Banyak",'B.kriteria &amp; R.kecocokan'!$C$23,D303="Cukup",'B.kriteria &amp; R.kecocokan'!$C$24,D303="Sedikit",'B.kriteria &amp; R.kecocokan'!$C$25)</f>
        <v>7.5</v>
      </c>
      <c r="F303" s="9" t="str">
        <f>'B.kriteria &amp; R.kecocokan'!$B$34</f>
        <v>Tinggi</v>
      </c>
      <c r="G303" s="8">
        <f>_xlfn.IFS(F303="Tinggi",'B.kriteria &amp; R.kecocokan'!$C$34,F303="Sangat Tinggi",'B.kriteria &amp; R.kecocokan'!$C$35)</f>
        <v>7.5</v>
      </c>
      <c r="H303" s="8" t="str">
        <f>'B.kriteria &amp; R.kecocokan'!$B$41</f>
        <v>Rendah</v>
      </c>
      <c r="I303" s="8">
        <f>_xlfn.IFS(H303="Rendah",'B.kriteria &amp; R.kecocokan'!$C$41,H303="Sedang",'B.kriteria &amp; R.kecocokan'!$C$42,H303="Tinggi",'B.kriteria &amp; R.kecocokan'!$C$43)</f>
        <v>2.5</v>
      </c>
      <c r="J303" s="8" t="str">
        <f>'B.kriteria &amp; R.kecocokan'!$B$72</f>
        <v>Rendah</v>
      </c>
      <c r="K303" s="8">
        <f>_xlfn.IFS(J303="Rendah",'B.kriteria &amp; R.kecocokan'!$C$72,J303="Sedang",'B.kriteria &amp; R.kecocokan'!$C$73,J303="Tinggi",'B.kriteria &amp; R.kecocokan'!$C$74)</f>
        <v>2.5</v>
      </c>
      <c r="L303" s="8" t="str">
        <f>'B.kriteria &amp; R.kecocokan'!$B$95</f>
        <v>Rendah</v>
      </c>
      <c r="M303" s="8">
        <f>_xlfn.IFS(L303="Rendah",'B.kriteria &amp; R.kecocokan'!$C$95,L303="Tinggi",'B.kriteria &amp; R.kecocokan'!$C$96)</f>
        <v>2.5</v>
      </c>
      <c r="N303" s="8" t="str">
        <f>'B.kriteria &amp; R.kecocokan'!$B$80</f>
        <v>Rendah</v>
      </c>
      <c r="O303" s="8">
        <f>_xlfn.IFS(N303="Rendah",'B.kriteria &amp; R.kecocokan'!$C$80,N303="Tinggi",'B.kriteria &amp; R.kecocokan'!$C$81)</f>
        <v>2.5</v>
      </c>
      <c r="P303" s="9" t="str">
        <f>'B.kriteria &amp; R.kecocokan'!$B$88</f>
        <v>Sedang</v>
      </c>
      <c r="Q303" s="8">
        <f>_xlfn.IFS(P303="Sedikit",'B.kriteria &amp; R.kecocokan'!$C$89,P303="Sedang",'B.kriteria &amp; R.kecocokan'!$C$88,P303="Sangat Sedikit",'B.kriteria &amp; R.kecocokan'!$C$90)</f>
        <v>5</v>
      </c>
      <c r="R303" s="8" t="str">
        <f>'B.kriteria &amp; R.kecocokan'!$B$49</f>
        <v>Rendah</v>
      </c>
      <c r="S303" s="8">
        <f>_xlfn.IFS(R303="Rendah",'B.kriteria &amp; R.kecocokan'!$C$49,R303="Sedang",'B.kriteria &amp; R.kecocokan'!$C$50,R303="Tinggi",'B.kriteria &amp; R.kecocokan'!$C$51)</f>
        <v>2.5</v>
      </c>
      <c r="T303" s="8" t="str">
        <f>'B.kriteria &amp; R.kecocokan'!$B$57</f>
        <v>Rendah</v>
      </c>
      <c r="U303" s="51">
        <f>_xlfn.IFS(T303="Rendah",'B.kriteria &amp; R.kecocokan'!$C$57,T303="Sedang",'B.kriteria &amp; R.kecocokan'!$C$58,T303="Tinggi",'B.kriteria &amp; R.kecocokan'!$C$59)</f>
        <v>2.5</v>
      </c>
      <c r="V303" s="51" t="str">
        <f>'B.kriteria &amp; R.kecocokan'!$B$65</f>
        <v>Rendah</v>
      </c>
      <c r="W303" s="9">
        <f>_xlfn.IFS(V303="Rendah",'B.kriteria &amp; R.kecocokan'!$C$65,V303="Sedang",'B.kriteria &amp; R.kecocokan'!$C$66,V303="Tinggi",'B.kriteria &amp; R.kecocokan'!$C$67)</f>
        <v>1</v>
      </c>
      <c r="X303" s="117">
        <f t="shared" si="27"/>
        <v>5.1161108896186995</v>
      </c>
      <c r="Y303" s="117">
        <f t="shared" si="28"/>
        <v>3.2719844670996188</v>
      </c>
      <c r="Z303" s="119">
        <f t="shared" si="29"/>
        <v>3.2719844670996188</v>
      </c>
      <c r="AA303" s="55" t="str">
        <f t="shared" si="30"/>
        <v>Tidak Layak</v>
      </c>
    </row>
    <row r="304" spans="1:27" x14ac:dyDescent="0.35">
      <c r="A304" s="1">
        <v>83</v>
      </c>
      <c r="B304" s="2" t="s">
        <v>178</v>
      </c>
      <c r="C304" s="11" t="s">
        <v>95</v>
      </c>
      <c r="D304" s="32" t="str">
        <f>'B.kriteria &amp; R.kecocokan'!$B$24</f>
        <v>Cukup</v>
      </c>
      <c r="E304" s="111">
        <f>_xlfn.IFS(D304="Banyak",'B.kriteria &amp; R.kecocokan'!$C$23,D304="Cukup",'B.kriteria &amp; R.kecocokan'!$C$24,D304="Sedikit",'B.kriteria &amp; R.kecocokan'!$C$25)</f>
        <v>5</v>
      </c>
      <c r="F304" s="9" t="str">
        <f>'B.kriteria &amp; R.kecocokan'!$B$34</f>
        <v>Tinggi</v>
      </c>
      <c r="G304" s="8">
        <f>_xlfn.IFS(F304="Tinggi",'B.kriteria &amp; R.kecocokan'!$C$34,F304="Sangat Tinggi",'B.kriteria &amp; R.kecocokan'!$C$35)</f>
        <v>7.5</v>
      </c>
      <c r="H304" s="8" t="str">
        <f>'B.kriteria &amp; R.kecocokan'!$B$41</f>
        <v>Rendah</v>
      </c>
      <c r="I304" s="8">
        <f>_xlfn.IFS(H304="Rendah",'B.kriteria &amp; R.kecocokan'!$C$41,H304="Sedang",'B.kriteria &amp; R.kecocokan'!$C$42,H304="Tinggi",'B.kriteria &amp; R.kecocokan'!$C$43)</f>
        <v>2.5</v>
      </c>
      <c r="J304" s="8" t="str">
        <f>'B.kriteria &amp; R.kecocokan'!$B$72</f>
        <v>Rendah</v>
      </c>
      <c r="K304" s="8">
        <f>_xlfn.IFS(J304="Rendah",'B.kriteria &amp; R.kecocokan'!$C$72,J304="Sedang",'B.kriteria &amp; R.kecocokan'!$C$73,J304="Tinggi",'B.kriteria &amp; R.kecocokan'!$C$74)</f>
        <v>2.5</v>
      </c>
      <c r="L304" s="8" t="str">
        <f>'B.kriteria &amp; R.kecocokan'!$B$95</f>
        <v>Rendah</v>
      </c>
      <c r="M304" s="8">
        <f>_xlfn.IFS(L304="Rendah",'B.kriteria &amp; R.kecocokan'!$C$95,L304="Tinggi",'B.kriteria &amp; R.kecocokan'!$C$96)</f>
        <v>2.5</v>
      </c>
      <c r="N304" s="8" t="str">
        <f>'B.kriteria &amp; R.kecocokan'!$B$80</f>
        <v>Rendah</v>
      </c>
      <c r="O304" s="8">
        <f>_xlfn.IFS(N304="Rendah",'B.kriteria &amp; R.kecocokan'!$C$80,N304="Tinggi",'B.kriteria &amp; R.kecocokan'!$C$81)</f>
        <v>2.5</v>
      </c>
      <c r="P304" s="8" t="str">
        <f>'B.kriteria &amp; R.kecocokan'!$B$89</f>
        <v>Sedikit</v>
      </c>
      <c r="Q304" s="8">
        <f>_xlfn.IFS(P304="Sedikit",'B.kriteria &amp; R.kecocokan'!$C$89,P304="Sedang",'B.kriteria &amp; R.kecocokan'!$C$88,P304="Sangat Sedikit",'B.kriteria &amp; R.kecocokan'!$C$90)</f>
        <v>2.5</v>
      </c>
      <c r="R304" s="8" t="str">
        <f>'B.kriteria &amp; R.kecocokan'!$B$49</f>
        <v>Rendah</v>
      </c>
      <c r="S304" s="8">
        <f>_xlfn.IFS(R304="Rendah",'B.kriteria &amp; R.kecocokan'!$C$49,R304="Sedang",'B.kriteria &amp; R.kecocokan'!$C$50,R304="Tinggi",'B.kriteria &amp; R.kecocokan'!$C$51)</f>
        <v>2.5</v>
      </c>
      <c r="T304" s="9" t="str">
        <f>'B.kriteria &amp; R.kecocokan'!$B$58</f>
        <v>Sedang</v>
      </c>
      <c r="U304" s="51">
        <f>_xlfn.IFS(T304="Rendah",'B.kriteria &amp; R.kecocokan'!$C$57,T304="Sedang",'B.kriteria &amp; R.kecocokan'!$C$58,T304="Tinggi",'B.kriteria &amp; R.kecocokan'!$C$59)</f>
        <v>5</v>
      </c>
      <c r="V304" s="51" t="str">
        <f>'B.kriteria &amp; R.kecocokan'!$B$65</f>
        <v>Rendah</v>
      </c>
      <c r="W304" s="9">
        <f>_xlfn.IFS(V304="Rendah",'B.kriteria &amp; R.kecocokan'!$C$65,V304="Sedang",'B.kriteria &amp; R.kecocokan'!$C$66,V304="Tinggi",'B.kriteria &amp; R.kecocokan'!$C$67)</f>
        <v>1</v>
      </c>
      <c r="X304" s="117">
        <f t="shared" si="27"/>
        <v>3.901435736285626</v>
      </c>
      <c r="Y304" s="117">
        <f t="shared" si="28"/>
        <v>2.8773966992241236</v>
      </c>
      <c r="Z304" s="119">
        <f t="shared" si="29"/>
        <v>2.8773966992241236</v>
      </c>
      <c r="AA304" s="55" t="str">
        <f t="shared" si="30"/>
        <v>Tidak Layak</v>
      </c>
    </row>
    <row r="305" spans="1:27" x14ac:dyDescent="0.35">
      <c r="A305" s="5">
        <v>84</v>
      </c>
      <c r="B305" s="2" t="s">
        <v>133</v>
      </c>
      <c r="C305" s="11" t="s">
        <v>95</v>
      </c>
      <c r="D305" s="32" t="str">
        <f>'B.kriteria &amp; R.kecocokan'!$B$24</f>
        <v>Cukup</v>
      </c>
      <c r="E305" s="111">
        <f>_xlfn.IFS(D305="Banyak",'B.kriteria &amp; R.kecocokan'!$C$23,D305="Cukup",'B.kriteria &amp; R.kecocokan'!$C$24,D305="Sedikit",'B.kriteria &amp; R.kecocokan'!$C$25)</f>
        <v>5</v>
      </c>
      <c r="F305" s="9" t="str">
        <f>'B.kriteria &amp; R.kecocokan'!$B$34</f>
        <v>Tinggi</v>
      </c>
      <c r="G305" s="8">
        <f>_xlfn.IFS(F305="Tinggi",'B.kriteria &amp; R.kecocokan'!$C$34,F305="Sangat Tinggi",'B.kriteria &amp; R.kecocokan'!$C$35)</f>
        <v>7.5</v>
      </c>
      <c r="H305" s="8" t="str">
        <f>'B.kriteria &amp; R.kecocokan'!$B$41</f>
        <v>Rendah</v>
      </c>
      <c r="I305" s="8">
        <f>_xlfn.IFS(H305="Rendah",'B.kriteria &amp; R.kecocokan'!$C$41,H305="Sedang",'B.kriteria &amp; R.kecocokan'!$C$42,H305="Tinggi",'B.kriteria &amp; R.kecocokan'!$C$43)</f>
        <v>2.5</v>
      </c>
      <c r="J305" s="8" t="str">
        <f>'B.kriteria &amp; R.kecocokan'!$B$72</f>
        <v>Rendah</v>
      </c>
      <c r="K305" s="8">
        <f>_xlfn.IFS(J305="Rendah",'B.kriteria &amp; R.kecocokan'!$C$72,J305="Sedang",'B.kriteria &amp; R.kecocokan'!$C$73,J305="Tinggi",'B.kriteria &amp; R.kecocokan'!$C$74)</f>
        <v>2.5</v>
      </c>
      <c r="L305" s="8" t="str">
        <f>'B.kriteria &amp; R.kecocokan'!$B$95</f>
        <v>Rendah</v>
      </c>
      <c r="M305" s="8">
        <f>_xlfn.IFS(L305="Rendah",'B.kriteria &amp; R.kecocokan'!$C$95,L305="Tinggi",'B.kriteria &amp; R.kecocokan'!$C$96)</f>
        <v>2.5</v>
      </c>
      <c r="N305" s="8" t="str">
        <f>'B.kriteria &amp; R.kecocokan'!$B$80</f>
        <v>Rendah</v>
      </c>
      <c r="O305" s="8">
        <f>_xlfn.IFS(N305="Rendah",'B.kriteria &amp; R.kecocokan'!$C$80,N305="Tinggi",'B.kriteria &amp; R.kecocokan'!$C$81)</f>
        <v>2.5</v>
      </c>
      <c r="P305" s="9" t="str">
        <f>'B.kriteria &amp; R.kecocokan'!$B$90</f>
        <v>Sangat Sedikit</v>
      </c>
      <c r="Q305" s="8">
        <f>_xlfn.IFS(P305="Sedikit",'B.kriteria &amp; R.kecocokan'!$C$89,P305="Sedang",'B.kriteria &amp; R.kecocokan'!$C$88,P305="Sangat Sedikit",'B.kriteria &amp; R.kecocokan'!$C$90)</f>
        <v>1</v>
      </c>
      <c r="R305" s="8" t="str">
        <f>'B.kriteria &amp; R.kecocokan'!$B$49</f>
        <v>Rendah</v>
      </c>
      <c r="S305" s="8">
        <f>_xlfn.IFS(R305="Rendah",'B.kriteria &amp; R.kecocokan'!$C$49,R305="Sedang",'B.kriteria &amp; R.kecocokan'!$C$50,R305="Tinggi",'B.kriteria &amp; R.kecocokan'!$C$51)</f>
        <v>2.5</v>
      </c>
      <c r="T305" s="8" t="str">
        <f>'B.kriteria &amp; R.kecocokan'!$B$57</f>
        <v>Rendah</v>
      </c>
      <c r="U305" s="51">
        <f>_xlfn.IFS(T305="Rendah",'B.kriteria &amp; R.kecocokan'!$C$57,T305="Sedang",'B.kriteria &amp; R.kecocokan'!$C$58,T305="Tinggi",'B.kriteria &amp; R.kecocokan'!$C$59)</f>
        <v>2.5</v>
      </c>
      <c r="V305" s="51" t="str">
        <f>'B.kriteria &amp; R.kecocokan'!$B$65</f>
        <v>Rendah</v>
      </c>
      <c r="W305" s="9">
        <f>_xlfn.IFS(V305="Rendah",'B.kriteria &amp; R.kecocokan'!$C$65,V305="Sedang",'B.kriteria &amp; R.kecocokan'!$C$66,V305="Tinggi",'B.kriteria &amp; R.kecocokan'!$C$67)</f>
        <v>1</v>
      </c>
      <c r="X305" s="117">
        <f t="shared" si="27"/>
        <v>3.5428391551046792</v>
      </c>
      <c r="Y305" s="117">
        <f t="shared" si="28"/>
        <v>3.5500621369872651</v>
      </c>
      <c r="Z305" s="119">
        <f t="shared" si="29"/>
        <v>3.5428391551046792</v>
      </c>
      <c r="AA305" s="55" t="str">
        <f t="shared" si="30"/>
        <v>Layak</v>
      </c>
    </row>
    <row r="306" spans="1:27" x14ac:dyDescent="0.35">
      <c r="A306" s="5">
        <v>85</v>
      </c>
      <c r="B306" s="2" t="s">
        <v>159</v>
      </c>
      <c r="C306" s="11" t="s">
        <v>95</v>
      </c>
      <c r="D306" s="9" t="str">
        <f>'B.kriteria &amp; R.kecocokan'!$B$23</f>
        <v>Banyak</v>
      </c>
      <c r="E306" s="111">
        <f>_xlfn.IFS(D306="Banyak",'B.kriteria &amp; R.kecocokan'!$C$23,D306="Cukup",'B.kriteria &amp; R.kecocokan'!$C$24,D306="Sedikit",'B.kriteria &amp; R.kecocokan'!$C$25)</f>
        <v>2.5</v>
      </c>
      <c r="F306" s="9" t="str">
        <f>'B.kriteria &amp; R.kecocokan'!$B$34</f>
        <v>Tinggi</v>
      </c>
      <c r="G306" s="8">
        <f>_xlfn.IFS(F306="Tinggi",'B.kriteria &amp; R.kecocokan'!$C$34,F306="Sangat Tinggi",'B.kriteria &amp; R.kecocokan'!$C$35)</f>
        <v>7.5</v>
      </c>
      <c r="H306" s="8" t="str">
        <f>'B.kriteria &amp; R.kecocokan'!$B$41</f>
        <v>Rendah</v>
      </c>
      <c r="I306" s="8">
        <f>_xlfn.IFS(H306="Rendah",'B.kriteria &amp; R.kecocokan'!$C$41,H306="Sedang",'B.kriteria &amp; R.kecocokan'!$C$42,H306="Tinggi",'B.kriteria &amp; R.kecocokan'!$C$43)</f>
        <v>2.5</v>
      </c>
      <c r="J306" s="8" t="str">
        <f>'B.kriteria &amp; R.kecocokan'!$B$72</f>
        <v>Rendah</v>
      </c>
      <c r="K306" s="8">
        <f>_xlfn.IFS(J306="Rendah",'B.kriteria &amp; R.kecocokan'!$C$72,J306="Sedang",'B.kriteria &amp; R.kecocokan'!$C$73,J306="Tinggi",'B.kriteria &amp; R.kecocokan'!$C$74)</f>
        <v>2.5</v>
      </c>
      <c r="L306" s="9" t="str">
        <f>'B.kriteria &amp; R.kecocokan'!$B$96</f>
        <v>Tinggi</v>
      </c>
      <c r="M306" s="8">
        <f>_xlfn.IFS(L306="Rendah",'B.kriteria &amp; R.kecocokan'!$C$95,L306="Tinggi",'B.kriteria &amp; R.kecocokan'!$C$96)</f>
        <v>7.5</v>
      </c>
      <c r="N306" s="8" t="str">
        <f>'B.kriteria &amp; R.kecocokan'!$B$80</f>
        <v>Rendah</v>
      </c>
      <c r="O306" s="8">
        <f>_xlfn.IFS(N306="Rendah",'B.kriteria &amp; R.kecocokan'!$C$80,N306="Tinggi",'B.kriteria &amp; R.kecocokan'!$C$81)</f>
        <v>2.5</v>
      </c>
      <c r="P306" s="9" t="str">
        <f>'B.kriteria &amp; R.kecocokan'!$B$90</f>
        <v>Sangat Sedikit</v>
      </c>
      <c r="Q306" s="8">
        <f>_xlfn.IFS(P306="Sedikit",'B.kriteria &amp; R.kecocokan'!$C$89,P306="Sedang",'B.kriteria &amp; R.kecocokan'!$C$88,P306="Sangat Sedikit",'B.kriteria &amp; R.kecocokan'!$C$90)</f>
        <v>1</v>
      </c>
      <c r="R306" s="8" t="str">
        <f>'B.kriteria &amp; R.kecocokan'!$B$49</f>
        <v>Rendah</v>
      </c>
      <c r="S306" s="8">
        <f>_xlfn.IFS(R306="Rendah",'B.kriteria &amp; R.kecocokan'!$C$49,R306="Sedang",'B.kriteria &amp; R.kecocokan'!$C$50,R306="Tinggi",'B.kriteria &amp; R.kecocokan'!$C$51)</f>
        <v>2.5</v>
      </c>
      <c r="T306" s="8" t="str">
        <f>'B.kriteria &amp; R.kecocokan'!$B$57</f>
        <v>Rendah</v>
      </c>
      <c r="U306" s="51">
        <f>_xlfn.IFS(T306="Rendah",'B.kriteria &amp; R.kecocokan'!$C$57,T306="Sedang",'B.kriteria &amp; R.kecocokan'!$C$58,T306="Tinggi",'B.kriteria &amp; R.kecocokan'!$C$59)</f>
        <v>2.5</v>
      </c>
      <c r="V306" s="51" t="str">
        <f>'B.kriteria &amp; R.kecocokan'!$B$65</f>
        <v>Rendah</v>
      </c>
      <c r="W306" s="9">
        <f>_xlfn.IFS(V306="Rendah",'B.kriteria &amp; R.kecocokan'!$C$65,V306="Sedang",'B.kriteria &amp; R.kecocokan'!$C$66,V306="Tinggi",'B.kriteria &amp; R.kecocokan'!$C$67)</f>
        <v>1</v>
      </c>
      <c r="X306" s="117">
        <f t="shared" si="27"/>
        <v>6.776455810136996</v>
      </c>
      <c r="Y306" s="117">
        <f t="shared" si="28"/>
        <v>6.4534532479541067</v>
      </c>
      <c r="Z306" s="119">
        <f t="shared" si="29"/>
        <v>6.4534532479541067</v>
      </c>
      <c r="AA306" s="55" t="str">
        <f t="shared" si="30"/>
        <v>Tidak Layak</v>
      </c>
    </row>
    <row r="307" spans="1:27" x14ac:dyDescent="0.35">
      <c r="A307" s="1">
        <v>86</v>
      </c>
      <c r="B307" s="2" t="s">
        <v>165</v>
      </c>
      <c r="C307" s="11" t="s">
        <v>95</v>
      </c>
      <c r="D307" s="28" t="str">
        <f>'B.kriteria &amp; R.kecocokan'!$B$25</f>
        <v>Sedikit</v>
      </c>
      <c r="E307" s="111">
        <f>_xlfn.IFS(D307="Banyak",'B.kriteria &amp; R.kecocokan'!$C$23,D307="Cukup",'B.kriteria &amp; R.kecocokan'!$C$24,D307="Sedikit",'B.kriteria &amp; R.kecocokan'!$C$25)</f>
        <v>7.5</v>
      </c>
      <c r="F307" s="9" t="str">
        <f>'B.kriteria &amp; R.kecocokan'!$B$34</f>
        <v>Tinggi</v>
      </c>
      <c r="G307" s="8">
        <f>_xlfn.IFS(F307="Tinggi",'B.kriteria &amp; R.kecocokan'!$C$34,F307="Sangat Tinggi",'B.kriteria &amp; R.kecocokan'!$C$35)</f>
        <v>7.5</v>
      </c>
      <c r="H307" s="8" t="str">
        <f>'B.kriteria &amp; R.kecocokan'!$B$41</f>
        <v>Rendah</v>
      </c>
      <c r="I307" s="8">
        <f>_xlfn.IFS(H307="Rendah",'B.kriteria &amp; R.kecocokan'!$C$41,H307="Sedang",'B.kriteria &amp; R.kecocokan'!$C$42,H307="Tinggi",'B.kriteria &amp; R.kecocokan'!$C$43)</f>
        <v>2.5</v>
      </c>
      <c r="J307" s="8" t="str">
        <f>'B.kriteria &amp; R.kecocokan'!$B$72</f>
        <v>Rendah</v>
      </c>
      <c r="K307" s="8">
        <f>_xlfn.IFS(J307="Rendah",'B.kriteria &amp; R.kecocokan'!$C$72,J307="Sedang",'B.kriteria &amp; R.kecocokan'!$C$73,J307="Tinggi",'B.kriteria &amp; R.kecocokan'!$C$74)</f>
        <v>2.5</v>
      </c>
      <c r="L307" s="8" t="str">
        <f>'B.kriteria &amp; R.kecocokan'!$B$95</f>
        <v>Rendah</v>
      </c>
      <c r="M307" s="8">
        <f>_xlfn.IFS(L307="Rendah",'B.kriteria &amp; R.kecocokan'!$C$95,L307="Tinggi",'B.kriteria &amp; R.kecocokan'!$C$96)</f>
        <v>2.5</v>
      </c>
      <c r="N307" s="9" t="str">
        <f>'B.kriteria &amp; R.kecocokan'!$B$81</f>
        <v>Tinggi</v>
      </c>
      <c r="O307" s="8">
        <f>_xlfn.IFS(N307="Rendah",'B.kriteria &amp; R.kecocokan'!$C$80,N307="Tinggi",'B.kriteria &amp; R.kecocokan'!$C$81)</f>
        <v>7.5</v>
      </c>
      <c r="P307" s="9" t="str">
        <f>'B.kriteria &amp; R.kecocokan'!$B$90</f>
        <v>Sangat Sedikit</v>
      </c>
      <c r="Q307" s="8">
        <f>_xlfn.IFS(P307="Sedikit",'B.kriteria &amp; R.kecocokan'!$C$89,P307="Sedang",'B.kriteria &amp; R.kecocokan'!$C$88,P307="Sangat Sedikit",'B.kriteria &amp; R.kecocokan'!$C$90)</f>
        <v>1</v>
      </c>
      <c r="R307" s="8" t="str">
        <f>'B.kriteria &amp; R.kecocokan'!$B$49</f>
        <v>Rendah</v>
      </c>
      <c r="S307" s="8">
        <f>_xlfn.IFS(R307="Rendah",'B.kriteria &amp; R.kecocokan'!$C$49,R307="Sedang",'B.kriteria &amp; R.kecocokan'!$C$50,R307="Tinggi",'B.kriteria &amp; R.kecocokan'!$C$51)</f>
        <v>2.5</v>
      </c>
      <c r="T307" s="8" t="str">
        <f>'B.kriteria &amp; R.kecocokan'!$B$57</f>
        <v>Rendah</v>
      </c>
      <c r="U307" s="51">
        <f>_xlfn.IFS(T307="Rendah",'B.kriteria &amp; R.kecocokan'!$C$57,T307="Sedang",'B.kriteria &amp; R.kecocokan'!$C$58,T307="Tinggi",'B.kriteria &amp; R.kecocokan'!$C$59)</f>
        <v>2.5</v>
      </c>
      <c r="V307" s="51" t="str">
        <f>'B.kriteria &amp; R.kecocokan'!$B$65</f>
        <v>Rendah</v>
      </c>
      <c r="W307" s="9">
        <f>_xlfn.IFS(V307="Rendah",'B.kriteria &amp; R.kecocokan'!$C$65,V307="Sedang",'B.kriteria &amp; R.kecocokan'!$C$66,V307="Tinggi",'B.kriteria &amp; R.kecocokan'!$C$67)</f>
        <v>1</v>
      </c>
      <c r="X307" s="117">
        <f t="shared" si="27"/>
        <v>2.7901182997142717</v>
      </c>
      <c r="Y307" s="117">
        <f t="shared" si="28"/>
        <v>6.7866651257750865</v>
      </c>
      <c r="Z307" s="119">
        <f t="shared" si="29"/>
        <v>2.7901182997142717</v>
      </c>
      <c r="AA307" s="55" t="str">
        <f t="shared" si="30"/>
        <v>Layak</v>
      </c>
    </row>
    <row r="308" spans="1:27" x14ac:dyDescent="0.35">
      <c r="A308" s="5">
        <v>87</v>
      </c>
      <c r="B308" s="2" t="s">
        <v>163</v>
      </c>
      <c r="C308" s="11" t="s">
        <v>248</v>
      </c>
      <c r="D308" s="28" t="str">
        <f>'B.kriteria &amp; R.kecocokan'!$B$25</f>
        <v>Sedikit</v>
      </c>
      <c r="E308" s="111">
        <f>_xlfn.IFS(D308="Banyak",'B.kriteria &amp; R.kecocokan'!$C$23,D308="Cukup",'B.kriteria &amp; R.kecocokan'!$C$24,D308="Sedikit",'B.kriteria &amp; R.kecocokan'!$C$25)</f>
        <v>7.5</v>
      </c>
      <c r="F308" s="9" t="str">
        <f>'B.kriteria &amp; R.kecocokan'!$B$35</f>
        <v>Sangat Tinggi</v>
      </c>
      <c r="G308" s="8">
        <f>_xlfn.IFS(F308="Tinggi",'B.kriteria &amp; R.kecocokan'!$C$34,F308="Sangat Tinggi",'B.kriteria &amp; R.kecocokan'!$C$35)</f>
        <v>10</v>
      </c>
      <c r="H308" s="9" t="str">
        <f>'B.kriteria &amp; R.kecocokan'!$B$43</f>
        <v>Tinggi</v>
      </c>
      <c r="I308" s="8">
        <f>_xlfn.IFS(H308="Rendah",'B.kriteria &amp; R.kecocokan'!$C$41,H308="Sedang",'B.kriteria &amp; R.kecocokan'!$C$42,H308="Tinggi",'B.kriteria &amp; R.kecocokan'!$C$43)</f>
        <v>7.5</v>
      </c>
      <c r="J308" s="8" t="str">
        <f>'B.kriteria &amp; R.kecocokan'!$B$72</f>
        <v>Rendah</v>
      </c>
      <c r="K308" s="8">
        <f>_xlfn.IFS(J308="Rendah",'B.kriteria &amp; R.kecocokan'!$C$72,J308="Sedang",'B.kriteria &amp; R.kecocokan'!$C$73,J308="Tinggi",'B.kriteria &amp; R.kecocokan'!$C$74)</f>
        <v>2.5</v>
      </c>
      <c r="L308" s="8" t="str">
        <f>'B.kriteria &amp; R.kecocokan'!$B$95</f>
        <v>Rendah</v>
      </c>
      <c r="M308" s="8">
        <f>_xlfn.IFS(L308="Rendah",'B.kriteria &amp; R.kecocokan'!$C$95,L308="Tinggi",'B.kriteria &amp; R.kecocokan'!$C$96)</f>
        <v>2.5</v>
      </c>
      <c r="N308" s="8" t="str">
        <f>'B.kriteria &amp; R.kecocokan'!$B$80</f>
        <v>Rendah</v>
      </c>
      <c r="O308" s="8">
        <f>_xlfn.IFS(N308="Rendah",'B.kriteria &amp; R.kecocokan'!$C$80,N308="Tinggi",'B.kriteria &amp; R.kecocokan'!$C$81)</f>
        <v>2.5</v>
      </c>
      <c r="P308" s="8" t="str">
        <f>'B.kriteria &amp; R.kecocokan'!$B$89</f>
        <v>Sedikit</v>
      </c>
      <c r="Q308" s="8">
        <f>_xlfn.IFS(P308="Sedikit",'B.kriteria &amp; R.kecocokan'!$C$89,P308="Sedang",'B.kriteria &amp; R.kecocokan'!$C$88,P308="Sangat Sedikit",'B.kriteria &amp; R.kecocokan'!$C$90)</f>
        <v>2.5</v>
      </c>
      <c r="R308" s="8" t="str">
        <f>'B.kriteria &amp; R.kecocokan'!$B$49</f>
        <v>Rendah</v>
      </c>
      <c r="S308" s="8">
        <f>_xlfn.IFS(R308="Rendah",'B.kriteria &amp; R.kecocokan'!$C$49,R308="Sedang",'B.kriteria &amp; R.kecocokan'!$C$50,R308="Tinggi",'B.kriteria &amp; R.kecocokan'!$C$51)</f>
        <v>2.5</v>
      </c>
      <c r="T308" s="8" t="str">
        <f>'B.kriteria &amp; R.kecocokan'!$B$57</f>
        <v>Rendah</v>
      </c>
      <c r="U308" s="51">
        <f>_xlfn.IFS(T308="Rendah",'B.kriteria &amp; R.kecocokan'!$C$57,T308="Sedang",'B.kriteria &amp; R.kecocokan'!$C$58,T308="Tinggi",'B.kriteria &amp; R.kecocokan'!$C$59)</f>
        <v>2.5</v>
      </c>
      <c r="V308" s="51" t="str">
        <f>'B.kriteria &amp; R.kecocokan'!$B$65</f>
        <v>Rendah</v>
      </c>
      <c r="W308" s="9">
        <f>_xlfn.IFS(V308="Rendah",'B.kriteria &amp; R.kecocokan'!$C$65,V308="Sedang",'B.kriteria &amp; R.kecocokan'!$C$66,V308="Tinggi",'B.kriteria &amp; R.kecocokan'!$C$67)</f>
        <v>1</v>
      </c>
      <c r="X308" s="117">
        <f t="shared" si="27"/>
        <v>6.3836401701001062</v>
      </c>
      <c r="Y308" s="117">
        <f t="shared" si="28"/>
        <v>5.7368776094564149</v>
      </c>
      <c r="Z308" s="119">
        <f t="shared" si="29"/>
        <v>5.7368776094564149</v>
      </c>
      <c r="AA308" s="55" t="str">
        <f t="shared" si="30"/>
        <v>Tidak Layak</v>
      </c>
    </row>
    <row r="309" spans="1:27" x14ac:dyDescent="0.35">
      <c r="A309" s="5">
        <v>88</v>
      </c>
      <c r="B309" s="30" t="s">
        <v>24</v>
      </c>
      <c r="C309" s="11" t="s">
        <v>248</v>
      </c>
      <c r="D309" s="28" t="str">
        <f>'B.kriteria &amp; R.kecocokan'!$B$25</f>
        <v>Sedikit</v>
      </c>
      <c r="E309" s="111">
        <f>_xlfn.IFS(D309="Banyak",'B.kriteria &amp; R.kecocokan'!$C$23,D309="Cukup",'B.kriteria &amp; R.kecocokan'!$C$24,D309="Sedikit",'B.kriteria &amp; R.kecocokan'!$C$25)</f>
        <v>7.5</v>
      </c>
      <c r="F309" s="9" t="str">
        <f>'B.kriteria &amp; R.kecocokan'!$B$35</f>
        <v>Sangat Tinggi</v>
      </c>
      <c r="G309" s="8">
        <f>_xlfn.IFS(F309="Tinggi",'B.kriteria &amp; R.kecocokan'!$C$34,F309="Sangat Tinggi",'B.kriteria &amp; R.kecocokan'!$C$35)</f>
        <v>10</v>
      </c>
      <c r="H309" s="8" t="str">
        <f>'B.kriteria &amp; R.kecocokan'!$B$41</f>
        <v>Rendah</v>
      </c>
      <c r="I309" s="8">
        <f>_xlfn.IFS(H309="Rendah",'B.kriteria &amp; R.kecocokan'!$C$41,H309="Sedang",'B.kriteria &amp; R.kecocokan'!$C$42,H309="Tinggi",'B.kriteria &amp; R.kecocokan'!$C$43)</f>
        <v>2.5</v>
      </c>
      <c r="J309" s="8" t="str">
        <f>'B.kriteria &amp; R.kecocokan'!$B$72</f>
        <v>Rendah</v>
      </c>
      <c r="K309" s="8">
        <f>_xlfn.IFS(J309="Rendah",'B.kriteria &amp; R.kecocokan'!$C$72,J309="Sedang",'B.kriteria &amp; R.kecocokan'!$C$73,J309="Tinggi",'B.kriteria &amp; R.kecocokan'!$C$74)</f>
        <v>2.5</v>
      </c>
      <c r="L309" s="8" t="str">
        <f>'B.kriteria &amp; R.kecocokan'!$B$95</f>
        <v>Rendah</v>
      </c>
      <c r="M309" s="8">
        <f>_xlfn.IFS(L309="Rendah",'B.kriteria &amp; R.kecocokan'!$C$95,L309="Tinggi",'B.kriteria &amp; R.kecocokan'!$C$96)</f>
        <v>2.5</v>
      </c>
      <c r="N309" s="9" t="str">
        <f>'B.kriteria &amp; R.kecocokan'!$B$81</f>
        <v>Tinggi</v>
      </c>
      <c r="O309" s="8">
        <f>_xlfn.IFS(N309="Rendah",'B.kriteria &amp; R.kecocokan'!$C$80,N309="Tinggi",'B.kriteria &amp; R.kecocokan'!$C$81)</f>
        <v>7.5</v>
      </c>
      <c r="P309" s="9" t="str">
        <f>'B.kriteria &amp; R.kecocokan'!$B$90</f>
        <v>Sangat Sedikit</v>
      </c>
      <c r="Q309" s="8">
        <f>_xlfn.IFS(P309="Sedikit",'B.kriteria &amp; R.kecocokan'!$C$89,P309="Sedang",'B.kriteria &amp; R.kecocokan'!$C$88,P309="Sangat Sedikit",'B.kriteria &amp; R.kecocokan'!$C$90)</f>
        <v>1</v>
      </c>
      <c r="R309" s="9" t="str">
        <f>'B.kriteria &amp; R.kecocokan'!$B$51</f>
        <v>Tinggi</v>
      </c>
      <c r="S309" s="8">
        <f>_xlfn.IFS(R309="Rendah",'B.kriteria &amp; R.kecocokan'!$C$49,R309="Sedang",'B.kriteria &amp; R.kecocokan'!$C$50,R309="Tinggi",'B.kriteria &amp; R.kecocokan'!$C$51)</f>
        <v>7.5</v>
      </c>
      <c r="T309" s="9" t="str">
        <f>'B.kriteria &amp; R.kecocokan'!$B$59</f>
        <v>Tinggi</v>
      </c>
      <c r="U309" s="51">
        <f>_xlfn.IFS(T309="Rendah",'B.kriteria &amp; R.kecocokan'!$C$57,T309="Sedang",'B.kriteria &amp; R.kecocokan'!$C$58,T309="Tinggi",'B.kriteria &amp; R.kecocokan'!$C$59)</f>
        <v>7.5</v>
      </c>
      <c r="V309" s="51" t="str">
        <f>'B.kriteria &amp; R.kecocokan'!$B$65</f>
        <v>Rendah</v>
      </c>
      <c r="W309" s="9">
        <f>_xlfn.IFS(V309="Rendah",'B.kriteria &amp; R.kecocokan'!$C$65,V309="Sedang",'B.kriteria &amp; R.kecocokan'!$C$66,V309="Tinggi",'B.kriteria &amp; R.kecocokan'!$C$67)</f>
        <v>1</v>
      </c>
      <c r="X309" s="117">
        <f t="shared" si="27"/>
        <v>7.014574231685355</v>
      </c>
      <c r="Y309" s="117">
        <f t="shared" si="28"/>
        <v>9.5154672847453394</v>
      </c>
      <c r="Z309" s="119">
        <f t="shared" si="29"/>
        <v>7.014574231685355</v>
      </c>
      <c r="AA309" s="55" t="str">
        <f t="shared" si="30"/>
        <v>Layak</v>
      </c>
    </row>
    <row r="310" spans="1:27" x14ac:dyDescent="0.35">
      <c r="A310" s="1">
        <v>89</v>
      </c>
      <c r="B310" s="2" t="s">
        <v>128</v>
      </c>
      <c r="C310" s="11" t="s">
        <v>95</v>
      </c>
      <c r="D310" s="32" t="str">
        <f>'B.kriteria &amp; R.kecocokan'!$B$24</f>
        <v>Cukup</v>
      </c>
      <c r="E310" s="111">
        <f>_xlfn.IFS(D310="Banyak",'B.kriteria &amp; R.kecocokan'!$C$23,D310="Cukup",'B.kriteria &amp; R.kecocokan'!$C$24,D310="Sedikit",'B.kriteria &amp; R.kecocokan'!$C$25)</f>
        <v>5</v>
      </c>
      <c r="F310" s="9" t="str">
        <f>'B.kriteria &amp; R.kecocokan'!$B$34</f>
        <v>Tinggi</v>
      </c>
      <c r="G310" s="8">
        <f>_xlfn.IFS(F310="Tinggi",'B.kriteria &amp; R.kecocokan'!$C$34,F310="Sangat Tinggi",'B.kriteria &amp; R.kecocokan'!$C$35)</f>
        <v>7.5</v>
      </c>
      <c r="H310" s="8" t="str">
        <f>'B.kriteria &amp; R.kecocokan'!$B$41</f>
        <v>Rendah</v>
      </c>
      <c r="I310" s="8">
        <f>_xlfn.IFS(H310="Rendah",'B.kriteria &amp; R.kecocokan'!$C$41,H310="Sedang",'B.kriteria &amp; R.kecocokan'!$C$42,H310="Tinggi",'B.kriteria &amp; R.kecocokan'!$C$43)</f>
        <v>2.5</v>
      </c>
      <c r="J310" s="8" t="str">
        <f>'B.kriteria &amp; R.kecocokan'!$B$72</f>
        <v>Rendah</v>
      </c>
      <c r="K310" s="8">
        <f>_xlfn.IFS(J310="Rendah",'B.kriteria &amp; R.kecocokan'!$C$72,J310="Sedang",'B.kriteria &amp; R.kecocokan'!$C$73,J310="Tinggi",'B.kriteria &amp; R.kecocokan'!$C$74)</f>
        <v>2.5</v>
      </c>
      <c r="L310" s="8" t="str">
        <f>'B.kriteria &amp; R.kecocokan'!$B$95</f>
        <v>Rendah</v>
      </c>
      <c r="M310" s="8">
        <f>_xlfn.IFS(L310="Rendah",'B.kriteria &amp; R.kecocokan'!$C$95,L310="Tinggi",'B.kriteria &amp; R.kecocokan'!$C$96)</f>
        <v>2.5</v>
      </c>
      <c r="N310" s="9" t="str">
        <f>'B.kriteria &amp; R.kecocokan'!$B$81</f>
        <v>Tinggi</v>
      </c>
      <c r="O310" s="8">
        <f>_xlfn.IFS(N310="Rendah",'B.kriteria &amp; R.kecocokan'!$C$80,N310="Tinggi",'B.kriteria &amp; R.kecocokan'!$C$81)</f>
        <v>7.5</v>
      </c>
      <c r="P310" s="9" t="str">
        <f>'B.kriteria &amp; R.kecocokan'!$B$90</f>
        <v>Sangat Sedikit</v>
      </c>
      <c r="Q310" s="8">
        <f>_xlfn.IFS(P310="Sedikit",'B.kriteria &amp; R.kecocokan'!$C$89,P310="Sedang",'B.kriteria &amp; R.kecocokan'!$C$88,P310="Sangat Sedikit",'B.kriteria &amp; R.kecocokan'!$C$90)</f>
        <v>1</v>
      </c>
      <c r="R310" s="8" t="str">
        <f>'B.kriteria &amp; R.kecocokan'!$B$49</f>
        <v>Rendah</v>
      </c>
      <c r="S310" s="8">
        <f>_xlfn.IFS(R310="Rendah",'B.kriteria &amp; R.kecocokan'!$C$49,R310="Sedang",'B.kriteria &amp; R.kecocokan'!$C$50,R310="Tinggi",'B.kriteria &amp; R.kecocokan'!$C$51)</f>
        <v>2.5</v>
      </c>
      <c r="T310" s="8" t="str">
        <f>'B.kriteria &amp; R.kecocokan'!$B$57</f>
        <v>Rendah</v>
      </c>
      <c r="U310" s="51">
        <f>_xlfn.IFS(T310="Rendah",'B.kriteria &amp; R.kecocokan'!$C$57,T310="Sedang",'B.kriteria &amp; R.kecocokan'!$C$58,T310="Tinggi",'B.kriteria &amp; R.kecocokan'!$C$59)</f>
        <v>2.5</v>
      </c>
      <c r="V310" s="51" t="str">
        <f>'B.kriteria &amp; R.kecocokan'!$B$65</f>
        <v>Rendah</v>
      </c>
      <c r="W310" s="9">
        <f>_xlfn.IFS(V310="Rendah",'B.kriteria &amp; R.kecocokan'!$C$65,V310="Sedang",'B.kriteria &amp; R.kecocokan'!$C$66,V310="Tinggi",'B.kriteria &amp; R.kecocokan'!$C$67)</f>
        <v>1</v>
      </c>
      <c r="X310" s="117">
        <f t="shared" si="27"/>
        <v>2.3126433898105336</v>
      </c>
      <c r="Y310" s="117">
        <f t="shared" si="28"/>
        <v>6.1321237085100124</v>
      </c>
      <c r="Z310" s="119">
        <f t="shared" si="29"/>
        <v>2.3126433898105336</v>
      </c>
      <c r="AA310" s="55" t="str">
        <f t="shared" si="30"/>
        <v>Layak</v>
      </c>
    </row>
    <row r="311" spans="1:27" x14ac:dyDescent="0.35">
      <c r="A311" s="5">
        <v>90</v>
      </c>
      <c r="B311" s="30" t="s">
        <v>136</v>
      </c>
      <c r="C311" s="11" t="s">
        <v>95</v>
      </c>
      <c r="D311" s="28" t="str">
        <f>'B.kriteria &amp; R.kecocokan'!$B$25</f>
        <v>Sedikit</v>
      </c>
      <c r="E311" s="111">
        <f>_xlfn.IFS(D311="Banyak",'B.kriteria &amp; R.kecocokan'!$C$23,D311="Cukup",'B.kriteria &amp; R.kecocokan'!$C$24,D311="Sedikit",'B.kriteria &amp; R.kecocokan'!$C$25)</f>
        <v>7.5</v>
      </c>
      <c r="F311" s="9" t="str">
        <f>'B.kriteria &amp; R.kecocokan'!$B$35</f>
        <v>Sangat Tinggi</v>
      </c>
      <c r="G311" s="8">
        <f>_xlfn.IFS(F311="Tinggi",'B.kriteria &amp; R.kecocokan'!$C$34,F311="Sangat Tinggi",'B.kriteria &amp; R.kecocokan'!$C$35)</f>
        <v>10</v>
      </c>
      <c r="H311" s="8" t="str">
        <f>'B.kriteria &amp; R.kecocokan'!$B$41</f>
        <v>Rendah</v>
      </c>
      <c r="I311" s="8">
        <f>_xlfn.IFS(H311="Rendah",'B.kriteria &amp; R.kecocokan'!$C$41,H311="Sedang",'B.kriteria &amp; R.kecocokan'!$C$42,H311="Tinggi",'B.kriteria &amp; R.kecocokan'!$C$43)</f>
        <v>2.5</v>
      </c>
      <c r="J311" s="8" t="str">
        <f>'B.kriteria &amp; R.kecocokan'!$B$72</f>
        <v>Rendah</v>
      </c>
      <c r="K311" s="8">
        <f>_xlfn.IFS(J311="Rendah",'B.kriteria &amp; R.kecocokan'!$C$72,J311="Sedang",'B.kriteria &amp; R.kecocokan'!$C$73,J311="Tinggi",'B.kriteria &amp; R.kecocokan'!$C$74)</f>
        <v>2.5</v>
      </c>
      <c r="L311" s="8" t="str">
        <f>'B.kriteria &amp; R.kecocokan'!$B$95</f>
        <v>Rendah</v>
      </c>
      <c r="M311" s="8">
        <f>_xlfn.IFS(L311="Rendah",'B.kriteria &amp; R.kecocokan'!$C$95,L311="Tinggi",'B.kriteria &amp; R.kecocokan'!$C$96)</f>
        <v>2.5</v>
      </c>
      <c r="N311" s="9" t="str">
        <f>'B.kriteria &amp; R.kecocokan'!$B$81</f>
        <v>Tinggi</v>
      </c>
      <c r="O311" s="8">
        <f>_xlfn.IFS(N311="Rendah",'B.kriteria &amp; R.kecocokan'!$C$80,N311="Tinggi",'B.kriteria &amp; R.kecocokan'!$C$81)</f>
        <v>7.5</v>
      </c>
      <c r="P311" s="9" t="str">
        <f>'B.kriteria &amp; R.kecocokan'!$B$90</f>
        <v>Sangat Sedikit</v>
      </c>
      <c r="Q311" s="8">
        <f>_xlfn.IFS(P311="Sedikit",'B.kriteria &amp; R.kecocokan'!$C$89,P311="Sedang",'B.kriteria &amp; R.kecocokan'!$C$88,P311="Sangat Sedikit",'B.kriteria &amp; R.kecocokan'!$C$90)</f>
        <v>1</v>
      </c>
      <c r="R311" s="9" t="str">
        <f>'B.kriteria &amp; R.kecocokan'!$B$51</f>
        <v>Tinggi</v>
      </c>
      <c r="S311" s="8">
        <f>_xlfn.IFS(R311="Rendah",'B.kriteria &amp; R.kecocokan'!$C$49,R311="Sedang",'B.kriteria &amp; R.kecocokan'!$C$50,R311="Tinggi",'B.kriteria &amp; R.kecocokan'!$C$51)</f>
        <v>7.5</v>
      </c>
      <c r="T311" s="9" t="str">
        <f>'B.kriteria &amp; R.kecocokan'!$B$59</f>
        <v>Tinggi</v>
      </c>
      <c r="U311" s="51">
        <f>_xlfn.IFS(T311="Rendah",'B.kriteria &amp; R.kecocokan'!$C$57,T311="Sedang",'B.kriteria &amp; R.kecocokan'!$C$58,T311="Tinggi",'B.kriteria &amp; R.kecocokan'!$C$59)</f>
        <v>7.5</v>
      </c>
      <c r="V311" s="51" t="str">
        <f>'B.kriteria &amp; R.kecocokan'!$B$65</f>
        <v>Rendah</v>
      </c>
      <c r="W311" s="9">
        <f>_xlfn.IFS(V311="Rendah",'B.kriteria &amp; R.kecocokan'!$C$65,V311="Sedang",'B.kriteria &amp; R.kecocokan'!$C$66,V311="Tinggi",'B.kriteria &amp; R.kecocokan'!$C$67)</f>
        <v>1</v>
      </c>
      <c r="X311" s="117">
        <f t="shared" si="27"/>
        <v>7.014574231685355</v>
      </c>
      <c r="Y311" s="117">
        <f t="shared" si="28"/>
        <v>9.5154672847453394</v>
      </c>
      <c r="Z311" s="119">
        <f t="shared" si="29"/>
        <v>7.014574231685355</v>
      </c>
      <c r="AA311" s="55" t="str">
        <f t="shared" si="30"/>
        <v>Layak</v>
      </c>
    </row>
    <row r="312" spans="1:27" x14ac:dyDescent="0.35">
      <c r="A312" s="5">
        <v>91</v>
      </c>
      <c r="B312" s="2" t="s">
        <v>140</v>
      </c>
      <c r="C312" s="11" t="s">
        <v>95</v>
      </c>
      <c r="D312" s="28" t="str">
        <f>'B.kriteria &amp; R.kecocokan'!$B$25</f>
        <v>Sedikit</v>
      </c>
      <c r="E312" s="111">
        <f>_xlfn.IFS(D312="Banyak",'B.kriteria &amp; R.kecocokan'!$C$23,D312="Cukup",'B.kriteria &amp; R.kecocokan'!$C$24,D312="Sedikit",'B.kriteria &amp; R.kecocokan'!$C$25)</f>
        <v>7.5</v>
      </c>
      <c r="F312" s="9" t="str">
        <f>'B.kriteria &amp; R.kecocokan'!$B$34</f>
        <v>Tinggi</v>
      </c>
      <c r="G312" s="8">
        <f>_xlfn.IFS(F312="Tinggi",'B.kriteria &amp; R.kecocokan'!$C$34,F312="Sangat Tinggi",'B.kriteria &amp; R.kecocokan'!$C$35)</f>
        <v>7.5</v>
      </c>
      <c r="H312" s="8" t="str">
        <f>'B.kriteria &amp; R.kecocokan'!$B$41</f>
        <v>Rendah</v>
      </c>
      <c r="I312" s="8">
        <f>_xlfn.IFS(H312="Rendah",'B.kriteria &amp; R.kecocokan'!$C$41,H312="Sedang",'B.kriteria &amp; R.kecocokan'!$C$42,H312="Tinggi",'B.kriteria &amp; R.kecocokan'!$C$43)</f>
        <v>2.5</v>
      </c>
      <c r="J312" s="8" t="str">
        <f>'B.kriteria &amp; R.kecocokan'!$B$72</f>
        <v>Rendah</v>
      </c>
      <c r="K312" s="8">
        <f>_xlfn.IFS(J312="Rendah",'B.kriteria &amp; R.kecocokan'!$C$72,J312="Sedang",'B.kriteria &amp; R.kecocokan'!$C$73,J312="Tinggi",'B.kriteria &amp; R.kecocokan'!$C$74)</f>
        <v>2.5</v>
      </c>
      <c r="L312" s="8" t="str">
        <f>'B.kriteria &amp; R.kecocokan'!$B$95</f>
        <v>Rendah</v>
      </c>
      <c r="M312" s="8">
        <f>_xlfn.IFS(L312="Rendah",'B.kriteria &amp; R.kecocokan'!$C$95,L312="Tinggi",'B.kriteria &amp; R.kecocokan'!$C$96)</f>
        <v>2.5</v>
      </c>
      <c r="N312" s="9" t="str">
        <f>'B.kriteria &amp; R.kecocokan'!$B$81</f>
        <v>Tinggi</v>
      </c>
      <c r="O312" s="8">
        <f>_xlfn.IFS(N312="Rendah",'B.kriteria &amp; R.kecocokan'!$C$80,N312="Tinggi",'B.kriteria &amp; R.kecocokan'!$C$81)</f>
        <v>7.5</v>
      </c>
      <c r="P312" s="9" t="str">
        <f>'B.kriteria &amp; R.kecocokan'!$B$90</f>
        <v>Sangat Sedikit</v>
      </c>
      <c r="Q312" s="8">
        <f>_xlfn.IFS(P312="Sedikit",'B.kriteria &amp; R.kecocokan'!$C$89,P312="Sedang",'B.kriteria &amp; R.kecocokan'!$C$88,P312="Sangat Sedikit",'B.kriteria &amp; R.kecocokan'!$C$90)</f>
        <v>1</v>
      </c>
      <c r="R312" s="8" t="str">
        <f>'B.kriteria &amp; R.kecocokan'!$B$49</f>
        <v>Rendah</v>
      </c>
      <c r="S312" s="8">
        <f>_xlfn.IFS(R312="Rendah",'B.kriteria &amp; R.kecocokan'!$C$49,R312="Sedang",'B.kriteria &amp; R.kecocokan'!$C$50,R312="Tinggi",'B.kriteria &amp; R.kecocokan'!$C$51)</f>
        <v>2.5</v>
      </c>
      <c r="T312" s="9" t="str">
        <f>'B.kriteria &amp; R.kecocokan'!$B$58</f>
        <v>Sedang</v>
      </c>
      <c r="U312" s="51">
        <f>_xlfn.IFS(T312="Rendah",'B.kriteria &amp; R.kecocokan'!$C$57,T312="Sedang",'B.kriteria &amp; R.kecocokan'!$C$58,T312="Tinggi",'B.kriteria &amp; R.kecocokan'!$C$59)</f>
        <v>5</v>
      </c>
      <c r="V312" s="51" t="str">
        <f>'B.kriteria &amp; R.kecocokan'!$B$65</f>
        <v>Rendah</v>
      </c>
      <c r="W312" s="9">
        <f>_xlfn.IFS(V312="Rendah",'B.kriteria &amp; R.kecocokan'!$C$65,V312="Sedang",'B.kriteria &amp; R.kecocokan'!$C$66,V312="Tinggi",'B.kriteria &amp; R.kecocokan'!$C$67)</f>
        <v>1</v>
      </c>
      <c r="X312" s="117">
        <f t="shared" si="27"/>
        <v>3.1637535298418711</v>
      </c>
      <c r="Y312" s="117">
        <f t="shared" si="28"/>
        <v>7.0262114299829834</v>
      </c>
      <c r="Z312" s="119">
        <f t="shared" si="29"/>
        <v>3.1637535298418711</v>
      </c>
      <c r="AA312" s="55" t="str">
        <f t="shared" si="30"/>
        <v>Layak</v>
      </c>
    </row>
    <row r="313" spans="1:27" x14ac:dyDescent="0.35">
      <c r="A313" s="1">
        <v>92</v>
      </c>
      <c r="B313" s="2" t="s">
        <v>251</v>
      </c>
      <c r="C313" s="11" t="s">
        <v>95</v>
      </c>
      <c r="D313" s="28" t="str">
        <f>'B.kriteria &amp; R.kecocokan'!$B$25</f>
        <v>Sedikit</v>
      </c>
      <c r="E313" s="111">
        <f>_xlfn.IFS(D313="Banyak",'B.kriteria &amp; R.kecocokan'!$C$23,D313="Cukup",'B.kriteria &amp; R.kecocokan'!$C$24,D313="Sedikit",'B.kriteria &amp; R.kecocokan'!$C$25)</f>
        <v>7.5</v>
      </c>
      <c r="F313" s="9" t="str">
        <f>'B.kriteria &amp; R.kecocokan'!$B$34</f>
        <v>Tinggi</v>
      </c>
      <c r="G313" s="8">
        <f>_xlfn.IFS(F313="Tinggi",'B.kriteria &amp; R.kecocokan'!$C$34,F313="Sangat Tinggi",'B.kriteria &amp; R.kecocokan'!$C$35)</f>
        <v>7.5</v>
      </c>
      <c r="H313" s="8" t="str">
        <f>'B.kriteria &amp; R.kecocokan'!$B$41</f>
        <v>Rendah</v>
      </c>
      <c r="I313" s="8">
        <f>_xlfn.IFS(H313="Rendah",'B.kriteria &amp; R.kecocokan'!$C$41,H313="Sedang",'B.kriteria &amp; R.kecocokan'!$C$42,H313="Tinggi",'B.kriteria &amp; R.kecocokan'!$C$43)</f>
        <v>2.5</v>
      </c>
      <c r="J313" s="8" t="str">
        <f>'B.kriteria &amp; R.kecocokan'!$B$72</f>
        <v>Rendah</v>
      </c>
      <c r="K313" s="8">
        <f>_xlfn.IFS(J313="Rendah",'B.kriteria &amp; R.kecocokan'!$C$72,J313="Sedang",'B.kriteria &amp; R.kecocokan'!$C$73,J313="Tinggi",'B.kriteria &amp; R.kecocokan'!$C$74)</f>
        <v>2.5</v>
      </c>
      <c r="L313" s="8" t="str">
        <f>'B.kriteria &amp; R.kecocokan'!$B$95</f>
        <v>Rendah</v>
      </c>
      <c r="M313" s="8">
        <f>_xlfn.IFS(L313="Rendah",'B.kriteria &amp; R.kecocokan'!$C$95,L313="Tinggi",'B.kriteria &amp; R.kecocokan'!$C$96)</f>
        <v>2.5</v>
      </c>
      <c r="N313" s="8" t="str">
        <f>'B.kriteria &amp; R.kecocokan'!$B$80</f>
        <v>Rendah</v>
      </c>
      <c r="O313" s="8">
        <f>_xlfn.IFS(N313="Rendah",'B.kriteria &amp; R.kecocokan'!$C$80,N313="Tinggi",'B.kriteria &amp; R.kecocokan'!$C$81)</f>
        <v>2.5</v>
      </c>
      <c r="P313" s="9" t="str">
        <f>'B.kriteria &amp; R.kecocokan'!$B$88</f>
        <v>Sedang</v>
      </c>
      <c r="Q313" s="8">
        <f>_xlfn.IFS(P313="Sedikit",'B.kriteria &amp; R.kecocokan'!$C$89,P313="Sedang",'B.kriteria &amp; R.kecocokan'!$C$88,P313="Sangat Sedikit",'B.kriteria &amp; R.kecocokan'!$C$90)</f>
        <v>5</v>
      </c>
      <c r="R313" s="8" t="str">
        <f>'B.kriteria &amp; R.kecocokan'!$B$49</f>
        <v>Rendah</v>
      </c>
      <c r="S313" s="8">
        <f>_xlfn.IFS(R313="Rendah",'B.kriteria &amp; R.kecocokan'!$C$49,R313="Sedang",'B.kriteria &amp; R.kecocokan'!$C$50,R313="Tinggi",'B.kriteria &amp; R.kecocokan'!$C$51)</f>
        <v>2.5</v>
      </c>
      <c r="T313" s="9" t="str">
        <f>'B.kriteria &amp; R.kecocokan'!$B$58</f>
        <v>Sedang</v>
      </c>
      <c r="U313" s="51">
        <f>_xlfn.IFS(T313="Rendah",'B.kriteria &amp; R.kecocokan'!$C$57,T313="Sedang",'B.kriteria &amp; R.kecocokan'!$C$58,T313="Tinggi",'B.kriteria &amp; R.kecocokan'!$C$59)</f>
        <v>5</v>
      </c>
      <c r="V313" s="51" t="str">
        <f>'B.kriteria &amp; R.kecocokan'!$B$65</f>
        <v>Rendah</v>
      </c>
      <c r="W313" s="9">
        <f>_xlfn.IFS(V313="Rendah",'B.kriteria &amp; R.kecocokan'!$C$65,V313="Sedang",'B.kriteria &amp; R.kecocokan'!$C$66,V313="Tinggi",'B.kriteria &amp; R.kecocokan'!$C$67)</f>
        <v>1</v>
      </c>
      <c r="X313" s="117">
        <f t="shared" si="27"/>
        <v>5.3290868735705068</v>
      </c>
      <c r="Y313" s="117">
        <f t="shared" si="28"/>
        <v>3.7436220271754119</v>
      </c>
      <c r="Z313" s="119">
        <f t="shared" si="29"/>
        <v>3.7436220271754119</v>
      </c>
      <c r="AA313" s="55" t="str">
        <f t="shared" si="30"/>
        <v>Tidak Layak</v>
      </c>
    </row>
    <row r="314" spans="1:27" x14ac:dyDescent="0.35">
      <c r="A314" s="5">
        <v>93</v>
      </c>
      <c r="B314" s="2" t="s">
        <v>252</v>
      </c>
      <c r="C314" s="11" t="s">
        <v>95</v>
      </c>
      <c r="D314" s="9" t="str">
        <f>'B.kriteria &amp; R.kecocokan'!$B$23</f>
        <v>Banyak</v>
      </c>
      <c r="E314" s="111">
        <f>_xlfn.IFS(D314="Banyak",'B.kriteria &amp; R.kecocokan'!$C$23,D314="Cukup",'B.kriteria &amp; R.kecocokan'!$C$24,D314="Sedikit",'B.kriteria &amp; R.kecocokan'!$C$25)</f>
        <v>2.5</v>
      </c>
      <c r="F314" s="9" t="str">
        <f>'B.kriteria &amp; R.kecocokan'!$B$34</f>
        <v>Tinggi</v>
      </c>
      <c r="G314" s="8">
        <f>_xlfn.IFS(F314="Tinggi",'B.kriteria &amp; R.kecocokan'!$C$34,F314="Sangat Tinggi",'B.kriteria &amp; R.kecocokan'!$C$35)</f>
        <v>7.5</v>
      </c>
      <c r="H314" s="8" t="str">
        <f>'B.kriteria &amp; R.kecocokan'!$B$41</f>
        <v>Rendah</v>
      </c>
      <c r="I314" s="8">
        <f>_xlfn.IFS(H314="Rendah",'B.kriteria &amp; R.kecocokan'!$C$41,H314="Sedang",'B.kriteria &amp; R.kecocokan'!$C$42,H314="Tinggi",'B.kriteria &amp; R.kecocokan'!$C$43)</f>
        <v>2.5</v>
      </c>
      <c r="J314" s="8" t="str">
        <f>'B.kriteria &amp; R.kecocokan'!$B$72</f>
        <v>Rendah</v>
      </c>
      <c r="K314" s="8">
        <f>_xlfn.IFS(J314="Rendah",'B.kriteria &amp; R.kecocokan'!$C$72,J314="Sedang",'B.kriteria &amp; R.kecocokan'!$C$73,J314="Tinggi",'B.kriteria &amp; R.kecocokan'!$C$74)</f>
        <v>2.5</v>
      </c>
      <c r="L314" s="8" t="str">
        <f>'B.kriteria &amp; R.kecocokan'!$B$95</f>
        <v>Rendah</v>
      </c>
      <c r="M314" s="8">
        <f>_xlfn.IFS(L314="Rendah",'B.kriteria &amp; R.kecocokan'!$C$95,L314="Tinggi",'B.kriteria &amp; R.kecocokan'!$C$96)</f>
        <v>2.5</v>
      </c>
      <c r="N314" s="8" t="str">
        <f>'B.kriteria &amp; R.kecocokan'!$B$80</f>
        <v>Rendah</v>
      </c>
      <c r="O314" s="8">
        <f>_xlfn.IFS(N314="Rendah",'B.kriteria &amp; R.kecocokan'!$C$80,N314="Tinggi",'B.kriteria &amp; R.kecocokan'!$C$81)</f>
        <v>2.5</v>
      </c>
      <c r="P314" s="9" t="str">
        <f>'B.kriteria &amp; R.kecocokan'!$B$88</f>
        <v>Sedang</v>
      </c>
      <c r="Q314" s="8">
        <f>_xlfn.IFS(P314="Sedikit",'B.kriteria &amp; R.kecocokan'!$C$89,P314="Sedang",'B.kriteria &amp; R.kecocokan'!$C$88,P314="Sangat Sedikit",'B.kriteria &amp; R.kecocokan'!$C$90)</f>
        <v>5</v>
      </c>
      <c r="R314" s="8" t="str">
        <f>'B.kriteria &amp; R.kecocokan'!$B$49</f>
        <v>Rendah</v>
      </c>
      <c r="S314" s="8">
        <f>_xlfn.IFS(R314="Rendah",'B.kriteria &amp; R.kecocokan'!$C$49,R314="Sedang",'B.kriteria &amp; R.kecocokan'!$C$50,R314="Tinggi",'B.kriteria &amp; R.kecocokan'!$C$51)</f>
        <v>2.5</v>
      </c>
      <c r="T314" s="8" t="str">
        <f>'B.kriteria &amp; R.kecocokan'!$B$57</f>
        <v>Rendah</v>
      </c>
      <c r="U314" s="51">
        <f>_xlfn.IFS(T314="Rendah",'B.kriteria &amp; R.kecocokan'!$C$57,T314="Sedang",'B.kriteria &amp; R.kecocokan'!$C$58,T314="Tinggi",'B.kriteria &amp; R.kecocokan'!$C$59)</f>
        <v>2.5</v>
      </c>
      <c r="V314" s="51" t="str">
        <f>'B.kriteria &amp; R.kecocokan'!$B$65</f>
        <v>Rendah</v>
      </c>
      <c r="W314" s="9">
        <f>_xlfn.IFS(V314="Rendah",'B.kriteria &amp; R.kecocokan'!$C$65,V314="Sedang",'B.kriteria &amp; R.kecocokan'!$C$66,V314="Tinggi",'B.kriteria &amp; R.kecocokan'!$C$67)</f>
        <v>1</v>
      </c>
      <c r="X314" s="117">
        <f t="shared" ref="X314" si="31">SQRT(((E314-$E$109)^2)+((G314-$G$109)^2)+((I314-$I$109)^2+((K314-$K$109)^2)+((M314-$M$109)^2)+((O314-$O$109)^2)+((Q314-$Q$109)^2)+((S314-$S$109)^2)+((U314-$U$109)^2)+((W314-$W$109)^2)))</f>
        <v>5.5272285376771766</v>
      </c>
      <c r="Y314" s="117">
        <f t="shared" si="28"/>
        <v>2.5088080131924846</v>
      </c>
      <c r="Z314" s="119">
        <f t="shared" si="29"/>
        <v>2.5088080131924846</v>
      </c>
      <c r="AA314" s="55" t="str">
        <f t="shared" si="30"/>
        <v>Tidak Layak</v>
      </c>
    </row>
    <row r="315" spans="1:27" x14ac:dyDescent="0.35">
      <c r="A315" s="1"/>
      <c r="B315" s="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52"/>
      <c r="V315" s="52"/>
      <c r="W315" s="52"/>
      <c r="X315" s="52"/>
      <c r="Y315" s="52"/>
      <c r="Z315" s="52"/>
      <c r="AA315" s="17"/>
    </row>
    <row r="316" spans="1:27" x14ac:dyDescent="0.35">
      <c r="A316" s="1"/>
      <c r="B316" s="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52"/>
      <c r="V316" s="52"/>
      <c r="W316" s="52"/>
      <c r="X316" s="52"/>
      <c r="Y316" s="52"/>
      <c r="Z316" s="52"/>
      <c r="AA316" s="17"/>
    </row>
    <row r="317" spans="1:27" x14ac:dyDescent="0.35">
      <c r="A317" s="1"/>
      <c r="B317" s="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52"/>
      <c r="V317" s="52"/>
      <c r="W317" s="52"/>
      <c r="X317" s="52"/>
      <c r="Y317" s="52"/>
      <c r="Z317" s="52"/>
      <c r="AA317" s="17"/>
    </row>
    <row r="318" spans="1:27" ht="15" thickBot="1" x14ac:dyDescent="0.4">
      <c r="A318" s="3"/>
      <c r="B318" s="4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53"/>
      <c r="V318" s="53"/>
      <c r="W318" s="53"/>
      <c r="X318" s="53"/>
      <c r="Y318" s="53"/>
      <c r="Z318" s="53"/>
      <c r="AA318" s="18"/>
    </row>
    <row r="319" spans="1:27" ht="15" thickTop="1" x14ac:dyDescent="0.35"/>
    <row r="320" spans="1:27" x14ac:dyDescent="0.35">
      <c r="Z320" t="s">
        <v>413</v>
      </c>
      <c r="AA320">
        <f>COUNTIF($AA$222:$AA$314,$AA$312)</f>
        <v>41</v>
      </c>
    </row>
    <row r="321" spans="1:28" x14ac:dyDescent="0.35">
      <c r="B321" s="43" t="s">
        <v>415</v>
      </c>
      <c r="Z321" t="s">
        <v>409</v>
      </c>
      <c r="AA321">
        <f>COUNTIF($AA$222:$AA$314,$AA$314)</f>
        <v>52</v>
      </c>
    </row>
    <row r="322" spans="1:28" x14ac:dyDescent="0.35">
      <c r="B322" s="80" t="s">
        <v>404</v>
      </c>
      <c r="C322" s="80"/>
      <c r="D322" s="80"/>
      <c r="E322" s="80">
        <f>(SUMIF($AA$222:$AA$314,$AA$312,E222:E314))/39</f>
        <v>6.4102564102564106</v>
      </c>
      <c r="F322" s="80">
        <f t="shared" ref="F322:W322" si="32">(SUMIF($AA$222:$AA$314,$AA$312,F222:F314))/39</f>
        <v>0</v>
      </c>
      <c r="G322" s="80">
        <f t="shared" si="32"/>
        <v>8.3333333333333339</v>
      </c>
      <c r="H322" s="80">
        <f t="shared" si="32"/>
        <v>0</v>
      </c>
      <c r="I322" s="80">
        <f t="shared" si="32"/>
        <v>2.8846153846153846</v>
      </c>
      <c r="J322" s="80">
        <f t="shared" si="32"/>
        <v>0</v>
      </c>
      <c r="K322" s="80">
        <f t="shared" si="32"/>
        <v>2.7564102564102564</v>
      </c>
      <c r="L322" s="80">
        <f t="shared" si="32"/>
        <v>0</v>
      </c>
      <c r="M322" s="80">
        <f t="shared" si="32"/>
        <v>2.6282051282051282</v>
      </c>
      <c r="N322" s="80">
        <f t="shared" si="32"/>
        <v>0</v>
      </c>
      <c r="O322" s="80">
        <f t="shared" si="32"/>
        <v>7.5</v>
      </c>
      <c r="P322" s="80">
        <f t="shared" si="32"/>
        <v>0</v>
      </c>
      <c r="Q322" s="80">
        <f t="shared" si="32"/>
        <v>1.4615384615384615</v>
      </c>
      <c r="R322" s="80">
        <f t="shared" si="32"/>
        <v>0</v>
      </c>
      <c r="S322" s="80">
        <f t="shared" si="32"/>
        <v>3.2692307692307692</v>
      </c>
      <c r="T322" s="80">
        <f t="shared" si="32"/>
        <v>0</v>
      </c>
      <c r="U322" s="80">
        <f t="shared" si="32"/>
        <v>3.6538461538461537</v>
      </c>
      <c r="V322" s="80">
        <f t="shared" si="32"/>
        <v>0</v>
      </c>
      <c r="W322" s="80">
        <f t="shared" si="32"/>
        <v>1.0769230769230769</v>
      </c>
    </row>
    <row r="323" spans="1:28" x14ac:dyDescent="0.35">
      <c r="B323" s="80" t="s">
        <v>405</v>
      </c>
      <c r="C323" s="80"/>
      <c r="D323" s="80"/>
      <c r="E323" s="80">
        <f>(SUMIF($AA$222:$AA$314,$AA$314,E222:F314))/54</f>
        <v>4.5370370370370372</v>
      </c>
      <c r="F323" s="80">
        <f t="shared" ref="F323:W323" si="33">(SUMIF($AA$222:$AA$314,$AA$314,F222:G314))/54</f>
        <v>0</v>
      </c>
      <c r="G323" s="80">
        <f t="shared" si="33"/>
        <v>7.6388888888888893</v>
      </c>
      <c r="H323" s="80">
        <f t="shared" si="33"/>
        <v>0</v>
      </c>
      <c r="I323" s="80">
        <f t="shared" si="33"/>
        <v>3.2407407407407409</v>
      </c>
      <c r="J323" s="80">
        <f t="shared" si="33"/>
        <v>0</v>
      </c>
      <c r="K323" s="80">
        <f t="shared" si="33"/>
        <v>2.4074074074074074</v>
      </c>
      <c r="L323" s="80">
        <f t="shared" si="33"/>
        <v>0</v>
      </c>
      <c r="M323" s="80">
        <f t="shared" si="33"/>
        <v>2.5925925925925926</v>
      </c>
      <c r="N323" s="80">
        <f t="shared" si="33"/>
        <v>0</v>
      </c>
      <c r="O323" s="80">
        <f t="shared" si="33"/>
        <v>2.4074074074074074</v>
      </c>
      <c r="P323" s="80">
        <f t="shared" si="33"/>
        <v>0</v>
      </c>
      <c r="Q323" s="80">
        <f t="shared" si="33"/>
        <v>3.3981481481481484</v>
      </c>
      <c r="R323" s="80">
        <f t="shared" si="33"/>
        <v>0</v>
      </c>
      <c r="S323" s="80">
        <f t="shared" si="33"/>
        <v>2.6851851851851851</v>
      </c>
      <c r="T323" s="80">
        <f t="shared" si="33"/>
        <v>0</v>
      </c>
      <c r="U323" s="80">
        <f t="shared" si="33"/>
        <v>2.9166666666666665</v>
      </c>
      <c r="V323" s="80">
        <f t="shared" si="33"/>
        <v>0</v>
      </c>
      <c r="W323" s="80">
        <f t="shared" si="33"/>
        <v>0.96296296296296291</v>
      </c>
    </row>
    <row r="324" spans="1:28" ht="15" thickBot="1" x14ac:dyDescent="0.4"/>
    <row r="325" spans="1:28" ht="59" thickTop="1" thickBot="1" x14ac:dyDescent="0.4">
      <c r="A325" s="13" t="s">
        <v>0</v>
      </c>
      <c r="B325" s="15" t="s">
        <v>2</v>
      </c>
      <c r="C325" s="14" t="s">
        <v>3</v>
      </c>
      <c r="D325" s="14" t="s">
        <v>4</v>
      </c>
      <c r="E325" s="14" t="str">
        <f>$D$6</f>
        <v xml:space="preserve">Penghasilan </v>
      </c>
      <c r="F325" s="15" t="s">
        <v>5</v>
      </c>
      <c r="G325" s="15" t="str">
        <f>$F$6</f>
        <v>Luas Rumah</v>
      </c>
      <c r="H325" s="15" t="s">
        <v>6</v>
      </c>
      <c r="I325" s="15" t="str">
        <f>$H$6</f>
        <v xml:space="preserve">Status Kepemilikan Rumah </v>
      </c>
      <c r="J325" s="15" t="s">
        <v>21</v>
      </c>
      <c r="K325" s="15" t="str">
        <f>$J$6</f>
        <v>Sumber Air</v>
      </c>
      <c r="L325" s="15" t="s">
        <v>7</v>
      </c>
      <c r="M325" s="15" t="str">
        <f>$L$6</f>
        <v>ibu Hamil / menyusui</v>
      </c>
      <c r="N325" s="15" t="s">
        <v>8</v>
      </c>
      <c r="O325" s="15" t="str">
        <f>$N$6</f>
        <v>lansia</v>
      </c>
      <c r="P325" s="15" t="s">
        <v>25</v>
      </c>
      <c r="Q325" s="15" t="str">
        <f>$P$6</f>
        <v>jumlah tanggungan (Anak)</v>
      </c>
      <c r="R325" s="15" t="s">
        <v>9</v>
      </c>
      <c r="S325" s="15" t="str">
        <f>$R$6</f>
        <v>jenis dinding</v>
      </c>
      <c r="T325" s="15" t="s">
        <v>10</v>
      </c>
      <c r="U325" s="50" t="str">
        <f>$T$6</f>
        <v xml:space="preserve">jenis lantai </v>
      </c>
      <c r="V325" s="50" t="s">
        <v>11</v>
      </c>
      <c r="W325" s="120" t="str">
        <f>$V$6</f>
        <v>jenis atap</v>
      </c>
      <c r="X325" s="109" t="s">
        <v>400</v>
      </c>
      <c r="Y325" s="109" t="s">
        <v>401</v>
      </c>
      <c r="Z325" s="109" t="s">
        <v>402</v>
      </c>
      <c r="AA325" s="54" t="s">
        <v>403</v>
      </c>
      <c r="AB325" s="212" t="s">
        <v>438</v>
      </c>
    </row>
    <row r="326" spans="1:28" ht="15" thickTop="1" x14ac:dyDescent="0.35">
      <c r="A326" s="5">
        <v>1</v>
      </c>
      <c r="B326" s="6" t="s">
        <v>12</v>
      </c>
      <c r="C326" s="7" t="s">
        <v>13</v>
      </c>
      <c r="D326" s="32" t="str">
        <f>'B.kriteria &amp; R.kecocokan'!$B$24</f>
        <v>Cukup</v>
      </c>
      <c r="E326" s="111">
        <f>_xlfn.IFS(D326="Banyak",'B.kriteria &amp; R.kecocokan'!$C$23,D326="Cukup",'B.kriteria &amp; R.kecocokan'!$C$24,D326="Sedikit",'B.kriteria &amp; R.kecocokan'!$C$25)</f>
        <v>5</v>
      </c>
      <c r="F326" s="8" t="str">
        <f>'B.kriteria &amp; R.kecocokan'!$B$34</f>
        <v>Tinggi</v>
      </c>
      <c r="G326" s="8">
        <f>_xlfn.IFS(F326="Tinggi",'B.kriteria &amp; R.kecocokan'!$C$34,F326="Sangat Tinggi",'B.kriteria &amp; R.kecocokan'!$C$35)</f>
        <v>7.5</v>
      </c>
      <c r="H326" s="8" t="str">
        <f>'B.kriteria &amp; R.kecocokan'!$B$41</f>
        <v>Rendah</v>
      </c>
      <c r="I326" s="8">
        <f>_xlfn.IFS(H326="Rendah",'B.kriteria &amp; R.kecocokan'!$C$41,H326="Sedang",'B.kriteria &amp; R.kecocokan'!$C$42,H326="Tinggi",'B.kriteria &amp; R.kecocokan'!$C$43)</f>
        <v>2.5</v>
      </c>
      <c r="J326" s="8" t="str">
        <f>'B.kriteria &amp; R.kecocokan'!$B$72</f>
        <v>Rendah</v>
      </c>
      <c r="K326" s="8">
        <f>_xlfn.IFS(J326="Rendah",'B.kriteria &amp; R.kecocokan'!$C$72,J326="Sedang",'B.kriteria &amp; R.kecocokan'!$C$73,J326="Tinggi",'B.kriteria &amp; R.kecocokan'!$C$74)</f>
        <v>2.5</v>
      </c>
      <c r="L326" s="8" t="str">
        <f>'B.kriteria &amp; R.kecocokan'!$B$95</f>
        <v>Rendah</v>
      </c>
      <c r="M326" s="8">
        <f>_xlfn.IFS(L326="Rendah",'B.kriteria &amp; R.kecocokan'!$C$95,L326="Tinggi",'B.kriteria &amp; R.kecocokan'!$C$96)</f>
        <v>2.5</v>
      </c>
      <c r="N326" s="8" t="str">
        <f>'B.kriteria &amp; R.kecocokan'!$B$80</f>
        <v>Rendah</v>
      </c>
      <c r="O326" s="8">
        <f>_xlfn.IFS(N326="Rendah",'B.kriteria &amp; R.kecocokan'!$C$80,N326="Tinggi",'B.kriteria &amp; R.kecocokan'!$C$81)</f>
        <v>2.5</v>
      </c>
      <c r="P326" s="8" t="str">
        <f>'B.kriteria &amp; R.kecocokan'!$B$89</f>
        <v>Sedikit</v>
      </c>
      <c r="Q326" s="8">
        <f>_xlfn.IFS(P326="Sedikit",'B.kriteria &amp; R.kecocokan'!$C$89,P326="Sedang",'B.kriteria &amp; R.kecocokan'!$C$88,P326="Sangat Sedikit",'B.kriteria &amp; R.kecocokan'!$C$90)</f>
        <v>2.5</v>
      </c>
      <c r="R326" s="8" t="str">
        <f>'B.kriteria &amp; R.kecocokan'!$B$49</f>
        <v>Rendah</v>
      </c>
      <c r="S326" s="8">
        <f>_xlfn.IFS(R326="Rendah",'B.kriteria &amp; R.kecocokan'!$C$49,R326="Sedang",'B.kriteria &amp; R.kecocokan'!$C$50,R326="Tinggi",'B.kriteria &amp; R.kecocokan'!$C$51)</f>
        <v>2.5</v>
      </c>
      <c r="T326" s="8" t="str">
        <f>'B.kriteria &amp; R.kecocokan'!$B$57</f>
        <v>Rendah</v>
      </c>
      <c r="U326" s="51">
        <f>_xlfn.IFS(T326="Rendah",'B.kriteria &amp; R.kecocokan'!$C$57,T326="Sedang",'B.kriteria &amp; R.kecocokan'!$C$58,T326="Tinggi",'B.kriteria &amp; R.kecocokan'!$C$59)</f>
        <v>2.5</v>
      </c>
      <c r="V326" s="51" t="str">
        <f>'B.kriteria &amp; R.kecocokan'!$B$65</f>
        <v>Rendah</v>
      </c>
      <c r="W326" s="110">
        <f>_xlfn.IFS(V326="Rendah",'B.kriteria &amp; R.kecocokan'!$C$65,V326="Sedang",'B.kriteria &amp; R.kecocokan'!$C$66,V326="Tinggi",'B.kriteria &amp; R.kecocokan'!$C$67)</f>
        <v>1</v>
      </c>
      <c r="X326" s="116">
        <f>SQRT(((E326-$E$322)^2)+((G326-$G$322)^2)+((I326-$I$322)^2+((K326-$K$322)^2)+((M326-$M$322)^2)+((O326-$O$322)^2)+((Q326-$Q$322)^2)+((S326-$S$322)^2)+((U326-$U$322)^2)+((W326-$W$322)^2)))</f>
        <v>5.5606452687967058</v>
      </c>
      <c r="Y326" s="116">
        <f>SQRT(((E326-$E$323)^2)+((G326-$G$323)^2)+((I326-$I$323)^2)+((K326-$K$323)^2)+((M326-$M$323)^2+((O326-$O$323)^2)+((Q326-$Q$323)^2)+((S326-$S$323)^2)+((U326-$U$323)^2)+((W326-$W$323)^2)))</f>
        <v>1.3505511246124837</v>
      </c>
      <c r="Z326" s="118">
        <f>MIN(X326:Y326)</f>
        <v>1.3505511246124837</v>
      </c>
      <c r="AA326" s="209" t="str">
        <f>IF(X326&lt;Y326,"Layak","Tidak Layak")</f>
        <v>Tidak Layak</v>
      </c>
      <c r="AB326" s="213" t="s">
        <v>347</v>
      </c>
    </row>
    <row r="327" spans="1:28" x14ac:dyDescent="0.35">
      <c r="A327" s="1">
        <v>2</v>
      </c>
      <c r="B327" s="2" t="s">
        <v>24</v>
      </c>
      <c r="C327" s="11" t="s">
        <v>13</v>
      </c>
      <c r="D327" s="32" t="str">
        <f>'B.kriteria &amp; R.kecocokan'!$B$24</f>
        <v>Cukup</v>
      </c>
      <c r="E327" s="111">
        <f>_xlfn.IFS(D327="Banyak",'B.kriteria &amp; R.kecocokan'!$C$23,D327="Cukup",'B.kriteria &amp; R.kecocokan'!$C$24,D327="Sedikit",'B.kriteria &amp; R.kecocokan'!$C$25)</f>
        <v>5</v>
      </c>
      <c r="F327" s="9" t="str">
        <f>'B.kriteria &amp; R.kecocokan'!$B$34</f>
        <v>Tinggi</v>
      </c>
      <c r="G327" s="8">
        <f>_xlfn.IFS(F327="Tinggi",'B.kriteria &amp; R.kecocokan'!$C$34,F327="Sangat Tinggi",'B.kriteria &amp; R.kecocokan'!$C$35)</f>
        <v>7.5</v>
      </c>
      <c r="H327" s="8" t="str">
        <f>'B.kriteria &amp; R.kecocokan'!$B$41</f>
        <v>Rendah</v>
      </c>
      <c r="I327" s="8">
        <f>_xlfn.IFS(H327="Rendah",'B.kriteria &amp; R.kecocokan'!$C$41,H327="Sedang",'B.kriteria &amp; R.kecocokan'!$C$42,H327="Tinggi",'B.kriteria &amp; R.kecocokan'!$C$43)</f>
        <v>2.5</v>
      </c>
      <c r="J327" s="8" t="str">
        <f>'B.kriteria &amp; R.kecocokan'!$B$72</f>
        <v>Rendah</v>
      </c>
      <c r="K327" s="8">
        <f>_xlfn.IFS(J327="Rendah",'B.kriteria &amp; R.kecocokan'!$C$72,J327="Sedang",'B.kriteria &amp; R.kecocokan'!$C$73,J327="Tinggi",'B.kriteria &amp; R.kecocokan'!$C$74)</f>
        <v>2.5</v>
      </c>
      <c r="L327" s="8" t="str">
        <f>'B.kriteria &amp; R.kecocokan'!$B$95</f>
        <v>Rendah</v>
      </c>
      <c r="M327" s="8">
        <f>_xlfn.IFS(L327="Rendah",'B.kriteria &amp; R.kecocokan'!$C$95,L327="Tinggi",'B.kriteria &amp; R.kecocokan'!$C$96)</f>
        <v>2.5</v>
      </c>
      <c r="N327" s="9" t="str">
        <f>'B.kriteria &amp; R.kecocokan'!$B$81</f>
        <v>Tinggi</v>
      </c>
      <c r="O327" s="8">
        <f>_xlfn.IFS(N327="Rendah",'B.kriteria &amp; R.kecocokan'!$C$80,N327="Tinggi",'B.kriteria &amp; R.kecocokan'!$C$81)</f>
        <v>7.5</v>
      </c>
      <c r="P327" s="9" t="str">
        <f>'B.kriteria &amp; R.kecocokan'!$B$90</f>
        <v>Sangat Sedikit</v>
      </c>
      <c r="Q327" s="8">
        <f>_xlfn.IFS(P327="Sedikit",'B.kriteria &amp; R.kecocokan'!$C$89,P327="Sedang",'B.kriteria &amp; R.kecocokan'!$C$88,P327="Sangat Sedikit",'B.kriteria &amp; R.kecocokan'!$C$90)</f>
        <v>1</v>
      </c>
      <c r="R327" s="8" t="str">
        <f>'B.kriteria &amp; R.kecocokan'!$B$49</f>
        <v>Rendah</v>
      </c>
      <c r="S327" s="8">
        <f>_xlfn.IFS(R327="Rendah",'B.kriteria &amp; R.kecocokan'!$C$49,R327="Sedang",'B.kriteria &amp; R.kecocokan'!$C$50,R327="Tinggi",'B.kriteria &amp; R.kecocokan'!$C$51)</f>
        <v>2.5</v>
      </c>
      <c r="T327" s="8" t="str">
        <f>'B.kriteria &amp; R.kecocokan'!$B$57</f>
        <v>Rendah</v>
      </c>
      <c r="U327" s="51">
        <f>_xlfn.IFS(T327="Rendah",'B.kriteria &amp; R.kecocokan'!$C$57,T327="Sedang",'B.kriteria &amp; R.kecocokan'!$C$58,T327="Tinggi",'B.kriteria &amp; R.kecocokan'!$C$59)</f>
        <v>2.5</v>
      </c>
      <c r="V327" s="51" t="str">
        <f>'B.kriteria &amp; R.kecocokan'!$B$65</f>
        <v>Rendah</v>
      </c>
      <c r="W327" s="9">
        <f>_xlfn.IFS(V327="Rendah",'B.kriteria &amp; R.kecocokan'!$C$65,V327="Sedang",'B.kriteria &amp; R.kecocokan'!$C$66,V327="Tinggi",'B.kriteria &amp; R.kecocokan'!$C$67)</f>
        <v>1</v>
      </c>
      <c r="X327" s="117">
        <f>SQRT(((E327-$E$322)^2)+((G327-$G$322)^2)+((I327-$I$322)^2+((K327-$K$322)^2)+((M327-$M$322)^2)+((O327-$O$322)^2)+((Q327-$Q$322)^2)+((S327-$S$322)^2)+((U327-$U$322)^2)+((W327-$W$322)^2)))</f>
        <v>2.2484197094863263</v>
      </c>
      <c r="Y327" s="117">
        <f>SQRT(((E327-$E$323)^2)+((G327-$G$323)^2)+((I327-$I$323)^2)+((K327-$K$323)^2)+((M327-$M$323)^2+((O327-$O$323)^2)+((Q327-$Q$323)^2)+((S327-$S$323)^2)+((U327-$U$323)^2)+((W327-$W$323)^2)))</f>
        <v>5.7178981024990652</v>
      </c>
      <c r="Z327" s="119">
        <f>MIN(X327:Y327)</f>
        <v>2.2484197094863263</v>
      </c>
      <c r="AA327" s="52" t="str">
        <f>IF(X327&lt;Y327,"Layak","Tidak Layak")</f>
        <v>Layak</v>
      </c>
      <c r="AB327" s="55" t="s">
        <v>347</v>
      </c>
    </row>
    <row r="328" spans="1:28" x14ac:dyDescent="0.35">
      <c r="A328" s="5">
        <v>3</v>
      </c>
      <c r="B328" s="2" t="s">
        <v>26</v>
      </c>
      <c r="C328" s="11" t="s">
        <v>13</v>
      </c>
      <c r="D328" s="9" t="str">
        <f>'B.kriteria &amp; R.kecocokan'!$B$23</f>
        <v>Banyak</v>
      </c>
      <c r="E328" s="111">
        <f>_xlfn.IFS(D328="Banyak",'B.kriteria &amp; R.kecocokan'!$C$23,D328="Cukup",'B.kriteria &amp; R.kecocokan'!$C$24,D328="Sedikit",'B.kriteria &amp; R.kecocokan'!$C$25)</f>
        <v>2.5</v>
      </c>
      <c r="F328" s="9" t="str">
        <f>'B.kriteria &amp; R.kecocokan'!$B$34</f>
        <v>Tinggi</v>
      </c>
      <c r="G328" s="8">
        <f>_xlfn.IFS(F328="Tinggi",'B.kriteria &amp; R.kecocokan'!$C$34,F328="Sangat Tinggi",'B.kriteria &amp; R.kecocokan'!$C$35)</f>
        <v>7.5</v>
      </c>
      <c r="H328" s="8" t="str">
        <f>'B.kriteria &amp; R.kecocokan'!$B$41</f>
        <v>Rendah</v>
      </c>
      <c r="I328" s="8">
        <f>_xlfn.IFS(H328="Rendah",'B.kriteria &amp; R.kecocokan'!$C$41,H328="Sedang",'B.kriteria &amp; R.kecocokan'!$C$42,H328="Tinggi",'B.kriteria &amp; R.kecocokan'!$C$43)</f>
        <v>2.5</v>
      </c>
      <c r="J328" s="8" t="str">
        <f>'B.kriteria &amp; R.kecocokan'!$B$72</f>
        <v>Rendah</v>
      </c>
      <c r="K328" s="8">
        <f>_xlfn.IFS(J328="Rendah",'B.kriteria &amp; R.kecocokan'!$C$72,J328="Sedang",'B.kriteria &amp; R.kecocokan'!$C$73,J328="Tinggi",'B.kriteria &amp; R.kecocokan'!$C$74)</f>
        <v>2.5</v>
      </c>
      <c r="L328" s="8" t="str">
        <f>'B.kriteria &amp; R.kecocokan'!$B$95</f>
        <v>Rendah</v>
      </c>
      <c r="M328" s="8">
        <f>_xlfn.IFS(L328="Rendah",'B.kriteria &amp; R.kecocokan'!$C$95,L328="Tinggi",'B.kriteria &amp; R.kecocokan'!$C$96)</f>
        <v>2.5</v>
      </c>
      <c r="N328" s="8" t="str">
        <f>'B.kriteria &amp; R.kecocokan'!$B$80</f>
        <v>Rendah</v>
      </c>
      <c r="O328" s="8">
        <f>_xlfn.IFS(N328="Rendah",'B.kriteria &amp; R.kecocokan'!$C$80,N328="Tinggi",'B.kriteria &amp; R.kecocokan'!$C$81)</f>
        <v>2.5</v>
      </c>
      <c r="P328" s="9" t="str">
        <f>'B.kriteria &amp; R.kecocokan'!$B$90</f>
        <v>Sangat Sedikit</v>
      </c>
      <c r="Q328" s="8">
        <f>_xlfn.IFS(P328="Sedikit",'B.kriteria &amp; R.kecocokan'!$C$89,P328="Sedang",'B.kriteria &amp; R.kecocokan'!$C$88,P328="Sangat Sedikit",'B.kriteria &amp; R.kecocokan'!$C$90)</f>
        <v>1</v>
      </c>
      <c r="R328" s="8" t="str">
        <f>'B.kriteria &amp; R.kecocokan'!$B$49</f>
        <v>Rendah</v>
      </c>
      <c r="S328" s="8">
        <f>_xlfn.IFS(R328="Rendah",'B.kriteria &amp; R.kecocokan'!$C$49,R328="Sedang",'B.kriteria &amp; R.kecocokan'!$C$50,R328="Tinggi",'B.kriteria &amp; R.kecocokan'!$C$51)</f>
        <v>2.5</v>
      </c>
      <c r="T328" s="8" t="str">
        <f>'B.kriteria &amp; R.kecocokan'!$B$57</f>
        <v>Rendah</v>
      </c>
      <c r="U328" s="51">
        <f>_xlfn.IFS(T328="Rendah",'B.kriteria &amp; R.kecocokan'!$C$57,T328="Sedang",'B.kriteria &amp; R.kecocokan'!$C$58,T328="Tinggi",'B.kriteria &amp; R.kecocokan'!$C$59)</f>
        <v>2.5</v>
      </c>
      <c r="V328" s="51" t="str">
        <f>'B.kriteria &amp; R.kecocokan'!$B$65</f>
        <v>Rendah</v>
      </c>
      <c r="W328" s="9">
        <f>_xlfn.IFS(V328="Rendah",'B.kriteria &amp; R.kecocokan'!$C$65,V328="Sedang",'B.kriteria &amp; R.kecocokan'!$C$66,V328="Tinggi",'B.kriteria &amp; R.kecocokan'!$C$67)</f>
        <v>1</v>
      </c>
      <c r="X328" s="117">
        <f t="shared" ref="X328:X391" si="34">SQRT(((E328-$E$322)^2)+((G328-$G$322)^2)+((I328-$I$322)^2+((K328-$K$322)^2)+((M328-$M$322)^2)+((O328-$O$322)^2)+((Q328-$Q$322)^2)+((S328-$S$322)^2)+((U328-$U$322)^2)+((W328-$W$322)^2)))</f>
        <v>6.5845784406663901</v>
      </c>
      <c r="Y328" s="117">
        <f t="shared" ref="Y328:Y391" si="35">SQRT(((E328-$E$323)^2)+((G328-$G$323)^2)+((I328-$I$323)^2)+((K328-$K$323)^2)+((M328-$M$323)^2+((O328-$O$323)^2)+((Q328-$Q$323)^2)+((S328-$S$323)^2)+((U328-$U$323)^2)+((W328-$W$323)^2)))</f>
        <v>3.2716384228428539</v>
      </c>
      <c r="Z328" s="119">
        <f t="shared" ref="Z328:Z391" si="36">MIN(X328:Y328)</f>
        <v>3.2716384228428539</v>
      </c>
      <c r="AA328" s="52" t="str">
        <f t="shared" ref="AA328:AA391" si="37">IF(X328&lt;Y328,"Layak","Tidak Layak")</f>
        <v>Tidak Layak</v>
      </c>
      <c r="AB328" s="55" t="s">
        <v>347</v>
      </c>
    </row>
    <row r="329" spans="1:28" x14ac:dyDescent="0.35">
      <c r="A329" s="134">
        <v>4</v>
      </c>
      <c r="B329" s="135" t="s">
        <v>27</v>
      </c>
      <c r="C329" s="136" t="s">
        <v>13</v>
      </c>
      <c r="D329" s="137" t="str">
        <f>'B.kriteria &amp; R.kecocokan'!$B$24</f>
        <v>Cukup</v>
      </c>
      <c r="E329" s="138">
        <f>_xlfn.IFS(D329="Banyak",'B.kriteria &amp; R.kecocokan'!$C$23,D329="Cukup",'B.kriteria &amp; R.kecocokan'!$C$24,D329="Sedikit",'B.kriteria &amp; R.kecocokan'!$C$25)</f>
        <v>5</v>
      </c>
      <c r="F329" s="139" t="str">
        <f>'B.kriteria &amp; R.kecocokan'!$B$34</f>
        <v>Tinggi</v>
      </c>
      <c r="G329" s="140">
        <f>_xlfn.IFS(F329="Tinggi",'B.kriteria &amp; R.kecocokan'!$C$34,F329="Sangat Tinggi",'B.kriteria &amp; R.kecocokan'!$C$35)</f>
        <v>7.5</v>
      </c>
      <c r="H329" s="140" t="str">
        <f>'B.kriteria &amp; R.kecocokan'!$B$41</f>
        <v>Rendah</v>
      </c>
      <c r="I329" s="140">
        <f>_xlfn.IFS(H329="Rendah",'B.kriteria &amp; R.kecocokan'!$C$41,H329="Sedang",'B.kriteria &amp; R.kecocokan'!$C$42,H329="Tinggi",'B.kriteria &amp; R.kecocokan'!$C$43)</f>
        <v>2.5</v>
      </c>
      <c r="J329" s="140" t="str">
        <f>'B.kriteria &amp; R.kecocokan'!$B$72</f>
        <v>Rendah</v>
      </c>
      <c r="K329" s="140">
        <f>_xlfn.IFS(J329="Rendah",'B.kriteria &amp; R.kecocokan'!$C$72,J329="Sedang",'B.kriteria &amp; R.kecocokan'!$C$73,J329="Tinggi",'B.kriteria &amp; R.kecocokan'!$C$74)</f>
        <v>2.5</v>
      </c>
      <c r="L329" s="140" t="str">
        <f>'B.kriteria &amp; R.kecocokan'!$B$95</f>
        <v>Rendah</v>
      </c>
      <c r="M329" s="140">
        <f>_xlfn.IFS(L329="Rendah",'B.kriteria &amp; R.kecocokan'!$C$95,L329="Tinggi",'B.kriteria &amp; R.kecocokan'!$C$96)</f>
        <v>2.5</v>
      </c>
      <c r="N329" s="140" t="str">
        <f>'B.kriteria &amp; R.kecocokan'!$B$80</f>
        <v>Rendah</v>
      </c>
      <c r="O329" s="140">
        <f>_xlfn.IFS(N329="Rendah",'B.kriteria &amp; R.kecocokan'!$C$80,N329="Tinggi",'B.kriteria &amp; R.kecocokan'!$C$81)</f>
        <v>2.5</v>
      </c>
      <c r="P329" s="140" t="str">
        <f>'B.kriteria &amp; R.kecocokan'!$B$89</f>
        <v>Sedikit</v>
      </c>
      <c r="Q329" s="140">
        <f>_xlfn.IFS(P329="Sedikit",'B.kriteria &amp; R.kecocokan'!$C$89,P329="Sedang",'B.kriteria &amp; R.kecocokan'!$C$88,P329="Sangat Sedikit",'B.kriteria &amp; R.kecocokan'!$C$90)</f>
        <v>2.5</v>
      </c>
      <c r="R329" s="140" t="str">
        <f>'B.kriteria &amp; R.kecocokan'!$B$49</f>
        <v>Rendah</v>
      </c>
      <c r="S329" s="140">
        <f>_xlfn.IFS(R329="Rendah",'B.kriteria &amp; R.kecocokan'!$C$49,R329="Sedang",'B.kriteria &amp; R.kecocokan'!$C$50,R329="Tinggi",'B.kriteria &amp; R.kecocokan'!$C$51)</f>
        <v>2.5</v>
      </c>
      <c r="T329" s="140" t="str">
        <f>'B.kriteria &amp; R.kecocokan'!$B$57</f>
        <v>Rendah</v>
      </c>
      <c r="U329" s="141">
        <f>_xlfn.IFS(T329="Rendah",'B.kriteria &amp; R.kecocokan'!$C$57,T329="Sedang",'B.kriteria &amp; R.kecocokan'!$C$58,T329="Tinggi",'B.kriteria &amp; R.kecocokan'!$C$59)</f>
        <v>2.5</v>
      </c>
      <c r="V329" s="141" t="str">
        <f>'B.kriteria &amp; R.kecocokan'!$B$65</f>
        <v>Rendah</v>
      </c>
      <c r="W329" s="139">
        <f>_xlfn.IFS(V329="Rendah",'B.kriteria &amp; R.kecocokan'!$C$65,V329="Sedang",'B.kriteria &amp; R.kecocokan'!$C$66,V329="Tinggi",'B.kriteria &amp; R.kecocokan'!$C$67)</f>
        <v>1</v>
      </c>
      <c r="X329" s="117">
        <f t="shared" si="34"/>
        <v>5.5606452687967058</v>
      </c>
      <c r="Y329" s="117">
        <f t="shared" si="35"/>
        <v>1.3505511246124837</v>
      </c>
      <c r="Z329" s="143">
        <f t="shared" si="36"/>
        <v>1.3505511246124837</v>
      </c>
      <c r="AA329" s="210" t="str">
        <f t="shared" si="37"/>
        <v>Tidak Layak</v>
      </c>
      <c r="AB329" s="55" t="s">
        <v>347</v>
      </c>
    </row>
    <row r="330" spans="1:28" x14ac:dyDescent="0.35">
      <c r="A330" s="1">
        <v>5</v>
      </c>
      <c r="B330" s="2" t="s">
        <v>31</v>
      </c>
      <c r="C330" s="11" t="s">
        <v>95</v>
      </c>
      <c r="D330" s="32" t="str">
        <f>'B.kriteria &amp; R.kecocokan'!$B$24</f>
        <v>Cukup</v>
      </c>
      <c r="E330" s="111">
        <f>_xlfn.IFS(D330="Banyak",'B.kriteria &amp; R.kecocokan'!$C$23,D330="Cukup",'B.kriteria &amp; R.kecocokan'!$C$24,D330="Sedikit",'B.kriteria &amp; R.kecocokan'!$C$25)</f>
        <v>5</v>
      </c>
      <c r="F330" s="9" t="str">
        <f>'B.kriteria &amp; R.kecocokan'!$B$34</f>
        <v>Tinggi</v>
      </c>
      <c r="G330" s="8">
        <f>_xlfn.IFS(F330="Tinggi",'B.kriteria &amp; R.kecocokan'!$C$34,F330="Sangat Tinggi",'B.kriteria &amp; R.kecocokan'!$C$35)</f>
        <v>7.5</v>
      </c>
      <c r="H330" s="8" t="str">
        <f>'B.kriteria &amp; R.kecocokan'!$B$41</f>
        <v>Rendah</v>
      </c>
      <c r="I330" s="8">
        <f>_xlfn.IFS(H330="Rendah",'B.kriteria &amp; R.kecocokan'!$C$41,H330="Sedang",'B.kriteria &amp; R.kecocokan'!$C$42,H330="Tinggi",'B.kriteria &amp; R.kecocokan'!$C$43)</f>
        <v>2.5</v>
      </c>
      <c r="J330" s="8" t="str">
        <f>'B.kriteria &amp; R.kecocokan'!$B$72</f>
        <v>Rendah</v>
      </c>
      <c r="K330" s="8">
        <f>_xlfn.IFS(J330="Rendah",'B.kriteria &amp; R.kecocokan'!$C$72,J330="Sedang",'B.kriteria &amp; R.kecocokan'!$C$73,J330="Tinggi",'B.kriteria &amp; R.kecocokan'!$C$74)</f>
        <v>2.5</v>
      </c>
      <c r="L330" s="8" t="str">
        <f>'B.kriteria &amp; R.kecocokan'!$B$95</f>
        <v>Rendah</v>
      </c>
      <c r="M330" s="8">
        <f>_xlfn.IFS(L330="Rendah",'B.kriteria &amp; R.kecocokan'!$C$95,L330="Tinggi",'B.kriteria &amp; R.kecocokan'!$C$96)</f>
        <v>2.5</v>
      </c>
      <c r="N330" s="8" t="str">
        <f>'B.kriteria &amp; R.kecocokan'!$B$80</f>
        <v>Rendah</v>
      </c>
      <c r="O330" s="8">
        <f>_xlfn.IFS(N330="Rendah",'B.kriteria &amp; R.kecocokan'!$C$80,N330="Tinggi",'B.kriteria &amp; R.kecocokan'!$C$81)</f>
        <v>2.5</v>
      </c>
      <c r="P330" s="9" t="str">
        <f>'B.kriteria &amp; R.kecocokan'!$B$88</f>
        <v>Sedang</v>
      </c>
      <c r="Q330" s="8">
        <f>_xlfn.IFS(P330="Sedikit",'B.kriteria &amp; R.kecocokan'!$C$89,P330="Sedang",'B.kriteria &amp; R.kecocokan'!$C$88,P330="Sangat Sedikit",'B.kriteria &amp; R.kecocokan'!$C$90)</f>
        <v>5</v>
      </c>
      <c r="R330" s="8" t="str">
        <f>'B.kriteria &amp; R.kecocokan'!$B$49</f>
        <v>Rendah</v>
      </c>
      <c r="S330" s="8">
        <f>_xlfn.IFS(R330="Rendah",'B.kriteria &amp; R.kecocokan'!$C$49,R330="Sedang",'B.kriteria &amp; R.kecocokan'!$C$50,R330="Tinggi",'B.kriteria &amp; R.kecocokan'!$C$51)</f>
        <v>2.5</v>
      </c>
      <c r="T330" s="8" t="str">
        <f>'B.kriteria &amp; R.kecocokan'!$B$57</f>
        <v>Rendah</v>
      </c>
      <c r="U330" s="51">
        <f>_xlfn.IFS(T330="Rendah",'B.kriteria &amp; R.kecocokan'!$C$57,T330="Sedang",'B.kriteria &amp; R.kecocokan'!$C$58,T330="Tinggi",'B.kriteria &amp; R.kecocokan'!$C$59)</f>
        <v>2.5</v>
      </c>
      <c r="V330" s="51" t="str">
        <f>'B.kriteria &amp; R.kecocokan'!$B$65</f>
        <v>Rendah</v>
      </c>
      <c r="W330" s="9">
        <f>_xlfn.IFS(V330="Rendah",'B.kriteria &amp; R.kecocokan'!$C$65,V330="Sedang",'B.kriteria &amp; R.kecocokan'!$C$66,V330="Tinggi",'B.kriteria &amp; R.kecocokan'!$C$67)</f>
        <v>1</v>
      </c>
      <c r="X330" s="117">
        <f t="shared" si="34"/>
        <v>6.5086929177599764</v>
      </c>
      <c r="Y330" s="117">
        <f t="shared" si="35"/>
        <v>1.8929468031223968</v>
      </c>
      <c r="Z330" s="119">
        <f t="shared" si="36"/>
        <v>1.8929468031223968</v>
      </c>
      <c r="AA330" s="52" t="str">
        <f t="shared" si="37"/>
        <v>Tidak Layak</v>
      </c>
      <c r="AB330" s="55" t="s">
        <v>347</v>
      </c>
    </row>
    <row r="331" spans="1:28" x14ac:dyDescent="0.35">
      <c r="A331" s="5">
        <v>6</v>
      </c>
      <c r="B331" s="2" t="s">
        <v>32</v>
      </c>
      <c r="C331" s="11" t="s">
        <v>13</v>
      </c>
      <c r="D331" s="9" t="str">
        <f>'B.kriteria &amp; R.kecocokan'!$B$23</f>
        <v>Banyak</v>
      </c>
      <c r="E331" s="111">
        <f>_xlfn.IFS(D331="Banyak",'B.kriteria &amp; R.kecocokan'!$C$23,D331="Cukup",'B.kriteria &amp; R.kecocokan'!$C$24,D331="Sedikit",'B.kriteria &amp; R.kecocokan'!$C$25)</f>
        <v>2.5</v>
      </c>
      <c r="F331" s="9" t="str">
        <f>'B.kriteria &amp; R.kecocokan'!$B$34</f>
        <v>Tinggi</v>
      </c>
      <c r="G331" s="8">
        <f>_xlfn.IFS(F331="Tinggi",'B.kriteria &amp; R.kecocokan'!$C$34,F331="Sangat Tinggi",'B.kriteria &amp; R.kecocokan'!$C$35)</f>
        <v>7.5</v>
      </c>
      <c r="H331" s="8" t="str">
        <f>'B.kriteria &amp; R.kecocokan'!$B$41</f>
        <v>Rendah</v>
      </c>
      <c r="I331" s="8">
        <f>_xlfn.IFS(H331="Rendah",'B.kriteria &amp; R.kecocokan'!$C$41,H331="Sedang",'B.kriteria &amp; R.kecocokan'!$C$42,H331="Tinggi",'B.kriteria &amp; R.kecocokan'!$C$43)</f>
        <v>2.5</v>
      </c>
      <c r="J331" s="8" t="str">
        <f>'B.kriteria &amp; R.kecocokan'!$B$72</f>
        <v>Rendah</v>
      </c>
      <c r="K331" s="8">
        <f>_xlfn.IFS(J331="Rendah",'B.kriteria &amp; R.kecocokan'!$C$72,J331="Sedang",'B.kriteria &amp; R.kecocokan'!$C$73,J331="Tinggi",'B.kriteria &amp; R.kecocokan'!$C$74)</f>
        <v>2.5</v>
      </c>
      <c r="L331" s="8" t="str">
        <f>'B.kriteria &amp; R.kecocokan'!$B$95</f>
        <v>Rendah</v>
      </c>
      <c r="M331" s="8">
        <f>_xlfn.IFS(L331="Rendah",'B.kriteria &amp; R.kecocokan'!$C$95,L331="Tinggi",'B.kriteria &amp; R.kecocokan'!$C$96)</f>
        <v>2.5</v>
      </c>
      <c r="N331" s="8" t="str">
        <f>'B.kriteria &amp; R.kecocokan'!$B$80</f>
        <v>Rendah</v>
      </c>
      <c r="O331" s="8">
        <f>_xlfn.IFS(N331="Rendah",'B.kriteria &amp; R.kecocokan'!$C$80,N331="Tinggi",'B.kriteria &amp; R.kecocokan'!$C$81)</f>
        <v>2.5</v>
      </c>
      <c r="P331" s="8" t="str">
        <f>'B.kriteria &amp; R.kecocokan'!$B$89</f>
        <v>Sedikit</v>
      </c>
      <c r="Q331" s="8">
        <f>_xlfn.IFS(P331="Sedikit",'B.kriteria &amp; R.kecocokan'!$C$89,P331="Sedang",'B.kriteria &amp; R.kecocokan'!$C$88,P331="Sangat Sedikit",'B.kriteria &amp; R.kecocokan'!$C$90)</f>
        <v>2.5</v>
      </c>
      <c r="R331" s="8" t="str">
        <f>'B.kriteria &amp; R.kecocokan'!$B$49</f>
        <v>Rendah</v>
      </c>
      <c r="S331" s="8">
        <f>_xlfn.IFS(R331="Rendah",'B.kriteria &amp; R.kecocokan'!$C$49,R331="Sedang",'B.kriteria &amp; R.kecocokan'!$C$50,R331="Tinggi",'B.kriteria &amp; R.kecocokan'!$C$51)</f>
        <v>2.5</v>
      </c>
      <c r="T331" s="8" t="str">
        <f>'B.kriteria &amp; R.kecocokan'!$B$57</f>
        <v>Rendah</v>
      </c>
      <c r="U331" s="51">
        <f>_xlfn.IFS(T331="Rendah",'B.kriteria &amp; R.kecocokan'!$C$57,T331="Sedang",'B.kriteria &amp; R.kecocokan'!$C$58,T331="Tinggi",'B.kriteria &amp; R.kecocokan'!$C$59)</f>
        <v>2.5</v>
      </c>
      <c r="V331" s="51" t="str">
        <f>'B.kriteria &amp; R.kecocokan'!$B$65</f>
        <v>Rendah</v>
      </c>
      <c r="W331" s="9">
        <f>_xlfn.IFS(V331="Rendah",'B.kriteria &amp; R.kecocokan'!$C$65,V331="Sedang",'B.kriteria &amp; R.kecocokan'!$C$66,V331="Tinggi",'B.kriteria &amp; R.kecocokan'!$C$67)</f>
        <v>1</v>
      </c>
      <c r="X331" s="117">
        <f t="shared" si="34"/>
        <v>6.6499667560577507</v>
      </c>
      <c r="Y331" s="117">
        <f t="shared" si="35"/>
        <v>2.3998278116100811</v>
      </c>
      <c r="Z331" s="119">
        <f t="shared" si="36"/>
        <v>2.3998278116100811</v>
      </c>
      <c r="AA331" s="52" t="str">
        <f t="shared" si="37"/>
        <v>Tidak Layak</v>
      </c>
      <c r="AB331" s="55" t="s">
        <v>347</v>
      </c>
    </row>
    <row r="332" spans="1:28" x14ac:dyDescent="0.35">
      <c r="A332" s="5">
        <v>7</v>
      </c>
      <c r="B332" s="2" t="s">
        <v>34</v>
      </c>
      <c r="C332" s="11" t="s">
        <v>13</v>
      </c>
      <c r="D332" s="9" t="str">
        <f>'B.kriteria &amp; R.kecocokan'!$B$23</f>
        <v>Banyak</v>
      </c>
      <c r="E332" s="111">
        <f>_xlfn.IFS(D332="Banyak",'B.kriteria &amp; R.kecocokan'!$C$23,D332="Cukup",'B.kriteria &amp; R.kecocokan'!$C$24,D332="Sedikit",'B.kriteria &amp; R.kecocokan'!$C$25)</f>
        <v>2.5</v>
      </c>
      <c r="F332" s="9" t="str">
        <f>'B.kriteria &amp; R.kecocokan'!$B$34</f>
        <v>Tinggi</v>
      </c>
      <c r="G332" s="8">
        <f>_xlfn.IFS(F332="Tinggi",'B.kriteria &amp; R.kecocokan'!$C$34,F332="Sangat Tinggi",'B.kriteria &amp; R.kecocokan'!$C$35)</f>
        <v>7.5</v>
      </c>
      <c r="H332" s="8" t="str">
        <f>'B.kriteria &amp; R.kecocokan'!$B$41</f>
        <v>Rendah</v>
      </c>
      <c r="I332" s="8">
        <f>_xlfn.IFS(H332="Rendah",'B.kriteria &amp; R.kecocokan'!$C$41,H332="Sedang",'B.kriteria &amp; R.kecocokan'!$C$42,H332="Tinggi",'B.kriteria &amp; R.kecocokan'!$C$43)</f>
        <v>2.5</v>
      </c>
      <c r="J332" s="8" t="str">
        <f>'B.kriteria &amp; R.kecocokan'!$B$72</f>
        <v>Rendah</v>
      </c>
      <c r="K332" s="8">
        <f>_xlfn.IFS(J332="Rendah",'B.kriteria &amp; R.kecocokan'!$C$72,J332="Sedang",'B.kriteria &amp; R.kecocokan'!$C$73,J332="Tinggi",'B.kriteria &amp; R.kecocokan'!$C$74)</f>
        <v>2.5</v>
      </c>
      <c r="L332" s="8" t="str">
        <f>'B.kriteria &amp; R.kecocokan'!$B$95</f>
        <v>Rendah</v>
      </c>
      <c r="M332" s="8">
        <f>_xlfn.IFS(L332="Rendah",'B.kriteria &amp; R.kecocokan'!$C$95,L332="Tinggi",'B.kriteria &amp; R.kecocokan'!$C$96)</f>
        <v>2.5</v>
      </c>
      <c r="N332" s="9" t="str">
        <f>'B.kriteria &amp; R.kecocokan'!$B$81</f>
        <v>Tinggi</v>
      </c>
      <c r="O332" s="8">
        <f>_xlfn.IFS(N332="Rendah",'B.kriteria &amp; R.kecocokan'!$C$80,N332="Tinggi",'B.kriteria &amp; R.kecocokan'!$C$81)</f>
        <v>7.5</v>
      </c>
      <c r="P332" s="9" t="str">
        <f>'B.kriteria &amp; R.kecocokan'!$B$88</f>
        <v>Sedang</v>
      </c>
      <c r="Q332" s="8">
        <f>_xlfn.IFS(P332="Sedikit",'B.kriteria &amp; R.kecocokan'!$C$89,P332="Sedang",'B.kriteria &amp; R.kecocokan'!$C$88,P332="Sangat Sedikit",'B.kriteria &amp; R.kecocokan'!$C$90)</f>
        <v>5</v>
      </c>
      <c r="R332" s="8" t="str">
        <f>'B.kriteria &amp; R.kecocokan'!$B$49</f>
        <v>Rendah</v>
      </c>
      <c r="S332" s="8">
        <f>_xlfn.IFS(R332="Rendah",'B.kriteria &amp; R.kecocokan'!$C$49,R332="Sedang",'B.kriteria &amp; R.kecocokan'!$C$50,R332="Tinggi",'B.kriteria &amp; R.kecocokan'!$C$51)</f>
        <v>2.5</v>
      </c>
      <c r="T332" s="8" t="str">
        <f>'B.kriteria &amp; R.kecocokan'!$B$57</f>
        <v>Rendah</v>
      </c>
      <c r="U332" s="51">
        <f>_xlfn.IFS(T332="Rendah",'B.kriteria &amp; R.kecocokan'!$C$57,T332="Sedang",'B.kriteria &amp; R.kecocokan'!$C$58,T332="Tinggi",'B.kriteria &amp; R.kecocokan'!$C$59)</f>
        <v>2.5</v>
      </c>
      <c r="V332" s="51" t="str">
        <f>'B.kriteria &amp; R.kecocokan'!$B$65</f>
        <v>Rendah</v>
      </c>
      <c r="W332" s="9">
        <f>_xlfn.IFS(V332="Rendah",'B.kriteria &amp; R.kecocokan'!$C$65,V332="Sedang",'B.kriteria &amp; R.kecocokan'!$C$66,V332="Tinggi",'B.kriteria &amp; R.kecocokan'!$C$67)</f>
        <v>1</v>
      </c>
      <c r="X332" s="117">
        <f t="shared" si="34"/>
        <v>5.5375414715359863</v>
      </c>
      <c r="Y332" s="117">
        <f t="shared" si="35"/>
        <v>5.7831097785328627</v>
      </c>
      <c r="Z332" s="119">
        <f t="shared" si="36"/>
        <v>5.5375414715359863</v>
      </c>
      <c r="AA332" s="52" t="str">
        <f t="shared" si="37"/>
        <v>Layak</v>
      </c>
      <c r="AB332" s="55" t="s">
        <v>347</v>
      </c>
    </row>
    <row r="333" spans="1:28" x14ac:dyDescent="0.35">
      <c r="A333" s="1">
        <v>8</v>
      </c>
      <c r="B333" s="2" t="s">
        <v>35</v>
      </c>
      <c r="C333" s="12" t="s">
        <v>13</v>
      </c>
      <c r="D333" s="32" t="str">
        <f>'B.kriteria &amp; R.kecocokan'!$B$24</f>
        <v>Cukup</v>
      </c>
      <c r="E333" s="111">
        <f>_xlfn.IFS(D333="Banyak",'B.kriteria &amp; R.kecocokan'!$C$23,D333="Cukup",'B.kriteria &amp; R.kecocokan'!$C$24,D333="Sedikit",'B.kriteria &amp; R.kecocokan'!$C$25)</f>
        <v>5</v>
      </c>
      <c r="F333" s="9" t="str">
        <f>'B.kriteria &amp; R.kecocokan'!$B$34</f>
        <v>Tinggi</v>
      </c>
      <c r="G333" s="8">
        <f>_xlfn.IFS(F333="Tinggi",'B.kriteria &amp; R.kecocokan'!$C$34,F333="Sangat Tinggi",'B.kriteria &amp; R.kecocokan'!$C$35)</f>
        <v>7.5</v>
      </c>
      <c r="H333" s="8" t="str">
        <f>'B.kriteria &amp; R.kecocokan'!$B$41</f>
        <v>Rendah</v>
      </c>
      <c r="I333" s="8">
        <f>_xlfn.IFS(H333="Rendah",'B.kriteria &amp; R.kecocokan'!$C$41,H333="Sedang",'B.kriteria &amp; R.kecocokan'!$C$42,H333="Tinggi",'B.kriteria &amp; R.kecocokan'!$C$43)</f>
        <v>2.5</v>
      </c>
      <c r="J333" s="8" t="str">
        <f>'B.kriteria &amp; R.kecocokan'!$B$72</f>
        <v>Rendah</v>
      </c>
      <c r="K333" s="8">
        <f>_xlfn.IFS(J333="Rendah",'B.kriteria &amp; R.kecocokan'!$C$72,J333="Sedang",'B.kriteria &amp; R.kecocokan'!$C$73,J333="Tinggi",'B.kriteria &amp; R.kecocokan'!$C$74)</f>
        <v>2.5</v>
      </c>
      <c r="L333" s="8" t="str">
        <f>'B.kriteria &amp; R.kecocokan'!$B$95</f>
        <v>Rendah</v>
      </c>
      <c r="M333" s="8">
        <f>_xlfn.IFS(L333="Rendah",'B.kriteria &amp; R.kecocokan'!$C$95,L333="Tinggi",'B.kriteria &amp; R.kecocokan'!$C$96)</f>
        <v>2.5</v>
      </c>
      <c r="N333" s="8" t="str">
        <f>'B.kriteria &amp; R.kecocokan'!$B$80</f>
        <v>Rendah</v>
      </c>
      <c r="O333" s="8">
        <f>_xlfn.IFS(N333="Rendah",'B.kriteria &amp; R.kecocokan'!$C$80,N333="Tinggi",'B.kriteria &amp; R.kecocokan'!$C$81)</f>
        <v>2.5</v>
      </c>
      <c r="P333" s="8" t="str">
        <f>'B.kriteria &amp; R.kecocokan'!$B$89</f>
        <v>Sedikit</v>
      </c>
      <c r="Q333" s="8">
        <f>_xlfn.IFS(P333="Sedikit",'B.kriteria &amp; R.kecocokan'!$C$89,P333="Sedang",'B.kriteria &amp; R.kecocokan'!$C$88,P333="Sangat Sedikit",'B.kriteria &amp; R.kecocokan'!$C$90)</f>
        <v>2.5</v>
      </c>
      <c r="R333" s="8" t="str">
        <f>'B.kriteria &amp; R.kecocokan'!$B$49</f>
        <v>Rendah</v>
      </c>
      <c r="S333" s="8">
        <f>_xlfn.IFS(R333="Rendah",'B.kriteria &amp; R.kecocokan'!$C$49,R333="Sedang",'B.kriteria &amp; R.kecocokan'!$C$50,R333="Tinggi",'B.kriteria &amp; R.kecocokan'!$C$51)</f>
        <v>2.5</v>
      </c>
      <c r="T333" s="8" t="str">
        <f>'B.kriteria &amp; R.kecocokan'!$B$57</f>
        <v>Rendah</v>
      </c>
      <c r="U333" s="51">
        <f>_xlfn.IFS(T333="Rendah",'B.kriteria &amp; R.kecocokan'!$C$57,T333="Sedang",'B.kriteria &amp; R.kecocokan'!$C$58,T333="Tinggi",'B.kriteria &amp; R.kecocokan'!$C$59)</f>
        <v>2.5</v>
      </c>
      <c r="V333" s="51" t="str">
        <f>'B.kriteria &amp; R.kecocokan'!$B$65</f>
        <v>Rendah</v>
      </c>
      <c r="W333" s="9">
        <f>_xlfn.IFS(V333="Rendah",'B.kriteria &amp; R.kecocokan'!$C$65,V333="Sedang",'B.kriteria &amp; R.kecocokan'!$C$66,V333="Tinggi",'B.kriteria &amp; R.kecocokan'!$C$67)</f>
        <v>1</v>
      </c>
      <c r="X333" s="117">
        <f t="shared" si="34"/>
        <v>5.5606452687967058</v>
      </c>
      <c r="Y333" s="117">
        <f t="shared" si="35"/>
        <v>1.3505511246124837</v>
      </c>
      <c r="Z333" s="119">
        <f t="shared" si="36"/>
        <v>1.3505511246124837</v>
      </c>
      <c r="AA333" s="52" t="str">
        <f t="shared" si="37"/>
        <v>Tidak Layak</v>
      </c>
      <c r="AB333" s="55" t="s">
        <v>347</v>
      </c>
    </row>
    <row r="334" spans="1:28" x14ac:dyDescent="0.35">
      <c r="A334" s="5">
        <v>9</v>
      </c>
      <c r="B334" s="2" t="s">
        <v>36</v>
      </c>
      <c r="C334" s="11" t="s">
        <v>13</v>
      </c>
      <c r="D334" s="32" t="str">
        <f>'B.kriteria &amp; R.kecocokan'!$B$24</f>
        <v>Cukup</v>
      </c>
      <c r="E334" s="111">
        <f>_xlfn.IFS(D334="Banyak",'B.kriteria &amp; R.kecocokan'!$C$23,D334="Cukup",'B.kriteria &amp; R.kecocokan'!$C$24,D334="Sedikit",'B.kriteria &amp; R.kecocokan'!$C$25)</f>
        <v>5</v>
      </c>
      <c r="F334" s="9" t="str">
        <f>'B.kriteria &amp; R.kecocokan'!$B$34</f>
        <v>Tinggi</v>
      </c>
      <c r="G334" s="8">
        <f>_xlfn.IFS(F334="Tinggi",'B.kriteria &amp; R.kecocokan'!$C$34,F334="Sangat Tinggi",'B.kriteria &amp; R.kecocokan'!$C$35)</f>
        <v>7.5</v>
      </c>
      <c r="H334" s="9" t="str">
        <f>'B.kriteria &amp; R.kecocokan'!$B$43</f>
        <v>Tinggi</v>
      </c>
      <c r="I334" s="8">
        <f>_xlfn.IFS(H334="Rendah",'B.kriteria &amp; R.kecocokan'!$C$41,H334="Sedang",'B.kriteria &amp; R.kecocokan'!$C$42,H334="Tinggi",'B.kriteria &amp; R.kecocokan'!$C$43)</f>
        <v>7.5</v>
      </c>
      <c r="J334" s="8" t="str">
        <f>'B.kriteria &amp; R.kecocokan'!$B$72</f>
        <v>Rendah</v>
      </c>
      <c r="K334" s="8">
        <f>_xlfn.IFS(J334="Rendah",'B.kriteria &amp; R.kecocokan'!$C$72,J334="Sedang",'B.kriteria &amp; R.kecocokan'!$C$73,J334="Tinggi",'B.kriteria &amp; R.kecocokan'!$C$74)</f>
        <v>2.5</v>
      </c>
      <c r="L334" s="8" t="str">
        <f>'B.kriteria &amp; R.kecocokan'!$B$95</f>
        <v>Rendah</v>
      </c>
      <c r="M334" s="8">
        <f>_xlfn.IFS(L334="Rendah",'B.kriteria &amp; R.kecocokan'!$C$95,L334="Tinggi",'B.kriteria &amp; R.kecocokan'!$C$96)</f>
        <v>2.5</v>
      </c>
      <c r="N334" s="8" t="str">
        <f>'B.kriteria &amp; R.kecocokan'!$B$80</f>
        <v>Rendah</v>
      </c>
      <c r="O334" s="8">
        <f>_xlfn.IFS(N334="Rendah",'B.kriteria &amp; R.kecocokan'!$C$80,N334="Tinggi",'B.kriteria &amp; R.kecocokan'!$C$81)</f>
        <v>2.5</v>
      </c>
      <c r="P334" s="9" t="str">
        <f>'B.kriteria &amp; R.kecocokan'!$B$88</f>
        <v>Sedang</v>
      </c>
      <c r="Q334" s="8">
        <f>_xlfn.IFS(P334="Sedikit",'B.kriteria &amp; R.kecocokan'!$C$89,P334="Sedang",'B.kriteria &amp; R.kecocokan'!$C$88,P334="Sangat Sedikit",'B.kriteria &amp; R.kecocokan'!$C$90)</f>
        <v>5</v>
      </c>
      <c r="R334" s="8" t="str">
        <f>'B.kriteria &amp; R.kecocokan'!$B$49</f>
        <v>Rendah</v>
      </c>
      <c r="S334" s="8">
        <f>_xlfn.IFS(R334="Rendah",'B.kriteria &amp; R.kecocokan'!$C$49,R334="Sedang",'B.kriteria &amp; R.kecocokan'!$C$50,R334="Tinggi",'B.kriteria &amp; R.kecocokan'!$C$51)</f>
        <v>2.5</v>
      </c>
      <c r="T334" s="8" t="str">
        <f>'B.kriteria &amp; R.kecocokan'!$B$57</f>
        <v>Rendah</v>
      </c>
      <c r="U334" s="51">
        <f>_xlfn.IFS(T334="Rendah",'B.kriteria &amp; R.kecocokan'!$C$57,T334="Sedang",'B.kriteria &amp; R.kecocokan'!$C$58,T334="Tinggi",'B.kriteria &amp; R.kecocokan'!$C$59)</f>
        <v>2.5</v>
      </c>
      <c r="V334" s="51" t="str">
        <f>'B.kriteria &amp; R.kecocokan'!$B$65</f>
        <v>Rendah</v>
      </c>
      <c r="W334" s="9">
        <f>_xlfn.IFS(V334="Rendah",'B.kriteria &amp; R.kecocokan'!$C$65,V334="Sedang",'B.kriteria &amp; R.kecocokan'!$C$66,V334="Tinggi",'B.kriteria &amp; R.kecocokan'!$C$67)</f>
        <v>1</v>
      </c>
      <c r="X334" s="117">
        <f t="shared" si="34"/>
        <v>7.9697509152761494</v>
      </c>
      <c r="Y334" s="117">
        <f t="shared" si="35"/>
        <v>4.6017214379016798</v>
      </c>
      <c r="Z334" s="119">
        <f t="shared" si="36"/>
        <v>4.6017214379016798</v>
      </c>
      <c r="AA334" s="52" t="str">
        <f t="shared" si="37"/>
        <v>Tidak Layak</v>
      </c>
      <c r="AB334" s="55" t="s">
        <v>347</v>
      </c>
    </row>
    <row r="335" spans="1:28" x14ac:dyDescent="0.35">
      <c r="A335" s="5">
        <v>10</v>
      </c>
      <c r="B335" s="2" t="s">
        <v>39</v>
      </c>
      <c r="C335" s="12" t="s">
        <v>13</v>
      </c>
      <c r="D335" s="32" t="str">
        <f>'B.kriteria &amp; R.kecocokan'!$B$24</f>
        <v>Cukup</v>
      </c>
      <c r="E335" s="111">
        <f>_xlfn.IFS(D335="Banyak",'B.kriteria &amp; R.kecocokan'!$C$23,D335="Cukup",'B.kriteria &amp; R.kecocokan'!$C$24,D335="Sedikit",'B.kriteria &amp; R.kecocokan'!$C$25)</f>
        <v>5</v>
      </c>
      <c r="F335" s="9" t="str">
        <f>'B.kriteria &amp; R.kecocokan'!$B$34</f>
        <v>Tinggi</v>
      </c>
      <c r="G335" s="8">
        <f>_xlfn.IFS(F335="Tinggi",'B.kriteria &amp; R.kecocokan'!$C$34,F335="Sangat Tinggi",'B.kriteria &amp; R.kecocokan'!$C$35)</f>
        <v>7.5</v>
      </c>
      <c r="H335" s="8" t="str">
        <f>'B.kriteria &amp; R.kecocokan'!$B$41</f>
        <v>Rendah</v>
      </c>
      <c r="I335" s="8">
        <f>_xlfn.IFS(H335="Rendah",'B.kriteria &amp; R.kecocokan'!$C$41,H335="Sedang",'B.kriteria &amp; R.kecocokan'!$C$42,H335="Tinggi",'B.kriteria &amp; R.kecocokan'!$C$43)</f>
        <v>2.5</v>
      </c>
      <c r="J335" s="8" t="str">
        <f>'B.kriteria &amp; R.kecocokan'!$B$72</f>
        <v>Rendah</v>
      </c>
      <c r="K335" s="8">
        <f>_xlfn.IFS(J335="Rendah",'B.kriteria &amp; R.kecocokan'!$C$72,J335="Sedang",'B.kriteria &amp; R.kecocokan'!$C$73,J335="Tinggi",'B.kriteria &amp; R.kecocokan'!$C$74)</f>
        <v>2.5</v>
      </c>
      <c r="L335" s="8" t="str">
        <f>'B.kriteria &amp; R.kecocokan'!$B$95</f>
        <v>Rendah</v>
      </c>
      <c r="M335" s="8">
        <f>_xlfn.IFS(L335="Rendah",'B.kriteria &amp; R.kecocokan'!$C$95,L335="Tinggi",'B.kriteria &amp; R.kecocokan'!$C$96)</f>
        <v>2.5</v>
      </c>
      <c r="N335" s="9" t="str">
        <f>'B.kriteria &amp; R.kecocokan'!$B$81</f>
        <v>Tinggi</v>
      </c>
      <c r="O335" s="8">
        <f>_xlfn.IFS(N335="Rendah",'B.kriteria &amp; R.kecocokan'!$C$80,N335="Tinggi",'B.kriteria &amp; R.kecocokan'!$C$81)</f>
        <v>7.5</v>
      </c>
      <c r="P335" s="9" t="str">
        <f>'B.kriteria &amp; R.kecocokan'!$B$90</f>
        <v>Sangat Sedikit</v>
      </c>
      <c r="Q335" s="8">
        <f>_xlfn.IFS(P335="Sedikit",'B.kriteria &amp; R.kecocokan'!$C$89,P335="Sedang",'B.kriteria &amp; R.kecocokan'!$C$88,P335="Sangat Sedikit",'B.kriteria &amp; R.kecocokan'!$C$90)</f>
        <v>1</v>
      </c>
      <c r="R335" s="8" t="str">
        <f>'B.kriteria &amp; R.kecocokan'!$B$49</f>
        <v>Rendah</v>
      </c>
      <c r="S335" s="8">
        <f>_xlfn.IFS(R335="Rendah",'B.kriteria &amp; R.kecocokan'!$C$49,R335="Sedang",'B.kriteria &amp; R.kecocokan'!$C$50,R335="Tinggi",'B.kriteria &amp; R.kecocokan'!$C$51)</f>
        <v>2.5</v>
      </c>
      <c r="T335" s="8" t="str">
        <f>'B.kriteria &amp; R.kecocokan'!$B$57</f>
        <v>Rendah</v>
      </c>
      <c r="U335" s="51">
        <f>_xlfn.IFS(T335="Rendah",'B.kriteria &amp; R.kecocokan'!$C$57,T335="Sedang",'B.kriteria &amp; R.kecocokan'!$C$58,T335="Tinggi",'B.kriteria &amp; R.kecocokan'!$C$59)</f>
        <v>2.5</v>
      </c>
      <c r="V335" s="51" t="str">
        <f>'B.kriteria &amp; R.kecocokan'!$B$65</f>
        <v>Rendah</v>
      </c>
      <c r="W335" s="9">
        <f>_xlfn.IFS(V335="Rendah",'B.kriteria &amp; R.kecocokan'!$C$65,V335="Sedang",'B.kriteria &amp; R.kecocokan'!$C$66,V335="Tinggi",'B.kriteria &amp; R.kecocokan'!$C$67)</f>
        <v>1</v>
      </c>
      <c r="X335" s="117">
        <f t="shared" si="34"/>
        <v>2.2484197094863263</v>
      </c>
      <c r="Y335" s="117">
        <f t="shared" si="35"/>
        <v>5.7178981024990652</v>
      </c>
      <c r="Z335" s="119">
        <f t="shared" si="36"/>
        <v>2.2484197094863263</v>
      </c>
      <c r="AA335" s="52" t="str">
        <f t="shared" si="37"/>
        <v>Layak</v>
      </c>
      <c r="AB335" s="55" t="s">
        <v>349</v>
      </c>
    </row>
    <row r="336" spans="1:28" x14ac:dyDescent="0.35">
      <c r="A336" s="1">
        <v>11</v>
      </c>
      <c r="B336" s="2" t="s">
        <v>40</v>
      </c>
      <c r="C336" s="11" t="s">
        <v>13</v>
      </c>
      <c r="D336" s="9" t="str">
        <f>'B.kriteria &amp; R.kecocokan'!$B$25</f>
        <v>Sedikit</v>
      </c>
      <c r="E336" s="111">
        <f>_xlfn.IFS(D336="Banyak",'B.kriteria &amp; R.kecocokan'!$C$23,D336="Cukup",'B.kriteria &amp; R.kecocokan'!$C$24,D336="Sedikit",'B.kriteria &amp; R.kecocokan'!$C$25)</f>
        <v>7.5</v>
      </c>
      <c r="F336" s="9" t="str">
        <f>'B.kriteria &amp; R.kecocokan'!$B$34</f>
        <v>Tinggi</v>
      </c>
      <c r="G336" s="8">
        <f>_xlfn.IFS(F336="Tinggi",'B.kriteria &amp; R.kecocokan'!$C$34,F336="Sangat Tinggi",'B.kriteria &amp; R.kecocokan'!$C$35)</f>
        <v>7.5</v>
      </c>
      <c r="H336" s="8" t="str">
        <f>'B.kriteria &amp; R.kecocokan'!$B$41</f>
        <v>Rendah</v>
      </c>
      <c r="I336" s="8">
        <f>_xlfn.IFS(H336="Rendah",'B.kriteria &amp; R.kecocokan'!$C$41,H336="Sedang",'B.kriteria &amp; R.kecocokan'!$C$42,H336="Tinggi",'B.kriteria &amp; R.kecocokan'!$C$43)</f>
        <v>2.5</v>
      </c>
      <c r="J336" s="8" t="str">
        <f>'B.kriteria &amp; R.kecocokan'!$B$72</f>
        <v>Rendah</v>
      </c>
      <c r="K336" s="8">
        <f>_xlfn.IFS(J336="Rendah",'B.kriteria &amp; R.kecocokan'!$C$72,J336="Sedang",'B.kriteria &amp; R.kecocokan'!$C$73,J336="Tinggi",'B.kriteria &amp; R.kecocokan'!$C$74)</f>
        <v>2.5</v>
      </c>
      <c r="L336" s="8" t="str">
        <f>'B.kriteria &amp; R.kecocokan'!$B$95</f>
        <v>Rendah</v>
      </c>
      <c r="M336" s="8">
        <f>_xlfn.IFS(L336="Rendah",'B.kriteria &amp; R.kecocokan'!$C$95,L336="Tinggi",'B.kriteria &amp; R.kecocokan'!$C$96)</f>
        <v>2.5</v>
      </c>
      <c r="N336" s="9" t="str">
        <f>'B.kriteria &amp; R.kecocokan'!$B$81</f>
        <v>Tinggi</v>
      </c>
      <c r="O336" s="8">
        <f>_xlfn.IFS(N336="Rendah",'B.kriteria &amp; R.kecocokan'!$C$80,N336="Tinggi",'B.kriteria &amp; R.kecocokan'!$C$81)</f>
        <v>7.5</v>
      </c>
      <c r="P336" s="9" t="str">
        <f>'B.kriteria &amp; R.kecocokan'!$B$90</f>
        <v>Sangat Sedikit</v>
      </c>
      <c r="Q336" s="8">
        <f>_xlfn.IFS(P336="Sedikit",'B.kriteria &amp; R.kecocokan'!$C$89,P336="Sedang",'B.kriteria &amp; R.kecocokan'!$C$88,P336="Sangat Sedikit",'B.kriteria &amp; R.kecocokan'!$C$90)</f>
        <v>1</v>
      </c>
      <c r="R336" s="9" t="str">
        <f>'B.kriteria &amp; R.kecocokan'!$B$50</f>
        <v>Sedang</v>
      </c>
      <c r="S336" s="8">
        <f>_xlfn.IFS(R336="Rendah",'B.kriteria &amp; R.kecocokan'!$C$49,R336="Sedang",'B.kriteria &amp; R.kecocokan'!$C$50,R336="Tinggi",'B.kriteria &amp; R.kecocokan'!$C$51)</f>
        <v>5</v>
      </c>
      <c r="T336" s="9" t="str">
        <f>'B.kriteria &amp; R.kecocokan'!$B$58</f>
        <v>Sedang</v>
      </c>
      <c r="U336" s="51">
        <f>_xlfn.IFS(T336="Rendah",'B.kriteria &amp; R.kecocokan'!$C$57,T336="Sedang",'B.kriteria &amp; R.kecocokan'!$C$58,T336="Tinggi",'B.kriteria &amp; R.kecocokan'!$C$59)</f>
        <v>5</v>
      </c>
      <c r="V336" s="52" t="str">
        <f>'B.kriteria &amp; R.kecocokan'!$B$66</f>
        <v>Sedang</v>
      </c>
      <c r="W336" s="9">
        <f>_xlfn.IFS(V336="Rendah",'B.kriteria &amp; R.kecocokan'!$C$65,V336="Sedang",'B.kriteria &amp; R.kecocokan'!$C$66,V336="Tinggi",'B.kriteria &amp; R.kecocokan'!$C$67)</f>
        <v>2</v>
      </c>
      <c r="X336" s="117">
        <f t="shared" si="34"/>
        <v>2.8257527084820699</v>
      </c>
      <c r="Y336" s="117">
        <f t="shared" si="35"/>
        <v>7.1988879933078582</v>
      </c>
      <c r="Z336" s="119">
        <f t="shared" si="36"/>
        <v>2.8257527084820699</v>
      </c>
      <c r="AA336" s="52" t="str">
        <f t="shared" si="37"/>
        <v>Layak</v>
      </c>
      <c r="AB336" s="55" t="s">
        <v>349</v>
      </c>
    </row>
    <row r="337" spans="1:28" x14ac:dyDescent="0.35">
      <c r="A337" s="5">
        <v>12</v>
      </c>
      <c r="B337" s="2" t="s">
        <v>44</v>
      </c>
      <c r="C337" s="11" t="s">
        <v>13</v>
      </c>
      <c r="D337" s="32" t="str">
        <f>'B.kriteria &amp; R.kecocokan'!$B$24</f>
        <v>Cukup</v>
      </c>
      <c r="E337" s="111">
        <f>_xlfn.IFS(D337="Banyak",'B.kriteria &amp; R.kecocokan'!$C$23,D337="Cukup",'B.kriteria &amp; R.kecocokan'!$C$24,D337="Sedikit",'B.kriteria &amp; R.kecocokan'!$C$25)</f>
        <v>5</v>
      </c>
      <c r="F337" s="9" t="str">
        <f>'B.kriteria &amp; R.kecocokan'!$B$34</f>
        <v>Tinggi</v>
      </c>
      <c r="G337" s="8">
        <f>_xlfn.IFS(F337="Tinggi",'B.kriteria &amp; R.kecocokan'!$C$34,F337="Sangat Tinggi",'B.kriteria &amp; R.kecocokan'!$C$35)</f>
        <v>7.5</v>
      </c>
      <c r="H337" s="8" t="str">
        <f>'B.kriteria &amp; R.kecocokan'!$B$41</f>
        <v>Rendah</v>
      </c>
      <c r="I337" s="8">
        <f>_xlfn.IFS(H337="Rendah",'B.kriteria &amp; R.kecocokan'!$C$41,H337="Sedang",'B.kriteria &amp; R.kecocokan'!$C$42,H337="Tinggi",'B.kriteria &amp; R.kecocokan'!$C$43)</f>
        <v>2.5</v>
      </c>
      <c r="J337" s="8" t="str">
        <f>'B.kriteria &amp; R.kecocokan'!$B$72</f>
        <v>Rendah</v>
      </c>
      <c r="K337" s="8">
        <f>_xlfn.IFS(J337="Rendah",'B.kriteria &amp; R.kecocokan'!$C$72,J337="Sedang",'B.kriteria &amp; R.kecocokan'!$C$73,J337="Tinggi",'B.kriteria &amp; R.kecocokan'!$C$74)</f>
        <v>2.5</v>
      </c>
      <c r="L337" s="8" t="str">
        <f>'B.kriteria &amp; R.kecocokan'!$B$95</f>
        <v>Rendah</v>
      </c>
      <c r="M337" s="8">
        <f>_xlfn.IFS(L337="Rendah",'B.kriteria &amp; R.kecocokan'!$C$95,L337="Tinggi",'B.kriteria &amp; R.kecocokan'!$C$96)</f>
        <v>2.5</v>
      </c>
      <c r="N337" s="9" t="str">
        <f>'B.kriteria &amp; R.kecocokan'!$B$81</f>
        <v>Tinggi</v>
      </c>
      <c r="O337" s="8">
        <f>_xlfn.IFS(N337="Rendah",'B.kriteria &amp; R.kecocokan'!$C$80,N337="Tinggi",'B.kriteria &amp; R.kecocokan'!$C$81)</f>
        <v>7.5</v>
      </c>
      <c r="P337" s="9" t="str">
        <f>'B.kriteria &amp; R.kecocokan'!$B$90</f>
        <v>Sangat Sedikit</v>
      </c>
      <c r="Q337" s="8">
        <f>_xlfn.IFS(P337="Sedikit",'B.kriteria &amp; R.kecocokan'!$C$89,P337="Sedang",'B.kriteria &amp; R.kecocokan'!$C$88,P337="Sangat Sedikit",'B.kriteria &amp; R.kecocokan'!$C$90)</f>
        <v>1</v>
      </c>
      <c r="R337" s="8" t="str">
        <f>'B.kriteria &amp; R.kecocokan'!$B$49</f>
        <v>Rendah</v>
      </c>
      <c r="S337" s="8">
        <f>_xlfn.IFS(R337="Rendah",'B.kriteria &amp; R.kecocokan'!$C$49,R337="Sedang",'B.kriteria &amp; R.kecocokan'!$C$50,R337="Tinggi",'B.kriteria &amp; R.kecocokan'!$C$51)</f>
        <v>2.5</v>
      </c>
      <c r="T337" s="8" t="str">
        <f>'B.kriteria &amp; R.kecocokan'!$B$57</f>
        <v>Rendah</v>
      </c>
      <c r="U337" s="51">
        <f>_xlfn.IFS(T337="Rendah",'B.kriteria &amp; R.kecocokan'!$C$57,T337="Sedang",'B.kriteria &amp; R.kecocokan'!$C$58,T337="Tinggi",'B.kriteria &amp; R.kecocokan'!$C$59)</f>
        <v>2.5</v>
      </c>
      <c r="V337" s="51" t="str">
        <f>'B.kriteria &amp; R.kecocokan'!$B$65</f>
        <v>Rendah</v>
      </c>
      <c r="W337" s="9">
        <f>_xlfn.IFS(V337="Rendah",'B.kriteria &amp; R.kecocokan'!$C$65,V337="Sedang",'B.kriteria &amp; R.kecocokan'!$C$66,V337="Tinggi",'B.kriteria &amp; R.kecocokan'!$C$67)</f>
        <v>1</v>
      </c>
      <c r="X337" s="117">
        <f t="shared" si="34"/>
        <v>2.2484197094863263</v>
      </c>
      <c r="Y337" s="117">
        <f t="shared" si="35"/>
        <v>5.7178981024990652</v>
      </c>
      <c r="Z337" s="119">
        <f t="shared" si="36"/>
        <v>2.2484197094863263</v>
      </c>
      <c r="AA337" s="52" t="str">
        <f t="shared" si="37"/>
        <v>Layak</v>
      </c>
      <c r="AB337" s="55" t="s">
        <v>347</v>
      </c>
    </row>
    <row r="338" spans="1:28" x14ac:dyDescent="0.35">
      <c r="A338" s="5">
        <v>13</v>
      </c>
      <c r="B338" s="2" t="s">
        <v>45</v>
      </c>
      <c r="C338" s="11" t="s">
        <v>13</v>
      </c>
      <c r="D338" s="32" t="str">
        <f>'B.kriteria &amp; R.kecocokan'!$B$24</f>
        <v>Cukup</v>
      </c>
      <c r="E338" s="111">
        <f>_xlfn.IFS(D338="Banyak",'B.kriteria &amp; R.kecocokan'!$C$23,D338="Cukup",'B.kriteria &amp; R.kecocokan'!$C$24,D338="Sedikit",'B.kriteria &amp; R.kecocokan'!$C$25)</f>
        <v>5</v>
      </c>
      <c r="F338" s="9" t="str">
        <f>'B.kriteria &amp; R.kecocokan'!$B$34</f>
        <v>Tinggi</v>
      </c>
      <c r="G338" s="8">
        <f>_xlfn.IFS(F338="Tinggi",'B.kriteria &amp; R.kecocokan'!$C$34,F338="Sangat Tinggi",'B.kriteria &amp; R.kecocokan'!$C$35)</f>
        <v>7.5</v>
      </c>
      <c r="H338" s="9" t="str">
        <f>'B.kriteria &amp; R.kecocokan'!$B$43</f>
        <v>Tinggi</v>
      </c>
      <c r="I338" s="8">
        <f>_xlfn.IFS(H338="Rendah",'B.kriteria &amp; R.kecocokan'!$C$41,H338="Sedang",'B.kriteria &amp; R.kecocokan'!$C$42,H338="Tinggi",'B.kriteria &amp; R.kecocokan'!$C$43)</f>
        <v>7.5</v>
      </c>
      <c r="J338" s="8" t="str">
        <f>'B.kriteria &amp; R.kecocokan'!$B$72</f>
        <v>Rendah</v>
      </c>
      <c r="K338" s="8">
        <f>_xlfn.IFS(J338="Rendah",'B.kriteria &amp; R.kecocokan'!$C$72,J338="Sedang",'B.kriteria &amp; R.kecocokan'!$C$73,J338="Tinggi",'B.kriteria &amp; R.kecocokan'!$C$74)</f>
        <v>2.5</v>
      </c>
      <c r="L338" s="8" t="str">
        <f>'B.kriteria &amp; R.kecocokan'!$B$95</f>
        <v>Rendah</v>
      </c>
      <c r="M338" s="8">
        <f>_xlfn.IFS(L338="Rendah",'B.kriteria &amp; R.kecocokan'!$C$95,L338="Tinggi",'B.kriteria &amp; R.kecocokan'!$C$96)</f>
        <v>2.5</v>
      </c>
      <c r="N338" s="8" t="str">
        <f>'B.kriteria &amp; R.kecocokan'!$B$80</f>
        <v>Rendah</v>
      </c>
      <c r="O338" s="8">
        <f>_xlfn.IFS(N338="Rendah",'B.kriteria &amp; R.kecocokan'!$C$80,N338="Tinggi",'B.kriteria &amp; R.kecocokan'!$C$81)</f>
        <v>2.5</v>
      </c>
      <c r="P338" s="9" t="str">
        <f>'B.kriteria &amp; R.kecocokan'!$B$88</f>
        <v>Sedang</v>
      </c>
      <c r="Q338" s="8">
        <f>_xlfn.IFS(P338="Sedikit",'B.kriteria &amp; R.kecocokan'!$C$89,P338="Sedang",'B.kriteria &amp; R.kecocokan'!$C$88,P338="Sangat Sedikit",'B.kriteria &amp; R.kecocokan'!$C$90)</f>
        <v>5</v>
      </c>
      <c r="R338" s="8" t="str">
        <f>'B.kriteria &amp; R.kecocokan'!$B$49</f>
        <v>Rendah</v>
      </c>
      <c r="S338" s="8">
        <f>_xlfn.IFS(R338="Rendah",'B.kriteria &amp; R.kecocokan'!$C$49,R338="Sedang",'B.kriteria &amp; R.kecocokan'!$C$50,R338="Tinggi",'B.kriteria &amp; R.kecocokan'!$C$51)</f>
        <v>2.5</v>
      </c>
      <c r="T338" s="8" t="str">
        <f>'B.kriteria &amp; R.kecocokan'!$B$57</f>
        <v>Rendah</v>
      </c>
      <c r="U338" s="51">
        <f>_xlfn.IFS(T338="Rendah",'B.kriteria &amp; R.kecocokan'!$C$57,T338="Sedang",'B.kriteria &amp; R.kecocokan'!$C$58,T338="Tinggi",'B.kriteria &amp; R.kecocokan'!$C$59)</f>
        <v>2.5</v>
      </c>
      <c r="V338" s="51" t="str">
        <f>'B.kriteria &amp; R.kecocokan'!$B$65</f>
        <v>Rendah</v>
      </c>
      <c r="W338" s="9">
        <f>_xlfn.IFS(V338="Rendah",'B.kriteria &amp; R.kecocokan'!$C$65,V338="Sedang",'B.kriteria &amp; R.kecocokan'!$C$66,V338="Tinggi",'B.kriteria &amp; R.kecocokan'!$C$67)</f>
        <v>1</v>
      </c>
      <c r="X338" s="117">
        <f t="shared" si="34"/>
        <v>7.9697509152761494</v>
      </c>
      <c r="Y338" s="117">
        <f t="shared" si="35"/>
        <v>4.6017214379016798</v>
      </c>
      <c r="Z338" s="119">
        <f t="shared" si="36"/>
        <v>4.6017214379016798</v>
      </c>
      <c r="AA338" s="52" t="str">
        <f t="shared" si="37"/>
        <v>Tidak Layak</v>
      </c>
      <c r="AB338" s="55" t="s">
        <v>347</v>
      </c>
    </row>
    <row r="339" spans="1:28" x14ac:dyDescent="0.35">
      <c r="A339" s="1">
        <v>14</v>
      </c>
      <c r="B339" s="2" t="s">
        <v>46</v>
      </c>
      <c r="C339" s="11" t="s">
        <v>13</v>
      </c>
      <c r="D339" s="32" t="str">
        <f>'B.kriteria &amp; R.kecocokan'!$B$24</f>
        <v>Cukup</v>
      </c>
      <c r="E339" s="111">
        <f>_xlfn.IFS(D339="Banyak",'B.kriteria &amp; R.kecocokan'!$C$23,D339="Cukup",'B.kriteria &amp; R.kecocokan'!$C$24,D339="Sedikit",'B.kriteria &amp; R.kecocokan'!$C$25)</f>
        <v>5</v>
      </c>
      <c r="F339" s="9" t="str">
        <f>'B.kriteria &amp; R.kecocokan'!$B$35</f>
        <v>Sangat Tinggi</v>
      </c>
      <c r="G339" s="8">
        <f>_xlfn.IFS(F339="Tinggi",'B.kriteria &amp; R.kecocokan'!$C$34,F339="Sangat Tinggi",'B.kriteria &amp; R.kecocokan'!$C$35)</f>
        <v>10</v>
      </c>
      <c r="H339" s="8" t="str">
        <f>'B.kriteria &amp; R.kecocokan'!$B$41</f>
        <v>Rendah</v>
      </c>
      <c r="I339" s="8">
        <f>_xlfn.IFS(H339="Rendah",'B.kriteria &amp; R.kecocokan'!$C$41,H339="Sedang",'B.kriteria &amp; R.kecocokan'!$C$42,H339="Tinggi",'B.kriteria &amp; R.kecocokan'!$C$43)</f>
        <v>2.5</v>
      </c>
      <c r="J339" s="8" t="str">
        <f>'B.kriteria &amp; R.kecocokan'!$B$72</f>
        <v>Rendah</v>
      </c>
      <c r="K339" s="8">
        <f>_xlfn.IFS(J339="Rendah",'B.kriteria &amp; R.kecocokan'!$C$72,J339="Sedang",'B.kriteria &amp; R.kecocokan'!$C$73,J339="Tinggi",'B.kriteria &amp; R.kecocokan'!$C$74)</f>
        <v>2.5</v>
      </c>
      <c r="L339" s="8" t="str">
        <f>'B.kriteria &amp; R.kecocokan'!$B$95</f>
        <v>Rendah</v>
      </c>
      <c r="M339" s="8">
        <f>_xlfn.IFS(L339="Rendah",'B.kriteria &amp; R.kecocokan'!$C$95,L339="Tinggi",'B.kriteria &amp; R.kecocokan'!$C$96)</f>
        <v>2.5</v>
      </c>
      <c r="N339" s="8" t="str">
        <f>'B.kriteria &amp; R.kecocokan'!$B$80</f>
        <v>Rendah</v>
      </c>
      <c r="O339" s="8">
        <f>_xlfn.IFS(N339="Rendah",'B.kriteria &amp; R.kecocokan'!$C$80,N339="Tinggi",'B.kriteria &amp; R.kecocokan'!$C$81)</f>
        <v>2.5</v>
      </c>
      <c r="P339" s="8" t="str">
        <f>'B.kriteria &amp; R.kecocokan'!$B$89</f>
        <v>Sedikit</v>
      </c>
      <c r="Q339" s="8">
        <f>_xlfn.IFS(P339="Sedikit",'B.kriteria &amp; R.kecocokan'!$C$89,P339="Sedang",'B.kriteria &amp; R.kecocokan'!$C$88,P339="Sangat Sedikit",'B.kriteria &amp; R.kecocokan'!$C$90)</f>
        <v>2.5</v>
      </c>
      <c r="R339" s="8" t="str">
        <f>'B.kriteria &amp; R.kecocokan'!$B$49</f>
        <v>Rendah</v>
      </c>
      <c r="S339" s="8">
        <f>_xlfn.IFS(R339="Rendah",'B.kriteria &amp; R.kecocokan'!$C$49,R339="Sedang",'B.kriteria &amp; R.kecocokan'!$C$50,R339="Tinggi",'B.kriteria &amp; R.kecocokan'!$C$51)</f>
        <v>2.5</v>
      </c>
      <c r="T339" s="9" t="str">
        <f>'B.kriteria &amp; R.kecocokan'!$B$58</f>
        <v>Sedang</v>
      </c>
      <c r="U339" s="51">
        <f>_xlfn.IFS(T339="Rendah",'B.kriteria &amp; R.kecocokan'!$C$57,T339="Sedang",'B.kriteria &amp; R.kecocokan'!$C$58,T339="Tinggi",'B.kriteria &amp; R.kecocokan'!$C$59)</f>
        <v>5</v>
      </c>
      <c r="V339" s="51" t="str">
        <f>'B.kriteria &amp; R.kecocokan'!$B$65</f>
        <v>Rendah</v>
      </c>
      <c r="W339" s="9">
        <f>_xlfn.IFS(V339="Rendah",'B.kriteria &amp; R.kecocokan'!$C$65,V339="Sedang",'B.kriteria &amp; R.kecocokan'!$C$66,V339="Tinggi",'B.kriteria &amp; R.kecocokan'!$C$67)</f>
        <v>1</v>
      </c>
      <c r="X339" s="117">
        <f t="shared" si="34"/>
        <v>5.7866119940336205</v>
      </c>
      <c r="Y339" s="117">
        <f t="shared" si="35"/>
        <v>3.3979715364337979</v>
      </c>
      <c r="Z339" s="119">
        <f t="shared" si="36"/>
        <v>3.3979715364337979</v>
      </c>
      <c r="AA339" s="52" t="str">
        <f t="shared" si="37"/>
        <v>Tidak Layak</v>
      </c>
      <c r="AB339" s="55" t="s">
        <v>347</v>
      </c>
    </row>
    <row r="340" spans="1:28" x14ac:dyDescent="0.35">
      <c r="A340" s="5">
        <v>15</v>
      </c>
      <c r="B340" s="2" t="s">
        <v>48</v>
      </c>
      <c r="C340" s="11" t="s">
        <v>13</v>
      </c>
      <c r="D340" s="9" t="str">
        <f>'B.kriteria &amp; R.kecocokan'!$B$23</f>
        <v>Banyak</v>
      </c>
      <c r="E340" s="111">
        <f>_xlfn.IFS(D340="Banyak",'B.kriteria &amp; R.kecocokan'!$C$23,D340="Cukup",'B.kriteria &amp; R.kecocokan'!$C$24,D340="Sedikit",'B.kriteria &amp; R.kecocokan'!$C$25)</f>
        <v>2.5</v>
      </c>
      <c r="F340" s="9" t="str">
        <f>'B.kriteria &amp; R.kecocokan'!$B$35</f>
        <v>Sangat Tinggi</v>
      </c>
      <c r="G340" s="8">
        <f>_xlfn.IFS(F340="Tinggi",'B.kriteria &amp; R.kecocokan'!$C$34,F340="Sangat Tinggi",'B.kriteria &amp; R.kecocokan'!$C$35)</f>
        <v>10</v>
      </c>
      <c r="H340" s="8" t="str">
        <f>'B.kriteria &amp; R.kecocokan'!$B$41</f>
        <v>Rendah</v>
      </c>
      <c r="I340" s="8">
        <f>_xlfn.IFS(H340="Rendah",'B.kriteria &amp; R.kecocokan'!$C$41,H340="Sedang",'B.kriteria &amp; R.kecocokan'!$C$42,H340="Tinggi",'B.kriteria &amp; R.kecocokan'!$C$43)</f>
        <v>2.5</v>
      </c>
      <c r="J340" s="8" t="str">
        <f>'B.kriteria &amp; R.kecocokan'!$B$72</f>
        <v>Rendah</v>
      </c>
      <c r="K340" s="8">
        <f>_xlfn.IFS(J340="Rendah",'B.kriteria &amp; R.kecocokan'!$C$72,J340="Sedang",'B.kriteria &amp; R.kecocokan'!$C$73,J340="Tinggi",'B.kriteria &amp; R.kecocokan'!$C$74)</f>
        <v>2.5</v>
      </c>
      <c r="L340" s="8" t="str">
        <f>'B.kriteria &amp; R.kecocokan'!$B$95</f>
        <v>Rendah</v>
      </c>
      <c r="M340" s="8">
        <f>_xlfn.IFS(L340="Rendah",'B.kriteria &amp; R.kecocokan'!$C$95,L340="Tinggi",'B.kriteria &amp; R.kecocokan'!$C$96)</f>
        <v>2.5</v>
      </c>
      <c r="N340" s="8" t="str">
        <f>'B.kriteria &amp; R.kecocokan'!$B$80</f>
        <v>Rendah</v>
      </c>
      <c r="O340" s="8">
        <f>_xlfn.IFS(N340="Rendah",'B.kriteria &amp; R.kecocokan'!$C$80,N340="Tinggi",'B.kriteria &amp; R.kecocokan'!$C$81)</f>
        <v>2.5</v>
      </c>
      <c r="P340" s="9" t="str">
        <f>'B.kriteria &amp; R.kecocokan'!$B$88</f>
        <v>Sedang</v>
      </c>
      <c r="Q340" s="8">
        <f>_xlfn.IFS(P340="Sedikit",'B.kriteria &amp; R.kecocokan'!$C$89,P340="Sedang",'B.kriteria &amp; R.kecocokan'!$C$88,P340="Sangat Sedikit",'B.kriteria &amp; R.kecocokan'!$C$90)</f>
        <v>5</v>
      </c>
      <c r="R340" s="8" t="str">
        <f>'B.kriteria &amp; R.kecocokan'!$B$49</f>
        <v>Rendah</v>
      </c>
      <c r="S340" s="8">
        <f>_xlfn.IFS(R340="Rendah",'B.kriteria &amp; R.kecocokan'!$C$49,R340="Sedang",'B.kriteria &amp; R.kecocokan'!$C$50,R340="Tinggi",'B.kriteria &amp; R.kecocokan'!$C$51)</f>
        <v>2.5</v>
      </c>
      <c r="T340" s="8" t="str">
        <f>'B.kriteria &amp; R.kecocokan'!$B$57</f>
        <v>Rendah</v>
      </c>
      <c r="U340" s="51">
        <f>_xlfn.IFS(T340="Rendah",'B.kriteria &amp; R.kecocokan'!$C$57,T340="Sedang",'B.kriteria &amp; R.kecocokan'!$C$58,T340="Tinggi",'B.kriteria &amp; R.kecocokan'!$C$59)</f>
        <v>2.5</v>
      </c>
      <c r="V340" s="51" t="str">
        <f>'B.kriteria &amp; R.kecocokan'!$B$65</f>
        <v>Rendah</v>
      </c>
      <c r="W340" s="9">
        <f>_xlfn.IFS(V340="Rendah",'B.kriteria &amp; R.kecocokan'!$C$65,V340="Sedang",'B.kriteria &amp; R.kecocokan'!$C$66,V340="Tinggi",'B.kriteria &amp; R.kecocokan'!$C$67)</f>
        <v>1</v>
      </c>
      <c r="X340" s="117">
        <f t="shared" si="34"/>
        <v>7.5991906728489358</v>
      </c>
      <c r="Y340" s="117">
        <f t="shared" si="35"/>
        <v>3.6157970546190841</v>
      </c>
      <c r="Z340" s="119">
        <f t="shared" si="36"/>
        <v>3.6157970546190841</v>
      </c>
      <c r="AA340" s="52" t="str">
        <f t="shared" si="37"/>
        <v>Tidak Layak</v>
      </c>
      <c r="AB340" s="55" t="s">
        <v>347</v>
      </c>
    </row>
    <row r="341" spans="1:28" x14ac:dyDescent="0.35">
      <c r="A341" s="5">
        <v>16</v>
      </c>
      <c r="B341" s="2" t="s">
        <v>49</v>
      </c>
      <c r="C341" s="11" t="s">
        <v>13</v>
      </c>
      <c r="D341" s="32" t="str">
        <f>'B.kriteria &amp; R.kecocokan'!$B$24</f>
        <v>Cukup</v>
      </c>
      <c r="E341" s="111">
        <f>_xlfn.IFS(D341="Banyak",'B.kriteria &amp; R.kecocokan'!$C$23,D341="Cukup",'B.kriteria &amp; R.kecocokan'!$C$24,D341="Sedikit",'B.kriteria &amp; R.kecocokan'!$C$25)</f>
        <v>5</v>
      </c>
      <c r="F341" s="9" t="str">
        <f>'B.kriteria &amp; R.kecocokan'!$B$34</f>
        <v>Tinggi</v>
      </c>
      <c r="G341" s="8">
        <f>_xlfn.IFS(F341="Tinggi",'B.kriteria &amp; R.kecocokan'!$C$34,F341="Sangat Tinggi",'B.kriteria &amp; R.kecocokan'!$C$35)</f>
        <v>7.5</v>
      </c>
      <c r="H341" s="8" t="str">
        <f>'B.kriteria &amp; R.kecocokan'!$B$41</f>
        <v>Rendah</v>
      </c>
      <c r="I341" s="8">
        <f>_xlfn.IFS(H341="Rendah",'B.kriteria &amp; R.kecocokan'!$C$41,H341="Sedang",'B.kriteria &amp; R.kecocokan'!$C$42,H341="Tinggi",'B.kriteria &amp; R.kecocokan'!$C$43)</f>
        <v>2.5</v>
      </c>
      <c r="J341" s="8" t="str">
        <f>'B.kriteria &amp; R.kecocokan'!$B$72</f>
        <v>Rendah</v>
      </c>
      <c r="K341" s="8">
        <f>_xlfn.IFS(J341="Rendah",'B.kriteria &amp; R.kecocokan'!$C$72,J341="Sedang",'B.kriteria &amp; R.kecocokan'!$C$73,J341="Tinggi",'B.kriteria &amp; R.kecocokan'!$C$74)</f>
        <v>2.5</v>
      </c>
      <c r="L341" s="8" t="str">
        <f>'B.kriteria &amp; R.kecocokan'!$B$95</f>
        <v>Rendah</v>
      </c>
      <c r="M341" s="8">
        <f>_xlfn.IFS(L341="Rendah",'B.kriteria &amp; R.kecocokan'!$C$95,L341="Tinggi",'B.kriteria &amp; R.kecocokan'!$C$96)</f>
        <v>2.5</v>
      </c>
      <c r="N341" s="9" t="str">
        <f>'B.kriteria &amp; R.kecocokan'!$B$81</f>
        <v>Tinggi</v>
      </c>
      <c r="O341" s="8">
        <f>_xlfn.IFS(N341="Rendah",'B.kriteria &amp; R.kecocokan'!$C$80,N341="Tinggi",'B.kriteria &amp; R.kecocokan'!$C$81)</f>
        <v>7.5</v>
      </c>
      <c r="P341" s="9" t="str">
        <f>'B.kriteria &amp; R.kecocokan'!$B$90</f>
        <v>Sangat Sedikit</v>
      </c>
      <c r="Q341" s="8">
        <f>_xlfn.IFS(P341="Sedikit",'B.kriteria &amp; R.kecocokan'!$C$89,P341="Sedang",'B.kriteria &amp; R.kecocokan'!$C$88,P341="Sangat Sedikit",'B.kriteria &amp; R.kecocokan'!$C$90)</f>
        <v>1</v>
      </c>
      <c r="R341" s="8" t="str">
        <f>'B.kriteria &amp; R.kecocokan'!$B$49</f>
        <v>Rendah</v>
      </c>
      <c r="S341" s="8">
        <f>_xlfn.IFS(R341="Rendah",'B.kriteria &amp; R.kecocokan'!$C$49,R341="Sedang",'B.kriteria &amp; R.kecocokan'!$C$50,R341="Tinggi",'B.kriteria &amp; R.kecocokan'!$C$51)</f>
        <v>2.5</v>
      </c>
      <c r="T341" s="8" t="str">
        <f>'B.kriteria &amp; R.kecocokan'!$B$57</f>
        <v>Rendah</v>
      </c>
      <c r="U341" s="51">
        <f>_xlfn.IFS(T341="Rendah",'B.kriteria &amp; R.kecocokan'!$C$57,T341="Sedang",'B.kriteria &amp; R.kecocokan'!$C$58,T341="Tinggi",'B.kriteria &amp; R.kecocokan'!$C$59)</f>
        <v>2.5</v>
      </c>
      <c r="V341" s="51" t="str">
        <f>'B.kriteria &amp; R.kecocokan'!$B$65</f>
        <v>Rendah</v>
      </c>
      <c r="W341" s="9">
        <f>_xlfn.IFS(V341="Rendah",'B.kriteria &amp; R.kecocokan'!$C$65,V341="Sedang",'B.kriteria &amp; R.kecocokan'!$C$66,V341="Tinggi",'B.kriteria &amp; R.kecocokan'!$C$67)</f>
        <v>1</v>
      </c>
      <c r="X341" s="117">
        <f t="shared" si="34"/>
        <v>2.2484197094863263</v>
      </c>
      <c r="Y341" s="117">
        <f t="shared" si="35"/>
        <v>5.7178981024990652</v>
      </c>
      <c r="Z341" s="119">
        <f t="shared" si="36"/>
        <v>2.2484197094863263</v>
      </c>
      <c r="AA341" s="52" t="str">
        <f t="shared" si="37"/>
        <v>Layak</v>
      </c>
      <c r="AB341" s="55" t="s">
        <v>347</v>
      </c>
    </row>
    <row r="342" spans="1:28" x14ac:dyDescent="0.35">
      <c r="A342" s="1">
        <v>17</v>
      </c>
      <c r="B342" s="2" t="s">
        <v>257</v>
      </c>
      <c r="C342" s="11" t="s">
        <v>13</v>
      </c>
      <c r="D342" s="32" t="str">
        <f>'B.kriteria &amp; R.kecocokan'!$B$24</f>
        <v>Cukup</v>
      </c>
      <c r="E342" s="111">
        <f>_xlfn.IFS(D342="Banyak",'B.kriteria &amp; R.kecocokan'!$C$23,D342="Cukup",'B.kriteria &amp; R.kecocokan'!$C$24,D342="Sedikit",'B.kriteria &amp; R.kecocokan'!$C$25)</f>
        <v>5</v>
      </c>
      <c r="F342" s="9" t="str">
        <f>'B.kriteria &amp; R.kecocokan'!$B$35</f>
        <v>Sangat Tinggi</v>
      </c>
      <c r="G342" s="8">
        <f>_xlfn.IFS(F342="Tinggi",'B.kriteria &amp; R.kecocokan'!$C$34,F342="Sangat Tinggi",'B.kriteria &amp; R.kecocokan'!$C$35)</f>
        <v>10</v>
      </c>
      <c r="H342" s="8" t="str">
        <f>'B.kriteria &amp; R.kecocokan'!$B$41</f>
        <v>Rendah</v>
      </c>
      <c r="I342" s="8">
        <f>_xlfn.IFS(H342="Rendah",'B.kriteria &amp; R.kecocokan'!$C$41,H342="Sedang",'B.kriteria &amp; R.kecocokan'!$C$42,H342="Tinggi",'B.kriteria &amp; R.kecocokan'!$C$43)</f>
        <v>2.5</v>
      </c>
      <c r="J342" s="8" t="str">
        <f>'B.kriteria &amp; R.kecocokan'!$B$72</f>
        <v>Rendah</v>
      </c>
      <c r="K342" s="8">
        <f>_xlfn.IFS(J342="Rendah",'B.kriteria &amp; R.kecocokan'!$C$72,J342="Sedang",'B.kriteria &amp; R.kecocokan'!$C$73,J342="Tinggi",'B.kriteria &amp; R.kecocokan'!$C$74)</f>
        <v>2.5</v>
      </c>
      <c r="L342" s="8" t="str">
        <f>'B.kriteria &amp; R.kecocokan'!$B$95</f>
        <v>Rendah</v>
      </c>
      <c r="M342" s="8">
        <f>_xlfn.IFS(L342="Rendah",'B.kriteria &amp; R.kecocokan'!$C$95,L342="Tinggi",'B.kriteria &amp; R.kecocokan'!$C$96)</f>
        <v>2.5</v>
      </c>
      <c r="N342" s="8" t="str">
        <f>'B.kriteria &amp; R.kecocokan'!$B$80</f>
        <v>Rendah</v>
      </c>
      <c r="O342" s="8">
        <f>_xlfn.IFS(N342="Rendah",'B.kriteria &amp; R.kecocokan'!$C$80,N342="Tinggi",'B.kriteria &amp; R.kecocokan'!$C$81)</f>
        <v>2.5</v>
      </c>
      <c r="P342" s="9" t="str">
        <f>'B.kriteria &amp; R.kecocokan'!$B$88</f>
        <v>Sedang</v>
      </c>
      <c r="Q342" s="8">
        <f>_xlfn.IFS(P342="Sedikit",'B.kriteria &amp; R.kecocokan'!$C$89,P342="Sedang",'B.kriteria &amp; R.kecocokan'!$C$88,P342="Sangat Sedikit",'B.kriteria &amp; R.kecocokan'!$C$90)</f>
        <v>5</v>
      </c>
      <c r="R342" s="9" t="str">
        <f>'B.kriteria &amp; R.kecocokan'!$B$51</f>
        <v>Tinggi</v>
      </c>
      <c r="S342" s="8">
        <f>_xlfn.IFS(R342="Rendah",'B.kriteria &amp; R.kecocokan'!$C$49,R342="Sedang",'B.kriteria &amp; R.kecocokan'!$C$50,R342="Tinggi",'B.kriteria &amp; R.kecocokan'!$C$51)</f>
        <v>7.5</v>
      </c>
      <c r="T342" s="9" t="str">
        <f>'B.kriteria &amp; R.kecocokan'!$B$58</f>
        <v>Sedang</v>
      </c>
      <c r="U342" s="51">
        <f>_xlfn.IFS(T342="Rendah",'B.kriteria &amp; R.kecocokan'!$C$57,T342="Sedang",'B.kriteria &amp; R.kecocokan'!$C$58,T342="Tinggi",'B.kriteria &amp; R.kecocokan'!$C$59)</f>
        <v>5</v>
      </c>
      <c r="V342" s="51" t="str">
        <f>'B.kriteria &amp; R.kecocokan'!$B$65</f>
        <v>Rendah</v>
      </c>
      <c r="W342" s="9">
        <f>_xlfn.IFS(V342="Rendah",'B.kriteria &amp; R.kecocokan'!$C$65,V342="Sedang",'B.kriteria &amp; R.kecocokan'!$C$66,V342="Tinggi",'B.kriteria &amp; R.kecocokan'!$C$67)</f>
        <v>1</v>
      </c>
      <c r="X342" s="117">
        <f t="shared" si="34"/>
        <v>7.8889085664300707</v>
      </c>
      <c r="Y342" s="117">
        <f t="shared" si="35"/>
        <v>6.0376831624242815</v>
      </c>
      <c r="Z342" s="119">
        <f t="shared" si="36"/>
        <v>6.0376831624242815</v>
      </c>
      <c r="AA342" s="52" t="str">
        <f t="shared" si="37"/>
        <v>Tidak Layak</v>
      </c>
      <c r="AB342" s="55" t="s">
        <v>349</v>
      </c>
    </row>
    <row r="343" spans="1:28" x14ac:dyDescent="0.35">
      <c r="A343" s="5">
        <v>18</v>
      </c>
      <c r="B343" s="2" t="s">
        <v>52</v>
      </c>
      <c r="C343" s="11" t="s">
        <v>13</v>
      </c>
      <c r="D343" s="32" t="str">
        <f>'B.kriteria &amp; R.kecocokan'!$B$24</f>
        <v>Cukup</v>
      </c>
      <c r="E343" s="111">
        <f>_xlfn.IFS(D343="Banyak",'B.kriteria &amp; R.kecocokan'!$C$23,D343="Cukup",'B.kriteria &amp; R.kecocokan'!$C$24,D343="Sedikit",'B.kriteria &amp; R.kecocokan'!$C$25)</f>
        <v>5</v>
      </c>
      <c r="F343" s="9" t="str">
        <f>'B.kriteria &amp; R.kecocokan'!$B$35</f>
        <v>Sangat Tinggi</v>
      </c>
      <c r="G343" s="8">
        <f>_xlfn.IFS(F343="Tinggi",'B.kriteria &amp; R.kecocokan'!$C$34,F343="Sangat Tinggi",'B.kriteria &amp; R.kecocokan'!$C$35)</f>
        <v>10</v>
      </c>
      <c r="H343" s="8" t="str">
        <f>'B.kriteria &amp; R.kecocokan'!$B$41</f>
        <v>Rendah</v>
      </c>
      <c r="I343" s="8">
        <f>_xlfn.IFS(H343="Rendah",'B.kriteria &amp; R.kecocokan'!$C$41,H343="Sedang",'B.kriteria &amp; R.kecocokan'!$C$42,H343="Tinggi",'B.kriteria &amp; R.kecocokan'!$C$43)</f>
        <v>2.5</v>
      </c>
      <c r="J343" s="8" t="str">
        <f>'B.kriteria &amp; R.kecocokan'!$B$72</f>
        <v>Rendah</v>
      </c>
      <c r="K343" s="8">
        <f>_xlfn.IFS(J343="Rendah",'B.kriteria &amp; R.kecocokan'!$C$72,J343="Sedang",'B.kriteria &amp; R.kecocokan'!$C$73,J343="Tinggi",'B.kriteria &amp; R.kecocokan'!$C$74)</f>
        <v>2.5</v>
      </c>
      <c r="L343" s="8" t="str">
        <f>'B.kriteria &amp; R.kecocokan'!$B$95</f>
        <v>Rendah</v>
      </c>
      <c r="M343" s="8">
        <f>_xlfn.IFS(L343="Rendah",'B.kriteria &amp; R.kecocokan'!$C$95,L343="Tinggi",'B.kriteria &amp; R.kecocokan'!$C$96)</f>
        <v>2.5</v>
      </c>
      <c r="N343" s="8" t="str">
        <f>'B.kriteria &amp; R.kecocokan'!$B$80</f>
        <v>Rendah</v>
      </c>
      <c r="O343" s="8">
        <f>_xlfn.IFS(N343="Rendah",'B.kriteria &amp; R.kecocokan'!$C$80,N343="Tinggi",'B.kriteria &amp; R.kecocokan'!$C$81)</f>
        <v>2.5</v>
      </c>
      <c r="P343" s="9" t="str">
        <f>'B.kriteria &amp; R.kecocokan'!$B$88</f>
        <v>Sedang</v>
      </c>
      <c r="Q343" s="8">
        <f>_xlfn.IFS(P343="Sedikit",'B.kriteria &amp; R.kecocokan'!$C$89,P343="Sedang",'B.kriteria &amp; R.kecocokan'!$C$88,P343="Sangat Sedikit",'B.kriteria &amp; R.kecocokan'!$C$90)</f>
        <v>5</v>
      </c>
      <c r="R343" s="9" t="str">
        <f>'B.kriteria &amp; R.kecocokan'!$B$50</f>
        <v>Sedang</v>
      </c>
      <c r="S343" s="8">
        <f>_xlfn.IFS(R343="Rendah",'B.kriteria &amp; R.kecocokan'!$C$49,R343="Sedang",'B.kriteria &amp; R.kecocokan'!$C$50,R343="Tinggi",'B.kriteria &amp; R.kecocokan'!$C$51)</f>
        <v>5</v>
      </c>
      <c r="T343" s="9" t="str">
        <f>'B.kriteria &amp; R.kecocokan'!$B$58</f>
        <v>Sedang</v>
      </c>
      <c r="U343" s="51">
        <f>_xlfn.IFS(T343="Rendah",'B.kriteria &amp; R.kecocokan'!$C$57,T343="Sedang",'B.kriteria &amp; R.kecocokan'!$C$58,T343="Tinggi",'B.kriteria &amp; R.kecocokan'!$C$59)</f>
        <v>5</v>
      </c>
      <c r="V343" s="51" t="str">
        <f>'B.kriteria &amp; R.kecocokan'!$B$65</f>
        <v>Rendah</v>
      </c>
      <c r="W343" s="9">
        <f>_xlfn.IFS(V343="Rendah",'B.kriteria &amp; R.kecocokan'!$C$65,V343="Sedang",'B.kriteria &amp; R.kecocokan'!$C$66,V343="Tinggi",'B.kriteria &amp; R.kecocokan'!$C$67)</f>
        <v>1</v>
      </c>
      <c r="X343" s="117">
        <f t="shared" si="34"/>
        <v>6.8797552438766019</v>
      </c>
      <c r="Y343" s="117">
        <f t="shared" si="35"/>
        <v>4.3161955349297605</v>
      </c>
      <c r="Z343" s="119">
        <f t="shared" si="36"/>
        <v>4.3161955349297605</v>
      </c>
      <c r="AA343" s="52" t="str">
        <f t="shared" si="37"/>
        <v>Tidak Layak</v>
      </c>
      <c r="AB343" s="55" t="s">
        <v>349</v>
      </c>
    </row>
    <row r="344" spans="1:28" x14ac:dyDescent="0.35">
      <c r="A344" s="5">
        <v>19</v>
      </c>
      <c r="B344" s="2" t="s">
        <v>55</v>
      </c>
      <c r="C344" s="11" t="s">
        <v>13</v>
      </c>
      <c r="D344" s="9" t="str">
        <f>'B.kriteria &amp; R.kecocokan'!$B$25</f>
        <v>Sedikit</v>
      </c>
      <c r="E344" s="111">
        <f>_xlfn.IFS(D344="Banyak",'B.kriteria &amp; R.kecocokan'!$C$23,D344="Cukup",'B.kriteria &amp; R.kecocokan'!$C$24,D344="Sedikit",'B.kriteria &amp; R.kecocokan'!$C$25)</f>
        <v>7.5</v>
      </c>
      <c r="F344" s="9" t="str">
        <f>'B.kriteria &amp; R.kecocokan'!$B$34</f>
        <v>Tinggi</v>
      </c>
      <c r="G344" s="8">
        <f>_xlfn.IFS(F344="Tinggi",'B.kriteria &amp; R.kecocokan'!$C$34,F344="Sangat Tinggi",'B.kriteria &amp; R.kecocokan'!$C$35)</f>
        <v>7.5</v>
      </c>
      <c r="H344" s="8" t="str">
        <f>'B.kriteria &amp; R.kecocokan'!$B$41</f>
        <v>Rendah</v>
      </c>
      <c r="I344" s="8">
        <f>_xlfn.IFS(H344="Rendah",'B.kriteria &amp; R.kecocokan'!$C$41,H344="Sedang",'B.kriteria &amp; R.kecocokan'!$C$42,H344="Tinggi",'B.kriteria &amp; R.kecocokan'!$C$43)</f>
        <v>2.5</v>
      </c>
      <c r="J344" s="8" t="str">
        <f>'B.kriteria &amp; R.kecocokan'!$B$72</f>
        <v>Rendah</v>
      </c>
      <c r="K344" s="8">
        <f>_xlfn.IFS(J344="Rendah",'B.kriteria &amp; R.kecocokan'!$C$72,J344="Sedang",'B.kriteria &amp; R.kecocokan'!$C$73,J344="Tinggi",'B.kriteria &amp; R.kecocokan'!$C$74)</f>
        <v>2.5</v>
      </c>
      <c r="L344" s="8" t="str">
        <f>'B.kriteria &amp; R.kecocokan'!$B$95</f>
        <v>Rendah</v>
      </c>
      <c r="M344" s="8">
        <f>_xlfn.IFS(L344="Rendah",'B.kriteria &amp; R.kecocokan'!$C$95,L344="Tinggi",'B.kriteria &amp; R.kecocokan'!$C$96)</f>
        <v>2.5</v>
      </c>
      <c r="N344" s="9" t="str">
        <f>'B.kriteria &amp; R.kecocokan'!$B$81</f>
        <v>Tinggi</v>
      </c>
      <c r="O344" s="8">
        <f>_xlfn.IFS(N344="Rendah",'B.kriteria &amp; R.kecocokan'!$C$80,N344="Tinggi",'B.kriteria &amp; R.kecocokan'!$C$81)</f>
        <v>7.5</v>
      </c>
      <c r="P344" s="9" t="str">
        <f>'B.kriteria &amp; R.kecocokan'!$B$90</f>
        <v>Sangat Sedikit</v>
      </c>
      <c r="Q344" s="8">
        <f>_xlfn.IFS(P344="Sedikit",'B.kriteria &amp; R.kecocokan'!$C$89,P344="Sedang",'B.kriteria &amp; R.kecocokan'!$C$88,P344="Sangat Sedikit",'B.kriteria &amp; R.kecocokan'!$C$90)</f>
        <v>1</v>
      </c>
      <c r="R344" s="8" t="str">
        <f>'B.kriteria &amp; R.kecocokan'!$B$49</f>
        <v>Rendah</v>
      </c>
      <c r="S344" s="8">
        <f>_xlfn.IFS(R344="Rendah",'B.kriteria &amp; R.kecocokan'!$C$49,R344="Sedang",'B.kriteria &amp; R.kecocokan'!$C$50,R344="Tinggi",'B.kriteria &amp; R.kecocokan'!$C$51)</f>
        <v>2.5</v>
      </c>
      <c r="T344" s="9" t="str">
        <f>'B.kriteria &amp; R.kecocokan'!$B$58</f>
        <v>Sedang</v>
      </c>
      <c r="U344" s="51">
        <f>_xlfn.IFS(T344="Rendah",'B.kriteria &amp; R.kecocokan'!$C$57,T344="Sedang",'B.kriteria &amp; R.kecocokan'!$C$58,T344="Tinggi",'B.kriteria &amp; R.kecocokan'!$C$59)</f>
        <v>5</v>
      </c>
      <c r="V344" s="51" t="str">
        <f>'B.kriteria &amp; R.kecocokan'!$B$65</f>
        <v>Rendah</v>
      </c>
      <c r="W344" s="9">
        <f>_xlfn.IFS(V344="Rendah",'B.kriteria &amp; R.kecocokan'!$C$65,V344="Sedang",'B.kriteria &amp; R.kecocokan'!$C$66,V344="Tinggi",'B.kriteria &amp; R.kecocokan'!$C$67)</f>
        <v>1</v>
      </c>
      <c r="X344" s="117">
        <f t="shared" si="34"/>
        <v>2.1759775664040641</v>
      </c>
      <c r="Y344" s="117">
        <f t="shared" si="35"/>
        <v>6.7398694491840043</v>
      </c>
      <c r="Z344" s="119">
        <f t="shared" si="36"/>
        <v>2.1759775664040641</v>
      </c>
      <c r="AA344" s="52" t="str">
        <f t="shared" si="37"/>
        <v>Layak</v>
      </c>
      <c r="AB344" s="55" t="s">
        <v>349</v>
      </c>
    </row>
    <row r="345" spans="1:28" x14ac:dyDescent="0.35">
      <c r="A345" s="1">
        <v>20</v>
      </c>
      <c r="B345" s="2" t="s">
        <v>56</v>
      </c>
      <c r="C345" s="11" t="s">
        <v>13</v>
      </c>
      <c r="D345" s="32" t="str">
        <f>'B.kriteria &amp; R.kecocokan'!$B$24</f>
        <v>Cukup</v>
      </c>
      <c r="E345" s="111">
        <f>_xlfn.IFS(D345="Banyak",'B.kriteria &amp; R.kecocokan'!$C$23,D345="Cukup",'B.kriteria &amp; R.kecocokan'!$C$24,D345="Sedikit",'B.kriteria &amp; R.kecocokan'!$C$25)</f>
        <v>5</v>
      </c>
      <c r="F345" s="9" t="str">
        <f>'B.kriteria &amp; R.kecocokan'!$B$34</f>
        <v>Tinggi</v>
      </c>
      <c r="G345" s="8">
        <f>_xlfn.IFS(F345="Tinggi",'B.kriteria &amp; R.kecocokan'!$C$34,F345="Sangat Tinggi",'B.kriteria &amp; R.kecocokan'!$C$35)</f>
        <v>7.5</v>
      </c>
      <c r="H345" s="8" t="str">
        <f>'B.kriteria &amp; R.kecocokan'!$B$41</f>
        <v>Rendah</v>
      </c>
      <c r="I345" s="8">
        <f>_xlfn.IFS(H345="Rendah",'B.kriteria &amp; R.kecocokan'!$C$41,H345="Sedang",'B.kriteria &amp; R.kecocokan'!$C$42,H345="Tinggi",'B.kriteria &amp; R.kecocokan'!$C$43)</f>
        <v>2.5</v>
      </c>
      <c r="J345" s="8" t="str">
        <f>'B.kriteria &amp; R.kecocokan'!$B$72</f>
        <v>Rendah</v>
      </c>
      <c r="K345" s="8">
        <f>_xlfn.IFS(J345="Rendah",'B.kriteria &amp; R.kecocokan'!$C$72,J345="Sedang",'B.kriteria &amp; R.kecocokan'!$C$73,J345="Tinggi",'B.kriteria &amp; R.kecocokan'!$C$74)</f>
        <v>2.5</v>
      </c>
      <c r="L345" s="8" t="str">
        <f>'B.kriteria &amp; R.kecocokan'!$B$95</f>
        <v>Rendah</v>
      </c>
      <c r="M345" s="8">
        <f>_xlfn.IFS(L345="Rendah",'B.kriteria &amp; R.kecocokan'!$C$95,L345="Tinggi",'B.kriteria &amp; R.kecocokan'!$C$96)</f>
        <v>2.5</v>
      </c>
      <c r="N345" s="8" t="str">
        <f>'B.kriteria &amp; R.kecocokan'!$B$80</f>
        <v>Rendah</v>
      </c>
      <c r="O345" s="8">
        <f>_xlfn.IFS(N345="Rendah",'B.kriteria &amp; R.kecocokan'!$C$80,N345="Tinggi",'B.kriteria &amp; R.kecocokan'!$C$81)</f>
        <v>2.5</v>
      </c>
      <c r="P345" s="8" t="str">
        <f>'B.kriteria &amp; R.kecocokan'!$B$89</f>
        <v>Sedikit</v>
      </c>
      <c r="Q345" s="8">
        <f>_xlfn.IFS(P345="Sedikit",'B.kriteria &amp; R.kecocokan'!$C$89,P345="Sedang",'B.kriteria &amp; R.kecocokan'!$C$88,P345="Sangat Sedikit",'B.kriteria &amp; R.kecocokan'!$C$90)</f>
        <v>2.5</v>
      </c>
      <c r="R345" s="8" t="str">
        <f>'B.kriteria &amp; R.kecocokan'!$B$49</f>
        <v>Rendah</v>
      </c>
      <c r="S345" s="8">
        <f>_xlfn.IFS(R345="Rendah",'B.kriteria &amp; R.kecocokan'!$C$49,R345="Sedang",'B.kriteria &amp; R.kecocokan'!$C$50,R345="Tinggi",'B.kriteria &amp; R.kecocokan'!$C$51)</f>
        <v>2.5</v>
      </c>
      <c r="T345" s="9" t="str">
        <f>'B.kriteria &amp; R.kecocokan'!$B$58</f>
        <v>Sedang</v>
      </c>
      <c r="U345" s="51">
        <f>_xlfn.IFS(T345="Rendah",'B.kriteria &amp; R.kecocokan'!$C$57,T345="Sedang",'B.kriteria &amp; R.kecocokan'!$C$58,T345="Tinggi",'B.kriteria &amp; R.kecocokan'!$C$59)</f>
        <v>5</v>
      </c>
      <c r="V345" s="51" t="str">
        <f>'B.kriteria &amp; R.kecocokan'!$B$65</f>
        <v>Rendah</v>
      </c>
      <c r="W345" s="9">
        <f>_xlfn.IFS(V345="Rendah",'B.kriteria &amp; R.kecocokan'!$C$65,V345="Sedang",'B.kriteria &amp; R.kecocokan'!$C$66,V345="Tinggi",'B.kriteria &amp; R.kecocokan'!$C$67)</f>
        <v>1</v>
      </c>
      <c r="X345" s="117">
        <f t="shared" si="34"/>
        <v>5.6037081505160868</v>
      </c>
      <c r="Y345" s="117">
        <f t="shared" si="35"/>
        <v>2.4475814607196864</v>
      </c>
      <c r="Z345" s="119">
        <f t="shared" si="36"/>
        <v>2.4475814607196864</v>
      </c>
      <c r="AA345" s="52" t="str">
        <f t="shared" si="37"/>
        <v>Tidak Layak</v>
      </c>
      <c r="AB345" s="55" t="s">
        <v>347</v>
      </c>
    </row>
    <row r="346" spans="1:28" x14ac:dyDescent="0.35">
      <c r="A346" s="5">
        <v>21</v>
      </c>
      <c r="B346" s="2" t="s">
        <v>57</v>
      </c>
      <c r="C346" s="11" t="s">
        <v>13</v>
      </c>
      <c r="D346" s="9" t="str">
        <f>'B.kriteria &amp; R.kecocokan'!$B$25</f>
        <v>Sedikit</v>
      </c>
      <c r="E346" s="111">
        <f>_xlfn.IFS(D346="Banyak",'B.kriteria &amp; R.kecocokan'!$C$23,D346="Cukup",'B.kriteria &amp; R.kecocokan'!$C$24,D346="Sedikit",'B.kriteria &amp; R.kecocokan'!$C$25)</f>
        <v>7.5</v>
      </c>
      <c r="F346" s="9" t="str">
        <f>'B.kriteria &amp; R.kecocokan'!$B$35</f>
        <v>Sangat Tinggi</v>
      </c>
      <c r="G346" s="8">
        <f>_xlfn.IFS(F346="Tinggi",'B.kriteria &amp; R.kecocokan'!$C$34,F346="Sangat Tinggi",'B.kriteria &amp; R.kecocokan'!$C$35)</f>
        <v>10</v>
      </c>
      <c r="H346" s="8" t="str">
        <f>'B.kriteria &amp; R.kecocokan'!$B$41</f>
        <v>Rendah</v>
      </c>
      <c r="I346" s="8">
        <f>_xlfn.IFS(H346="Rendah",'B.kriteria &amp; R.kecocokan'!$C$41,H346="Sedang",'B.kriteria &amp; R.kecocokan'!$C$42,H346="Tinggi",'B.kriteria &amp; R.kecocokan'!$C$43)</f>
        <v>2.5</v>
      </c>
      <c r="J346" s="8" t="str">
        <f>'B.kriteria &amp; R.kecocokan'!$B$72</f>
        <v>Rendah</v>
      </c>
      <c r="K346" s="8">
        <f>_xlfn.IFS(J346="Rendah",'B.kriteria &amp; R.kecocokan'!$C$72,J346="Sedang",'B.kriteria &amp; R.kecocokan'!$C$73,J346="Tinggi",'B.kriteria &amp; R.kecocokan'!$C$74)</f>
        <v>2.5</v>
      </c>
      <c r="L346" s="8" t="str">
        <f>'B.kriteria &amp; R.kecocokan'!$B$95</f>
        <v>Rendah</v>
      </c>
      <c r="M346" s="8">
        <f>_xlfn.IFS(L346="Rendah",'B.kriteria &amp; R.kecocokan'!$C$95,L346="Tinggi",'B.kriteria &amp; R.kecocokan'!$C$96)</f>
        <v>2.5</v>
      </c>
      <c r="N346" s="9" t="str">
        <f>'B.kriteria &amp; R.kecocokan'!$B$81</f>
        <v>Tinggi</v>
      </c>
      <c r="O346" s="8">
        <f>_xlfn.IFS(N346="Rendah",'B.kriteria &amp; R.kecocokan'!$C$80,N346="Tinggi",'B.kriteria &amp; R.kecocokan'!$C$81)</f>
        <v>7.5</v>
      </c>
      <c r="P346" s="9" t="str">
        <f>'B.kriteria &amp; R.kecocokan'!$B$90</f>
        <v>Sangat Sedikit</v>
      </c>
      <c r="Q346" s="8">
        <f>_xlfn.IFS(P346="Sedikit",'B.kriteria &amp; R.kecocokan'!$C$89,P346="Sedang",'B.kriteria &amp; R.kecocokan'!$C$88,P346="Sangat Sedikit",'B.kriteria &amp; R.kecocokan'!$C$90)</f>
        <v>1</v>
      </c>
      <c r="R346" s="8" t="str">
        <f>'B.kriteria &amp; R.kecocokan'!$B$49</f>
        <v>Rendah</v>
      </c>
      <c r="S346" s="8">
        <f>_xlfn.IFS(R346="Rendah",'B.kriteria &amp; R.kecocokan'!$C$49,R346="Sedang",'B.kriteria &amp; R.kecocokan'!$C$50,R346="Tinggi",'B.kriteria &amp; R.kecocokan'!$C$51)</f>
        <v>2.5</v>
      </c>
      <c r="T346" s="9" t="str">
        <f>'B.kriteria &amp; R.kecocokan'!$B$58</f>
        <v>Sedang</v>
      </c>
      <c r="U346" s="51">
        <f>_xlfn.IFS(T346="Rendah",'B.kriteria &amp; R.kecocokan'!$C$57,T346="Sedang",'B.kriteria &amp; R.kecocokan'!$C$58,T346="Tinggi",'B.kriteria &amp; R.kecocokan'!$C$59)</f>
        <v>5</v>
      </c>
      <c r="V346" s="51" t="str">
        <f>'B.kriteria &amp; R.kecocokan'!$B$65</f>
        <v>Rendah</v>
      </c>
      <c r="W346" s="9">
        <f>_xlfn.IFS(V346="Rendah",'B.kriteria &amp; R.kecocokan'!$C$65,V346="Sedang",'B.kriteria &amp; R.kecocokan'!$C$66,V346="Tinggi",'B.kriteria &amp; R.kecocokan'!$C$67)</f>
        <v>1</v>
      </c>
      <c r="X346" s="117">
        <f t="shared" si="34"/>
        <v>2.6111705618030938</v>
      </c>
      <c r="Y346" s="117">
        <f t="shared" si="35"/>
        <v>7.1401257515256304</v>
      </c>
      <c r="Z346" s="119">
        <f t="shared" si="36"/>
        <v>2.6111705618030938</v>
      </c>
      <c r="AA346" s="52" t="str">
        <f t="shared" si="37"/>
        <v>Layak</v>
      </c>
      <c r="AB346" s="55" t="s">
        <v>349</v>
      </c>
    </row>
    <row r="347" spans="1:28" x14ac:dyDescent="0.35">
      <c r="A347" s="5">
        <v>22</v>
      </c>
      <c r="B347" s="2" t="s">
        <v>59</v>
      </c>
      <c r="C347" s="11" t="s">
        <v>13</v>
      </c>
      <c r="D347" s="9" t="str">
        <f>'B.kriteria &amp; R.kecocokan'!$B$23</f>
        <v>Banyak</v>
      </c>
      <c r="E347" s="111">
        <f>_xlfn.IFS(D347="Banyak",'B.kriteria &amp; R.kecocokan'!$C$23,D347="Cukup",'B.kriteria &amp; R.kecocokan'!$C$24,D347="Sedikit",'B.kriteria &amp; R.kecocokan'!$C$25)</f>
        <v>2.5</v>
      </c>
      <c r="F347" s="9" t="str">
        <f>'B.kriteria &amp; R.kecocokan'!$B$34</f>
        <v>Tinggi</v>
      </c>
      <c r="G347" s="8">
        <f>_xlfn.IFS(F347="Tinggi",'B.kriteria &amp; R.kecocokan'!$C$34,F347="Sangat Tinggi",'B.kriteria &amp; R.kecocokan'!$C$35)</f>
        <v>7.5</v>
      </c>
      <c r="H347" s="8" t="str">
        <f>'B.kriteria &amp; R.kecocokan'!$B$41</f>
        <v>Rendah</v>
      </c>
      <c r="I347" s="8">
        <f>_xlfn.IFS(H347="Rendah",'B.kriteria &amp; R.kecocokan'!$C$41,H347="Sedang",'B.kriteria &amp; R.kecocokan'!$C$42,H347="Tinggi",'B.kriteria &amp; R.kecocokan'!$C$43)</f>
        <v>2.5</v>
      </c>
      <c r="J347" s="8" t="str">
        <f>'B.kriteria &amp; R.kecocokan'!$B$72</f>
        <v>Rendah</v>
      </c>
      <c r="K347" s="8">
        <f>_xlfn.IFS(J347="Rendah",'B.kriteria &amp; R.kecocokan'!$C$72,J347="Sedang",'B.kriteria &amp; R.kecocokan'!$C$73,J347="Tinggi",'B.kriteria &amp; R.kecocokan'!$C$74)</f>
        <v>2.5</v>
      </c>
      <c r="L347" s="8" t="str">
        <f>'B.kriteria &amp; R.kecocokan'!$B$95</f>
        <v>Rendah</v>
      </c>
      <c r="M347" s="8">
        <f>_xlfn.IFS(L347="Rendah",'B.kriteria &amp; R.kecocokan'!$C$95,L347="Tinggi",'B.kriteria &amp; R.kecocokan'!$C$96)</f>
        <v>2.5</v>
      </c>
      <c r="N347" s="8" t="str">
        <f>'B.kriteria &amp; R.kecocokan'!$B$80</f>
        <v>Rendah</v>
      </c>
      <c r="O347" s="8">
        <f>_xlfn.IFS(N347="Rendah",'B.kriteria &amp; R.kecocokan'!$C$80,N347="Tinggi",'B.kriteria &amp; R.kecocokan'!$C$81)</f>
        <v>2.5</v>
      </c>
      <c r="P347" s="9" t="str">
        <f>'B.kriteria &amp; R.kecocokan'!$B$88</f>
        <v>Sedang</v>
      </c>
      <c r="Q347" s="8">
        <f>_xlfn.IFS(P347="Sedikit",'B.kriteria &amp; R.kecocokan'!$C$89,P347="Sedang",'B.kriteria &amp; R.kecocokan'!$C$88,P347="Sangat Sedikit",'B.kriteria &amp; R.kecocokan'!$C$90)</f>
        <v>5</v>
      </c>
      <c r="R347" s="8" t="str">
        <f>'B.kriteria &amp; R.kecocokan'!$B$49</f>
        <v>Rendah</v>
      </c>
      <c r="S347" s="8">
        <f>_xlfn.IFS(R347="Rendah",'B.kriteria &amp; R.kecocokan'!$C$49,R347="Sedang",'B.kriteria &amp; R.kecocokan'!$C$50,R347="Tinggi",'B.kriteria &amp; R.kecocokan'!$C$51)</f>
        <v>2.5</v>
      </c>
      <c r="T347" s="8" t="str">
        <f>'B.kriteria &amp; R.kecocokan'!$B$57</f>
        <v>Rendah</v>
      </c>
      <c r="U347" s="51">
        <f>_xlfn.IFS(T347="Rendah",'B.kriteria &amp; R.kecocokan'!$C$57,T347="Sedang",'B.kriteria &amp; R.kecocokan'!$C$58,T347="Tinggi",'B.kriteria &amp; R.kecocokan'!$C$59)</f>
        <v>2.5</v>
      </c>
      <c r="V347" s="51" t="str">
        <f>'B.kriteria &amp; R.kecocokan'!$B$65</f>
        <v>Rendah</v>
      </c>
      <c r="W347" s="9">
        <f>_xlfn.IFS(V347="Rendah",'B.kriteria &amp; R.kecocokan'!$C$65,V347="Sedang",'B.kriteria &amp; R.kecocokan'!$C$66,V347="Tinggi",'B.kriteria &amp; R.kecocokan'!$C$67)</f>
        <v>1</v>
      </c>
      <c r="X347" s="117">
        <f t="shared" si="34"/>
        <v>7.4608555507381942</v>
      </c>
      <c r="Y347" s="117">
        <f t="shared" si="35"/>
        <v>2.741976072951128</v>
      </c>
      <c r="Z347" s="119">
        <f t="shared" si="36"/>
        <v>2.741976072951128</v>
      </c>
      <c r="AA347" s="52" t="str">
        <f t="shared" si="37"/>
        <v>Tidak Layak</v>
      </c>
      <c r="AB347" s="55" t="s">
        <v>347</v>
      </c>
    </row>
    <row r="348" spans="1:28" x14ac:dyDescent="0.35">
      <c r="A348" s="1">
        <v>23</v>
      </c>
      <c r="B348" s="2" t="s">
        <v>61</v>
      </c>
      <c r="C348" s="11" t="s">
        <v>13</v>
      </c>
      <c r="D348" s="32" t="str">
        <f>'B.kriteria &amp; R.kecocokan'!$B$24</f>
        <v>Cukup</v>
      </c>
      <c r="E348" s="111">
        <f>_xlfn.IFS(D348="Banyak",'B.kriteria &amp; R.kecocokan'!$C$23,D348="Cukup",'B.kriteria &amp; R.kecocokan'!$C$24,D348="Sedikit",'B.kriteria &amp; R.kecocokan'!$C$25)</f>
        <v>5</v>
      </c>
      <c r="F348" s="9" t="str">
        <f>'B.kriteria &amp; R.kecocokan'!$B$34</f>
        <v>Tinggi</v>
      </c>
      <c r="G348" s="8">
        <f>_xlfn.IFS(F348="Tinggi",'B.kriteria &amp; R.kecocokan'!$C$34,F348="Sangat Tinggi",'B.kriteria &amp; R.kecocokan'!$C$35)</f>
        <v>7.5</v>
      </c>
      <c r="H348" s="8" t="str">
        <f>'B.kriteria &amp; R.kecocokan'!$B$41</f>
        <v>Rendah</v>
      </c>
      <c r="I348" s="8">
        <f>_xlfn.IFS(H348="Rendah",'B.kriteria &amp; R.kecocokan'!$C$41,H348="Sedang",'B.kriteria &amp; R.kecocokan'!$C$42,H348="Tinggi",'B.kriteria &amp; R.kecocokan'!$C$43)</f>
        <v>2.5</v>
      </c>
      <c r="J348" s="8" t="str">
        <f>'B.kriteria &amp; R.kecocokan'!$B$72</f>
        <v>Rendah</v>
      </c>
      <c r="K348" s="8">
        <f>_xlfn.IFS(J348="Rendah",'B.kriteria &amp; R.kecocokan'!$C$72,J348="Sedang",'B.kriteria &amp; R.kecocokan'!$C$73,J348="Tinggi",'B.kriteria &amp; R.kecocokan'!$C$74)</f>
        <v>2.5</v>
      </c>
      <c r="L348" s="8" t="str">
        <f>'B.kriteria &amp; R.kecocokan'!$B$95</f>
        <v>Rendah</v>
      </c>
      <c r="M348" s="8">
        <f>_xlfn.IFS(L348="Rendah",'B.kriteria &amp; R.kecocokan'!$C$95,L348="Tinggi",'B.kriteria &amp; R.kecocokan'!$C$96)</f>
        <v>2.5</v>
      </c>
      <c r="N348" s="8" t="str">
        <f>'B.kriteria &amp; R.kecocokan'!$B$80</f>
        <v>Rendah</v>
      </c>
      <c r="O348" s="8">
        <f>_xlfn.IFS(N348="Rendah",'B.kriteria &amp; R.kecocokan'!$C$80,N348="Tinggi",'B.kriteria &amp; R.kecocokan'!$C$81)</f>
        <v>2.5</v>
      </c>
      <c r="P348" s="9" t="str">
        <f>'B.kriteria &amp; R.kecocokan'!$B$88</f>
        <v>Sedang</v>
      </c>
      <c r="Q348" s="8">
        <f>_xlfn.IFS(P348="Sedikit",'B.kriteria &amp; R.kecocokan'!$C$89,P348="Sedang",'B.kriteria &amp; R.kecocokan'!$C$88,P348="Sangat Sedikit",'B.kriteria &amp; R.kecocokan'!$C$90)</f>
        <v>5</v>
      </c>
      <c r="R348" s="8" t="str">
        <f>'B.kriteria &amp; R.kecocokan'!$B$49</f>
        <v>Rendah</v>
      </c>
      <c r="S348" s="8">
        <f>_xlfn.IFS(R348="Rendah",'B.kriteria &amp; R.kecocokan'!$C$49,R348="Sedang",'B.kriteria &amp; R.kecocokan'!$C$50,R348="Tinggi",'B.kriteria &amp; R.kecocokan'!$C$51)</f>
        <v>2.5</v>
      </c>
      <c r="T348" s="8" t="str">
        <f>'B.kriteria &amp; R.kecocokan'!$B$57</f>
        <v>Rendah</v>
      </c>
      <c r="U348" s="51">
        <f>_xlfn.IFS(T348="Rendah",'B.kriteria &amp; R.kecocokan'!$C$57,T348="Sedang",'B.kriteria &amp; R.kecocokan'!$C$58,T348="Tinggi",'B.kriteria &amp; R.kecocokan'!$C$59)</f>
        <v>2.5</v>
      </c>
      <c r="V348" s="51" t="str">
        <f>'B.kriteria &amp; R.kecocokan'!$B$65</f>
        <v>Rendah</v>
      </c>
      <c r="W348" s="9">
        <f>_xlfn.IFS(V348="Rendah",'B.kriteria &amp; R.kecocokan'!$C$65,V348="Sedang",'B.kriteria &amp; R.kecocokan'!$C$66,V348="Tinggi",'B.kriteria &amp; R.kecocokan'!$C$67)</f>
        <v>1</v>
      </c>
      <c r="X348" s="117">
        <f t="shared" si="34"/>
        <v>6.5086929177599764</v>
      </c>
      <c r="Y348" s="117">
        <f t="shared" si="35"/>
        <v>1.8929468031223968</v>
      </c>
      <c r="Z348" s="119">
        <f t="shared" si="36"/>
        <v>1.8929468031223968</v>
      </c>
      <c r="AA348" s="52" t="str">
        <f t="shared" si="37"/>
        <v>Tidak Layak</v>
      </c>
      <c r="AB348" s="55" t="s">
        <v>347</v>
      </c>
    </row>
    <row r="349" spans="1:28" x14ac:dyDescent="0.35">
      <c r="A349" s="122">
        <v>24</v>
      </c>
      <c r="B349" s="88" t="s">
        <v>62</v>
      </c>
      <c r="C349" s="123" t="s">
        <v>13</v>
      </c>
      <c r="D349" s="124" t="str">
        <f>'B.kriteria &amp; R.kecocokan'!$B$24</f>
        <v>Cukup</v>
      </c>
      <c r="E349" s="125">
        <f>_xlfn.IFS(D349="Banyak",'B.kriteria &amp; R.kecocokan'!$C$23,D349="Cukup",'B.kriteria &amp; R.kecocokan'!$C$24,D349="Sedikit",'B.kriteria &amp; R.kecocokan'!$C$25)</f>
        <v>5</v>
      </c>
      <c r="F349" s="126" t="str">
        <f>'B.kriteria &amp; R.kecocokan'!$B$35</f>
        <v>Sangat Tinggi</v>
      </c>
      <c r="G349" s="127">
        <f>_xlfn.IFS(F349="Tinggi",'B.kriteria &amp; R.kecocokan'!$C$34,F349="Sangat Tinggi",'B.kriteria &amp; R.kecocokan'!$C$35)</f>
        <v>10</v>
      </c>
      <c r="H349" s="127" t="str">
        <f>'B.kriteria &amp; R.kecocokan'!$B$41</f>
        <v>Rendah</v>
      </c>
      <c r="I349" s="127">
        <f>_xlfn.IFS(H349="Rendah",'B.kriteria &amp; R.kecocokan'!$C$41,H349="Sedang",'B.kriteria &amp; R.kecocokan'!$C$42,H349="Tinggi",'B.kriteria &amp; R.kecocokan'!$C$43)</f>
        <v>2.5</v>
      </c>
      <c r="J349" s="127" t="str">
        <f>'B.kriteria &amp; R.kecocokan'!$B$72</f>
        <v>Rendah</v>
      </c>
      <c r="K349" s="127">
        <f>_xlfn.IFS(J349="Rendah",'B.kriteria &amp; R.kecocokan'!$C$72,J349="Sedang",'B.kriteria &amp; R.kecocokan'!$C$73,J349="Tinggi",'B.kriteria &amp; R.kecocokan'!$C$74)</f>
        <v>2.5</v>
      </c>
      <c r="L349" s="127" t="str">
        <f>'B.kriteria &amp; R.kecocokan'!$B$95</f>
        <v>Rendah</v>
      </c>
      <c r="M349" s="127">
        <f>_xlfn.IFS(L349="Rendah",'B.kriteria &amp; R.kecocokan'!$C$95,L349="Tinggi",'B.kriteria &amp; R.kecocokan'!$C$96)</f>
        <v>2.5</v>
      </c>
      <c r="N349" s="127" t="str">
        <f>'B.kriteria &amp; R.kecocokan'!$B$80</f>
        <v>Rendah</v>
      </c>
      <c r="O349" s="127">
        <f>_xlfn.IFS(N349="Rendah",'B.kriteria &amp; R.kecocokan'!$C$80,N349="Tinggi",'B.kriteria &amp; R.kecocokan'!$C$81)</f>
        <v>2.5</v>
      </c>
      <c r="P349" s="126" t="str">
        <f>'B.kriteria &amp; R.kecocokan'!$B$88</f>
        <v>Sedang</v>
      </c>
      <c r="Q349" s="127">
        <f>_xlfn.IFS(P349="Sedikit",'B.kriteria &amp; R.kecocokan'!$C$89,P349="Sedang",'B.kriteria &amp; R.kecocokan'!$C$88,P349="Sangat Sedikit",'B.kriteria &amp; R.kecocokan'!$C$90)</f>
        <v>5</v>
      </c>
      <c r="R349" s="127" t="str">
        <f>'B.kriteria &amp; R.kecocokan'!$B$49</f>
        <v>Rendah</v>
      </c>
      <c r="S349" s="127">
        <f>_xlfn.IFS(R349="Rendah",'B.kriteria &amp; R.kecocokan'!$C$49,R349="Sedang",'B.kriteria &amp; R.kecocokan'!$C$50,R349="Tinggi",'B.kriteria &amp; R.kecocokan'!$C$51)</f>
        <v>2.5</v>
      </c>
      <c r="T349" s="127" t="str">
        <f>'B.kriteria &amp; R.kecocokan'!$B$57</f>
        <v>Rendah</v>
      </c>
      <c r="U349" s="128">
        <f>_xlfn.IFS(T349="Rendah",'B.kriteria &amp; R.kecocokan'!$C$57,T349="Sedang",'B.kriteria &amp; R.kecocokan'!$C$58,T349="Tinggi",'B.kriteria &amp; R.kecocokan'!$C$59)</f>
        <v>2.5</v>
      </c>
      <c r="V349" s="128" t="str">
        <f>'B.kriteria &amp; R.kecocokan'!$B$65</f>
        <v>Rendah</v>
      </c>
      <c r="W349" s="126">
        <f>_xlfn.IFS(V349="Rendah",'B.kriteria &amp; R.kecocokan'!$C$65,V349="Sedang",'B.kriteria &amp; R.kecocokan'!$C$66,V349="Tinggi",'B.kriteria &amp; R.kecocokan'!$C$67)</f>
        <v>1</v>
      </c>
      <c r="X349" s="117">
        <f t="shared" si="34"/>
        <v>6.6668145940195611</v>
      </c>
      <c r="Y349" s="117">
        <f t="shared" si="35"/>
        <v>3.0230453445171568</v>
      </c>
      <c r="Z349" s="130">
        <f t="shared" si="36"/>
        <v>3.0230453445171568</v>
      </c>
      <c r="AA349" s="211" t="str">
        <f t="shared" si="37"/>
        <v>Tidak Layak</v>
      </c>
      <c r="AB349" s="55" t="s">
        <v>347</v>
      </c>
    </row>
    <row r="350" spans="1:28" x14ac:dyDescent="0.35">
      <c r="A350" s="5">
        <v>25</v>
      </c>
      <c r="B350" s="2" t="s">
        <v>64</v>
      </c>
      <c r="C350" s="11" t="s">
        <v>13</v>
      </c>
      <c r="D350" s="9" t="str">
        <f>'B.kriteria &amp; R.kecocokan'!$B$25</f>
        <v>Sedikit</v>
      </c>
      <c r="E350" s="111">
        <f>_xlfn.IFS(D350="Banyak",'B.kriteria &amp; R.kecocokan'!$C$23,D350="Cukup",'B.kriteria &amp; R.kecocokan'!$C$24,D350="Sedikit",'B.kriteria &amp; R.kecocokan'!$C$25)</f>
        <v>7.5</v>
      </c>
      <c r="F350" s="9" t="str">
        <f>'B.kriteria &amp; R.kecocokan'!$B$35</f>
        <v>Sangat Tinggi</v>
      </c>
      <c r="G350" s="8">
        <f>_xlfn.IFS(F350="Tinggi",'B.kriteria &amp; R.kecocokan'!$C$34,F350="Sangat Tinggi",'B.kriteria &amp; R.kecocokan'!$C$35)</f>
        <v>10</v>
      </c>
      <c r="H350" s="8" t="str">
        <f>'B.kriteria &amp; R.kecocokan'!$B$41</f>
        <v>Rendah</v>
      </c>
      <c r="I350" s="8">
        <f>_xlfn.IFS(H350="Rendah",'B.kriteria &amp; R.kecocokan'!$C$41,H350="Sedang",'B.kriteria &amp; R.kecocokan'!$C$42,H350="Tinggi",'B.kriteria &amp; R.kecocokan'!$C$43)</f>
        <v>2.5</v>
      </c>
      <c r="J350" s="8" t="str">
        <f>'B.kriteria &amp; R.kecocokan'!$B$72</f>
        <v>Rendah</v>
      </c>
      <c r="K350" s="8">
        <f>_xlfn.IFS(J350="Rendah",'B.kriteria &amp; R.kecocokan'!$C$72,J350="Sedang",'B.kriteria &amp; R.kecocokan'!$C$73,J350="Tinggi",'B.kriteria &amp; R.kecocokan'!$C$74)</f>
        <v>2.5</v>
      </c>
      <c r="L350" s="8" t="str">
        <f>'B.kriteria &amp; R.kecocokan'!$B$95</f>
        <v>Rendah</v>
      </c>
      <c r="M350" s="8">
        <f>_xlfn.IFS(L350="Rendah",'B.kriteria &amp; R.kecocokan'!$C$95,L350="Tinggi",'B.kriteria &amp; R.kecocokan'!$C$96)</f>
        <v>2.5</v>
      </c>
      <c r="N350" s="9" t="str">
        <f>'B.kriteria &amp; R.kecocokan'!$B$81</f>
        <v>Tinggi</v>
      </c>
      <c r="O350" s="8">
        <f>_xlfn.IFS(N350="Rendah",'B.kriteria &amp; R.kecocokan'!$C$80,N350="Tinggi",'B.kriteria &amp; R.kecocokan'!$C$81)</f>
        <v>7.5</v>
      </c>
      <c r="P350" s="9" t="str">
        <f>'B.kriteria &amp; R.kecocokan'!$B$90</f>
        <v>Sangat Sedikit</v>
      </c>
      <c r="Q350" s="8">
        <f>_xlfn.IFS(P350="Sedikit",'B.kriteria &amp; R.kecocokan'!$C$89,P350="Sedang",'B.kriteria &amp; R.kecocokan'!$C$88,P350="Sangat Sedikit",'B.kriteria &amp; R.kecocokan'!$C$90)</f>
        <v>1</v>
      </c>
      <c r="R350" s="8" t="str">
        <f>'B.kriteria &amp; R.kecocokan'!$B$49</f>
        <v>Rendah</v>
      </c>
      <c r="S350" s="8">
        <f>_xlfn.IFS(R350="Rendah",'B.kriteria &amp; R.kecocokan'!$C$49,R350="Sedang",'B.kriteria &amp; R.kecocokan'!$C$50,R350="Tinggi",'B.kriteria &amp; R.kecocokan'!$C$51)</f>
        <v>2.5</v>
      </c>
      <c r="T350" s="9" t="str">
        <f>'B.kriteria &amp; R.kecocokan'!$B$58</f>
        <v>Sedang</v>
      </c>
      <c r="U350" s="51">
        <f>_xlfn.IFS(T350="Rendah",'B.kriteria &amp; R.kecocokan'!$C$57,T350="Sedang",'B.kriteria &amp; R.kecocokan'!$C$58,T350="Tinggi",'B.kriteria &amp; R.kecocokan'!$C$59)</f>
        <v>5</v>
      </c>
      <c r="V350" s="51" t="str">
        <f>'B.kriteria &amp; R.kecocokan'!$B$65</f>
        <v>Rendah</v>
      </c>
      <c r="W350" s="9">
        <f>_xlfn.IFS(V350="Rendah",'B.kriteria &amp; R.kecocokan'!$C$65,V350="Sedang",'B.kriteria &amp; R.kecocokan'!$C$66,V350="Tinggi",'B.kriteria &amp; R.kecocokan'!$C$67)</f>
        <v>1</v>
      </c>
      <c r="X350" s="117">
        <f t="shared" si="34"/>
        <v>2.6111705618030938</v>
      </c>
      <c r="Y350" s="117">
        <f t="shared" si="35"/>
        <v>7.1401257515256304</v>
      </c>
      <c r="Z350" s="119">
        <f t="shared" si="36"/>
        <v>2.6111705618030938</v>
      </c>
      <c r="AA350" s="52" t="str">
        <f t="shared" si="37"/>
        <v>Layak</v>
      </c>
      <c r="AB350" s="55" t="s">
        <v>349</v>
      </c>
    </row>
    <row r="351" spans="1:28" x14ac:dyDescent="0.35">
      <c r="A351" s="1">
        <v>26</v>
      </c>
      <c r="B351" s="2" t="s">
        <v>66</v>
      </c>
      <c r="C351" s="11" t="s">
        <v>13</v>
      </c>
      <c r="D351" s="9" t="str">
        <f>'B.kriteria &amp; R.kecocokan'!$B$25</f>
        <v>Sedikit</v>
      </c>
      <c r="E351" s="111">
        <f>_xlfn.IFS(D351="Banyak",'B.kriteria &amp; R.kecocokan'!$C$23,D351="Cukup",'B.kriteria &amp; R.kecocokan'!$C$24,D351="Sedikit",'B.kriteria &amp; R.kecocokan'!$C$25)</f>
        <v>7.5</v>
      </c>
      <c r="F351" s="9" t="str">
        <f>'B.kriteria &amp; R.kecocokan'!$B$34</f>
        <v>Tinggi</v>
      </c>
      <c r="G351" s="8">
        <f>_xlfn.IFS(F351="Tinggi",'B.kriteria &amp; R.kecocokan'!$C$34,F351="Sangat Tinggi",'B.kriteria &amp; R.kecocokan'!$C$35)</f>
        <v>7.5</v>
      </c>
      <c r="H351" s="8" t="str">
        <f>'B.kriteria &amp; R.kecocokan'!$B$41</f>
        <v>Rendah</v>
      </c>
      <c r="I351" s="8">
        <f>_xlfn.IFS(H351="Rendah",'B.kriteria &amp; R.kecocokan'!$C$41,H351="Sedang",'B.kriteria &amp; R.kecocokan'!$C$42,H351="Tinggi",'B.kriteria &amp; R.kecocokan'!$C$43)</f>
        <v>2.5</v>
      </c>
      <c r="J351" s="8" t="str">
        <f>'B.kriteria &amp; R.kecocokan'!$B$72</f>
        <v>Rendah</v>
      </c>
      <c r="K351" s="8">
        <f>_xlfn.IFS(J351="Rendah",'B.kriteria &amp; R.kecocokan'!$C$72,J351="Sedang",'B.kriteria &amp; R.kecocokan'!$C$73,J351="Tinggi",'B.kriteria &amp; R.kecocokan'!$C$74)</f>
        <v>2.5</v>
      </c>
      <c r="L351" s="8" t="str">
        <f>'B.kriteria &amp; R.kecocokan'!$B$95</f>
        <v>Rendah</v>
      </c>
      <c r="M351" s="8">
        <f>_xlfn.IFS(L351="Rendah",'B.kriteria &amp; R.kecocokan'!$C$95,L351="Tinggi",'B.kriteria &amp; R.kecocokan'!$C$96)</f>
        <v>2.5</v>
      </c>
      <c r="N351" s="9" t="str">
        <f>'B.kriteria &amp; R.kecocokan'!$B$81</f>
        <v>Tinggi</v>
      </c>
      <c r="O351" s="8">
        <f>_xlfn.IFS(N351="Rendah",'B.kriteria &amp; R.kecocokan'!$C$80,N351="Tinggi",'B.kriteria &amp; R.kecocokan'!$C$81)</f>
        <v>7.5</v>
      </c>
      <c r="P351" s="9" t="str">
        <f>'B.kriteria &amp; R.kecocokan'!$B$90</f>
        <v>Sangat Sedikit</v>
      </c>
      <c r="Q351" s="8">
        <f>_xlfn.IFS(P351="Sedikit",'B.kriteria &amp; R.kecocokan'!$C$89,P351="Sedang",'B.kriteria &amp; R.kecocokan'!$C$88,P351="Sangat Sedikit",'B.kriteria &amp; R.kecocokan'!$C$90)</f>
        <v>1</v>
      </c>
      <c r="R351" s="8" t="str">
        <f>'B.kriteria &amp; R.kecocokan'!$B$49</f>
        <v>Rendah</v>
      </c>
      <c r="S351" s="8">
        <f>_xlfn.IFS(R351="Rendah",'B.kriteria &amp; R.kecocokan'!$C$49,R351="Sedang",'B.kriteria &amp; R.kecocokan'!$C$50,R351="Tinggi",'B.kriteria &amp; R.kecocokan'!$C$51)</f>
        <v>2.5</v>
      </c>
      <c r="T351" s="8" t="str">
        <f>'B.kriteria &amp; R.kecocokan'!$B$57</f>
        <v>Rendah</v>
      </c>
      <c r="U351" s="51">
        <f>_xlfn.IFS(T351="Rendah",'B.kriteria &amp; R.kecocokan'!$C$57,T351="Sedang",'B.kriteria &amp; R.kecocokan'!$C$58,T351="Tinggi",'B.kriteria &amp; R.kecocokan'!$C$59)</f>
        <v>2.5</v>
      </c>
      <c r="V351" s="51" t="str">
        <f>'B.kriteria &amp; R.kecocokan'!$B$65</f>
        <v>Rendah</v>
      </c>
      <c r="W351" s="9">
        <f>_xlfn.IFS(V351="Rendah",'B.kriteria &amp; R.kecocokan'!$C$65,V351="Sedang",'B.kriteria &amp; R.kecocokan'!$C$66,V351="Tinggi",'B.kriteria &amp; R.kecocokan'!$C$67)</f>
        <v>1</v>
      </c>
      <c r="X351" s="117">
        <f t="shared" si="34"/>
        <v>2.0625491845588853</v>
      </c>
      <c r="Y351" s="117">
        <f t="shared" si="35"/>
        <v>6.4233304076138902</v>
      </c>
      <c r="Z351" s="119">
        <f t="shared" si="36"/>
        <v>2.0625491845588853</v>
      </c>
      <c r="AA351" s="52" t="str">
        <f t="shared" si="37"/>
        <v>Layak</v>
      </c>
      <c r="AB351" s="55" t="s">
        <v>347</v>
      </c>
    </row>
    <row r="352" spans="1:28" x14ac:dyDescent="0.35">
      <c r="A352" s="5">
        <v>27</v>
      </c>
      <c r="B352" s="2" t="s">
        <v>68</v>
      </c>
      <c r="C352" s="11" t="s">
        <v>13</v>
      </c>
      <c r="D352" s="32" t="str">
        <f>'B.kriteria &amp; R.kecocokan'!$B$24</f>
        <v>Cukup</v>
      </c>
      <c r="E352" s="111">
        <f>_xlfn.IFS(D352="Banyak",'B.kriteria &amp; R.kecocokan'!$C$23,D352="Cukup",'B.kriteria &amp; R.kecocokan'!$C$24,D352="Sedikit",'B.kriteria &amp; R.kecocokan'!$C$25)</f>
        <v>5</v>
      </c>
      <c r="F352" s="9" t="str">
        <f>'B.kriteria &amp; R.kecocokan'!$B$34</f>
        <v>Tinggi</v>
      </c>
      <c r="G352" s="8">
        <f>_xlfn.IFS(F352="Tinggi",'B.kriteria &amp; R.kecocokan'!$C$34,F352="Sangat Tinggi",'B.kriteria &amp; R.kecocokan'!$C$35)</f>
        <v>7.5</v>
      </c>
      <c r="H352" s="9" t="str">
        <f>'B.kriteria &amp; R.kecocokan'!$B$43</f>
        <v>Tinggi</v>
      </c>
      <c r="I352" s="8">
        <f>_xlfn.IFS(H352="Rendah",'B.kriteria &amp; R.kecocokan'!$C$41,H352="Sedang",'B.kriteria &amp; R.kecocokan'!$C$42,H352="Tinggi",'B.kriteria &amp; R.kecocokan'!$C$43)</f>
        <v>7.5</v>
      </c>
      <c r="J352" s="8" t="str">
        <f>'B.kriteria &amp; R.kecocokan'!$B$72</f>
        <v>Rendah</v>
      </c>
      <c r="K352" s="8">
        <f>_xlfn.IFS(J352="Rendah",'B.kriteria &amp; R.kecocokan'!$C$72,J352="Sedang",'B.kriteria &amp; R.kecocokan'!$C$73,J352="Tinggi",'B.kriteria &amp; R.kecocokan'!$C$74)</f>
        <v>2.5</v>
      </c>
      <c r="L352" s="8" t="str">
        <f>'B.kriteria &amp; R.kecocokan'!$B$95</f>
        <v>Rendah</v>
      </c>
      <c r="M352" s="8">
        <f>_xlfn.IFS(L352="Rendah",'B.kriteria &amp; R.kecocokan'!$C$95,L352="Tinggi",'B.kriteria &amp; R.kecocokan'!$C$96)</f>
        <v>2.5</v>
      </c>
      <c r="N352" s="8" t="str">
        <f>'B.kriteria &amp; R.kecocokan'!$B$80</f>
        <v>Rendah</v>
      </c>
      <c r="O352" s="8">
        <f>_xlfn.IFS(N352="Rendah",'B.kriteria &amp; R.kecocokan'!$C$80,N352="Tinggi",'B.kriteria &amp; R.kecocokan'!$C$81)</f>
        <v>2.5</v>
      </c>
      <c r="P352" s="9" t="str">
        <f>'B.kriteria &amp; R.kecocokan'!$B$88</f>
        <v>Sedang</v>
      </c>
      <c r="Q352" s="8">
        <f>_xlfn.IFS(P352="Sedikit",'B.kriteria &amp; R.kecocokan'!$C$89,P352="Sedang",'B.kriteria &amp; R.kecocokan'!$C$88,P352="Sangat Sedikit",'B.kriteria &amp; R.kecocokan'!$C$90)</f>
        <v>5</v>
      </c>
      <c r="R352" s="8" t="str">
        <f>'B.kriteria &amp; R.kecocokan'!$B$49</f>
        <v>Rendah</v>
      </c>
      <c r="S352" s="8">
        <f>_xlfn.IFS(R352="Rendah",'B.kriteria &amp; R.kecocokan'!$C$49,R352="Sedang",'B.kriteria &amp; R.kecocokan'!$C$50,R352="Tinggi",'B.kriteria &amp; R.kecocokan'!$C$51)</f>
        <v>2.5</v>
      </c>
      <c r="T352" s="8" t="str">
        <f>'B.kriteria &amp; R.kecocokan'!$B$57</f>
        <v>Rendah</v>
      </c>
      <c r="U352" s="51">
        <f>_xlfn.IFS(T352="Rendah",'B.kriteria &amp; R.kecocokan'!$C$57,T352="Sedang",'B.kriteria &amp; R.kecocokan'!$C$58,T352="Tinggi",'B.kriteria &amp; R.kecocokan'!$C$59)</f>
        <v>2.5</v>
      </c>
      <c r="V352" s="51" t="str">
        <f>'B.kriteria &amp; R.kecocokan'!$B$65</f>
        <v>Rendah</v>
      </c>
      <c r="W352" s="9">
        <f>_xlfn.IFS(V352="Rendah",'B.kriteria &amp; R.kecocokan'!$C$65,V352="Sedang",'B.kriteria &amp; R.kecocokan'!$C$66,V352="Tinggi",'B.kriteria &amp; R.kecocokan'!$C$67)</f>
        <v>1</v>
      </c>
      <c r="X352" s="117">
        <f t="shared" si="34"/>
        <v>7.9697509152761494</v>
      </c>
      <c r="Y352" s="117">
        <f t="shared" si="35"/>
        <v>4.6017214379016798</v>
      </c>
      <c r="Z352" s="119">
        <f t="shared" si="36"/>
        <v>4.6017214379016798</v>
      </c>
      <c r="AA352" s="52" t="str">
        <f t="shared" si="37"/>
        <v>Tidak Layak</v>
      </c>
      <c r="AB352" s="55" t="s">
        <v>347</v>
      </c>
    </row>
    <row r="353" spans="1:28" x14ac:dyDescent="0.35">
      <c r="A353" s="5">
        <v>28</v>
      </c>
      <c r="B353" s="2" t="s">
        <v>69</v>
      </c>
      <c r="C353" s="11" t="s">
        <v>13</v>
      </c>
      <c r="D353" s="32" t="str">
        <f>'B.kriteria &amp; R.kecocokan'!$B$24</f>
        <v>Cukup</v>
      </c>
      <c r="E353" s="111">
        <f>_xlfn.IFS(D353="Banyak",'B.kriteria &amp; R.kecocokan'!$C$23,D353="Cukup",'B.kriteria &amp; R.kecocokan'!$C$24,D353="Sedikit",'B.kriteria &amp; R.kecocokan'!$C$25)</f>
        <v>5</v>
      </c>
      <c r="F353" s="9" t="str">
        <f>'B.kriteria &amp; R.kecocokan'!$B$34</f>
        <v>Tinggi</v>
      </c>
      <c r="G353" s="8">
        <f>_xlfn.IFS(F353="Tinggi",'B.kriteria &amp; R.kecocokan'!$C$34,F353="Sangat Tinggi",'B.kriteria &amp; R.kecocokan'!$C$35)</f>
        <v>7.5</v>
      </c>
      <c r="H353" s="8" t="str">
        <f>'B.kriteria &amp; R.kecocokan'!$B$41</f>
        <v>Rendah</v>
      </c>
      <c r="I353" s="8">
        <f>_xlfn.IFS(H353="Rendah",'B.kriteria &amp; R.kecocokan'!$C$41,H353="Sedang",'B.kriteria &amp; R.kecocokan'!$C$42,H353="Tinggi",'B.kriteria &amp; R.kecocokan'!$C$43)</f>
        <v>2.5</v>
      </c>
      <c r="J353" s="8" t="str">
        <f>'B.kriteria &amp; R.kecocokan'!$B$72</f>
        <v>Rendah</v>
      </c>
      <c r="K353" s="8">
        <f>_xlfn.IFS(J353="Rendah",'B.kriteria &amp; R.kecocokan'!$C$72,J353="Sedang",'B.kriteria &amp; R.kecocokan'!$C$73,J353="Tinggi",'B.kriteria &amp; R.kecocokan'!$C$74)</f>
        <v>2.5</v>
      </c>
      <c r="L353" s="8" t="str">
        <f>'B.kriteria &amp; R.kecocokan'!$B$95</f>
        <v>Rendah</v>
      </c>
      <c r="M353" s="8">
        <f>_xlfn.IFS(L353="Rendah",'B.kriteria &amp; R.kecocokan'!$C$95,L353="Tinggi",'B.kriteria &amp; R.kecocokan'!$C$96)</f>
        <v>2.5</v>
      </c>
      <c r="N353" s="8" t="str">
        <f>'B.kriteria &amp; R.kecocokan'!$B$80</f>
        <v>Rendah</v>
      </c>
      <c r="O353" s="8">
        <f>_xlfn.IFS(N353="Rendah",'B.kriteria &amp; R.kecocokan'!$C$80,N353="Tinggi",'B.kriteria &amp; R.kecocokan'!$C$81)</f>
        <v>2.5</v>
      </c>
      <c r="P353" s="8" t="str">
        <f>'B.kriteria &amp; R.kecocokan'!$B$89</f>
        <v>Sedikit</v>
      </c>
      <c r="Q353" s="8">
        <f>_xlfn.IFS(P353="Sedikit",'B.kriteria &amp; R.kecocokan'!$C$89,P353="Sedang",'B.kriteria &amp; R.kecocokan'!$C$88,P353="Sangat Sedikit",'B.kriteria &amp; R.kecocokan'!$C$90)</f>
        <v>2.5</v>
      </c>
      <c r="R353" s="8" t="str">
        <f>'B.kriteria &amp; R.kecocokan'!$B$49</f>
        <v>Rendah</v>
      </c>
      <c r="S353" s="8">
        <f>_xlfn.IFS(R353="Rendah",'B.kriteria &amp; R.kecocokan'!$C$49,R353="Sedang",'B.kriteria &amp; R.kecocokan'!$C$50,R353="Tinggi",'B.kriteria &amp; R.kecocokan'!$C$51)</f>
        <v>2.5</v>
      </c>
      <c r="T353" s="9" t="str">
        <f>'B.kriteria &amp; R.kecocokan'!$B$58</f>
        <v>Sedang</v>
      </c>
      <c r="U353" s="51">
        <f>_xlfn.IFS(T353="Rendah",'B.kriteria &amp; R.kecocokan'!$C$57,T353="Sedang",'B.kriteria &amp; R.kecocokan'!$C$58,T353="Tinggi",'B.kriteria &amp; R.kecocokan'!$C$59)</f>
        <v>5</v>
      </c>
      <c r="V353" s="51" t="str">
        <f>'B.kriteria &amp; R.kecocokan'!$B$65</f>
        <v>Rendah</v>
      </c>
      <c r="W353" s="9">
        <f>_xlfn.IFS(V353="Rendah",'B.kriteria &amp; R.kecocokan'!$C$65,V353="Sedang",'B.kriteria &amp; R.kecocokan'!$C$66,V353="Tinggi",'B.kriteria &amp; R.kecocokan'!$C$67)</f>
        <v>1</v>
      </c>
      <c r="X353" s="117">
        <f t="shared" si="34"/>
        <v>5.6037081505160868</v>
      </c>
      <c r="Y353" s="117">
        <f t="shared" si="35"/>
        <v>2.4475814607196864</v>
      </c>
      <c r="Z353" s="119">
        <f t="shared" si="36"/>
        <v>2.4475814607196864</v>
      </c>
      <c r="AA353" s="52" t="str">
        <f t="shared" si="37"/>
        <v>Tidak Layak</v>
      </c>
      <c r="AB353" s="55" t="s">
        <v>347</v>
      </c>
    </row>
    <row r="354" spans="1:28" x14ac:dyDescent="0.35">
      <c r="A354" s="1">
        <v>29</v>
      </c>
      <c r="B354" s="2" t="s">
        <v>70</v>
      </c>
      <c r="C354" s="11" t="s">
        <v>13</v>
      </c>
      <c r="D354" s="9" t="str">
        <f>'B.kriteria &amp; R.kecocokan'!$B$23</f>
        <v>Banyak</v>
      </c>
      <c r="E354" s="111">
        <f>_xlfn.IFS(D354="Banyak",'B.kriteria &amp; R.kecocokan'!$C$23,D354="Cukup",'B.kriteria &amp; R.kecocokan'!$C$24,D354="Sedikit",'B.kriteria &amp; R.kecocokan'!$C$25)</f>
        <v>2.5</v>
      </c>
      <c r="F354" s="9" t="str">
        <f>'B.kriteria &amp; R.kecocokan'!$B$35</f>
        <v>Sangat Tinggi</v>
      </c>
      <c r="G354" s="8">
        <f>_xlfn.IFS(F354="Tinggi",'B.kriteria &amp; R.kecocokan'!$C$34,F354="Sangat Tinggi",'B.kriteria &amp; R.kecocokan'!$C$35)</f>
        <v>10</v>
      </c>
      <c r="H354" s="8" t="str">
        <f>'B.kriteria &amp; R.kecocokan'!$B$41</f>
        <v>Rendah</v>
      </c>
      <c r="I354" s="8">
        <f>_xlfn.IFS(H354="Rendah",'B.kriteria &amp; R.kecocokan'!$C$41,H354="Sedang",'B.kriteria &amp; R.kecocokan'!$C$42,H354="Tinggi",'B.kriteria &amp; R.kecocokan'!$C$43)</f>
        <v>2.5</v>
      </c>
      <c r="J354" s="8" t="str">
        <f>'B.kriteria &amp; R.kecocokan'!$B$72</f>
        <v>Rendah</v>
      </c>
      <c r="K354" s="8">
        <f>_xlfn.IFS(J354="Rendah",'B.kriteria &amp; R.kecocokan'!$C$72,J354="Sedang",'B.kriteria &amp; R.kecocokan'!$C$73,J354="Tinggi",'B.kriteria &amp; R.kecocokan'!$C$74)</f>
        <v>2.5</v>
      </c>
      <c r="L354" s="8" t="str">
        <f>'B.kriteria &amp; R.kecocokan'!$B$95</f>
        <v>Rendah</v>
      </c>
      <c r="M354" s="8">
        <f>_xlfn.IFS(L354="Rendah",'B.kriteria &amp; R.kecocokan'!$C$95,L354="Tinggi",'B.kriteria &amp; R.kecocokan'!$C$96)</f>
        <v>2.5</v>
      </c>
      <c r="N354" s="8" t="str">
        <f>'B.kriteria &amp; R.kecocokan'!$B$80</f>
        <v>Rendah</v>
      </c>
      <c r="O354" s="8">
        <f>_xlfn.IFS(N354="Rendah",'B.kriteria &amp; R.kecocokan'!$C$80,N354="Tinggi",'B.kriteria &amp; R.kecocokan'!$C$81)</f>
        <v>2.5</v>
      </c>
      <c r="P354" s="9" t="str">
        <f>'B.kriteria &amp; R.kecocokan'!$B$90</f>
        <v>Sangat Sedikit</v>
      </c>
      <c r="Q354" s="8">
        <f>_xlfn.IFS(P354="Sedikit",'B.kriteria &amp; R.kecocokan'!$C$89,P354="Sedang",'B.kriteria &amp; R.kecocokan'!$C$88,P354="Sangat Sedikit",'B.kriteria &amp; R.kecocokan'!$C$90)</f>
        <v>1</v>
      </c>
      <c r="R354" s="8" t="str">
        <f>'B.kriteria &amp; R.kecocokan'!$B$49</f>
        <v>Rendah</v>
      </c>
      <c r="S354" s="8">
        <f>_xlfn.IFS(R354="Rendah",'B.kriteria &amp; R.kecocokan'!$C$49,R354="Sedang",'B.kriteria &amp; R.kecocokan'!$C$50,R354="Tinggi",'B.kriteria &amp; R.kecocokan'!$C$51)</f>
        <v>2.5</v>
      </c>
      <c r="T354" s="8" t="str">
        <f>'B.kriteria &amp; R.kecocokan'!$B$57</f>
        <v>Rendah</v>
      </c>
      <c r="U354" s="51">
        <f>_xlfn.IFS(T354="Rendah",'B.kriteria &amp; R.kecocokan'!$C$57,T354="Sedang",'B.kriteria &amp; R.kecocokan'!$C$58,T354="Tinggi",'B.kriteria &amp; R.kecocokan'!$C$59)</f>
        <v>2.5</v>
      </c>
      <c r="V354" s="51" t="str">
        <f>'B.kriteria &amp; R.kecocokan'!$B$65</f>
        <v>Rendah</v>
      </c>
      <c r="W354" s="9">
        <f>_xlfn.IFS(V354="Rendah",'B.kriteria &amp; R.kecocokan'!$C$65,V354="Sedang",'B.kriteria &amp; R.kecocokan'!$C$66,V354="Tinggi",'B.kriteria &amp; R.kecocokan'!$C$67)</f>
        <v>1</v>
      </c>
      <c r="X354" s="117">
        <f t="shared" si="34"/>
        <v>6.7409203062061165</v>
      </c>
      <c r="Y354" s="117">
        <f t="shared" si="35"/>
        <v>4.0322665493959144</v>
      </c>
      <c r="Z354" s="119">
        <f t="shared" si="36"/>
        <v>4.0322665493959144</v>
      </c>
      <c r="AA354" s="52" t="str">
        <f t="shared" si="37"/>
        <v>Tidak Layak</v>
      </c>
      <c r="AB354" s="55" t="s">
        <v>347</v>
      </c>
    </row>
    <row r="355" spans="1:28" x14ac:dyDescent="0.35">
      <c r="A355" s="5">
        <v>30</v>
      </c>
      <c r="B355" s="2" t="s">
        <v>71</v>
      </c>
      <c r="C355" s="11" t="s">
        <v>13</v>
      </c>
      <c r="D355" s="9" t="str">
        <f>'B.kriteria &amp; R.kecocokan'!$B$25</f>
        <v>Sedikit</v>
      </c>
      <c r="E355" s="111">
        <f>_xlfn.IFS(D355="Banyak",'B.kriteria &amp; R.kecocokan'!$C$23,D355="Cukup",'B.kriteria &amp; R.kecocokan'!$C$24,D355="Sedikit",'B.kriteria &amp; R.kecocokan'!$C$25)</f>
        <v>7.5</v>
      </c>
      <c r="F355" s="9" t="str">
        <f>'B.kriteria &amp; R.kecocokan'!$B$35</f>
        <v>Sangat Tinggi</v>
      </c>
      <c r="G355" s="8">
        <f>_xlfn.IFS(F355="Tinggi",'B.kriteria &amp; R.kecocokan'!$C$34,F355="Sangat Tinggi",'B.kriteria &amp; R.kecocokan'!$C$35)</f>
        <v>10</v>
      </c>
      <c r="H355" s="8" t="str">
        <f>'B.kriteria &amp; R.kecocokan'!$B$41</f>
        <v>Rendah</v>
      </c>
      <c r="I355" s="8">
        <f>_xlfn.IFS(H355="Rendah",'B.kriteria &amp; R.kecocokan'!$C$41,H355="Sedang",'B.kriteria &amp; R.kecocokan'!$C$42,H355="Tinggi",'B.kriteria &amp; R.kecocokan'!$C$43)</f>
        <v>2.5</v>
      </c>
      <c r="J355" s="8" t="str">
        <f>'B.kriteria &amp; R.kecocokan'!$B$72</f>
        <v>Rendah</v>
      </c>
      <c r="K355" s="8">
        <f>_xlfn.IFS(J355="Rendah",'B.kriteria &amp; R.kecocokan'!$C$72,J355="Sedang",'B.kriteria &amp; R.kecocokan'!$C$73,J355="Tinggi",'B.kriteria &amp; R.kecocokan'!$C$74)</f>
        <v>2.5</v>
      </c>
      <c r="L355" s="8" t="str">
        <f>'B.kriteria &amp; R.kecocokan'!$B$95</f>
        <v>Rendah</v>
      </c>
      <c r="M355" s="8">
        <f>_xlfn.IFS(L355="Rendah",'B.kriteria &amp; R.kecocokan'!$C$95,L355="Tinggi",'B.kriteria &amp; R.kecocokan'!$C$96)</f>
        <v>2.5</v>
      </c>
      <c r="N355" s="9" t="str">
        <f>'B.kriteria &amp; R.kecocokan'!$B$81</f>
        <v>Tinggi</v>
      </c>
      <c r="O355" s="8">
        <f>_xlfn.IFS(N355="Rendah",'B.kriteria &amp; R.kecocokan'!$C$80,N355="Tinggi",'B.kriteria &amp; R.kecocokan'!$C$81)</f>
        <v>7.5</v>
      </c>
      <c r="P355" s="9" t="str">
        <f>'B.kriteria &amp; R.kecocokan'!$B$88</f>
        <v>Sedang</v>
      </c>
      <c r="Q355" s="8">
        <f>_xlfn.IFS(P355="Sedikit",'B.kriteria &amp; R.kecocokan'!$C$89,P355="Sedang",'B.kriteria &amp; R.kecocokan'!$C$88,P355="Sangat Sedikit",'B.kriteria &amp; R.kecocokan'!$C$90)</f>
        <v>5</v>
      </c>
      <c r="R355" s="9" t="str">
        <f>'B.kriteria &amp; R.kecocokan'!$B$51</f>
        <v>Tinggi</v>
      </c>
      <c r="S355" s="8">
        <f>_xlfn.IFS(R355="Rendah",'B.kriteria &amp; R.kecocokan'!$C$49,R355="Sedang",'B.kriteria &amp; R.kecocokan'!$C$50,R355="Tinggi",'B.kriteria &amp; R.kecocokan'!$C$51)</f>
        <v>7.5</v>
      </c>
      <c r="T355" s="9" t="str">
        <f>'B.kriteria &amp; R.kecocokan'!$B$59</f>
        <v>Tinggi</v>
      </c>
      <c r="U355" s="51">
        <f>_xlfn.IFS(T355="Rendah",'B.kriteria &amp; R.kecocokan'!$C$57,T355="Sedang",'B.kriteria &amp; R.kecocokan'!$C$58,T355="Tinggi",'B.kriteria &amp; R.kecocokan'!$C$59)</f>
        <v>7.5</v>
      </c>
      <c r="V355" s="51" t="str">
        <f>'B.kriteria &amp; R.kecocokan'!$B$65</f>
        <v>Rendah</v>
      </c>
      <c r="W355" s="9">
        <f>_xlfn.IFS(V355="Rendah",'B.kriteria &amp; R.kecocokan'!$C$65,V355="Sedang",'B.kriteria &amp; R.kecocokan'!$C$66,V355="Tinggi",'B.kriteria &amp; R.kecocokan'!$C$67)</f>
        <v>1</v>
      </c>
      <c r="X355" s="117">
        <f t="shared" si="34"/>
        <v>7.0295352299409473</v>
      </c>
      <c r="Y355" s="117">
        <f t="shared" si="35"/>
        <v>9.3600761416362985</v>
      </c>
      <c r="Z355" s="119">
        <f t="shared" si="36"/>
        <v>7.0295352299409473</v>
      </c>
      <c r="AA355" s="52" t="str">
        <f t="shared" si="37"/>
        <v>Layak</v>
      </c>
      <c r="AB355" s="55" t="s">
        <v>349</v>
      </c>
    </row>
    <row r="356" spans="1:28" x14ac:dyDescent="0.35">
      <c r="A356" s="5">
        <v>31</v>
      </c>
      <c r="B356" s="2" t="s">
        <v>74</v>
      </c>
      <c r="C356" s="11" t="s">
        <v>13</v>
      </c>
      <c r="D356" s="32" t="str">
        <f>'B.kriteria &amp; R.kecocokan'!$B$24</f>
        <v>Cukup</v>
      </c>
      <c r="E356" s="111">
        <f>_xlfn.IFS(D356="Banyak",'B.kriteria &amp; R.kecocokan'!$C$23,D356="Cukup",'B.kriteria &amp; R.kecocokan'!$C$24,D356="Sedikit",'B.kriteria &amp; R.kecocokan'!$C$25)</f>
        <v>5</v>
      </c>
      <c r="F356" s="9" t="str">
        <f>'B.kriteria &amp; R.kecocokan'!$B$35</f>
        <v>Sangat Tinggi</v>
      </c>
      <c r="G356" s="8">
        <f>_xlfn.IFS(F356="Tinggi",'B.kriteria &amp; R.kecocokan'!$C$34,F356="Sangat Tinggi",'B.kriteria &amp; R.kecocokan'!$C$35)</f>
        <v>10</v>
      </c>
      <c r="H356" s="8" t="str">
        <f>'B.kriteria &amp; R.kecocokan'!$B$41</f>
        <v>Rendah</v>
      </c>
      <c r="I356" s="8">
        <f>_xlfn.IFS(H356="Rendah",'B.kriteria &amp; R.kecocokan'!$C$41,H356="Sedang",'B.kriteria &amp; R.kecocokan'!$C$42,H356="Tinggi",'B.kriteria &amp; R.kecocokan'!$C$43)</f>
        <v>2.5</v>
      </c>
      <c r="J356" s="8" t="str">
        <f>'B.kriteria &amp; R.kecocokan'!$B$72</f>
        <v>Rendah</v>
      </c>
      <c r="K356" s="8">
        <f>_xlfn.IFS(J356="Rendah",'B.kriteria &amp; R.kecocokan'!$C$72,J356="Sedang",'B.kriteria &amp; R.kecocokan'!$C$73,J356="Tinggi",'B.kriteria &amp; R.kecocokan'!$C$74)</f>
        <v>2.5</v>
      </c>
      <c r="L356" s="8" t="str">
        <f>'B.kriteria &amp; R.kecocokan'!$B$95</f>
        <v>Rendah</v>
      </c>
      <c r="M356" s="8">
        <f>_xlfn.IFS(L356="Rendah",'B.kriteria &amp; R.kecocokan'!$C$95,L356="Tinggi",'B.kriteria &amp; R.kecocokan'!$C$96)</f>
        <v>2.5</v>
      </c>
      <c r="N356" s="8" t="str">
        <f>'B.kriteria &amp; R.kecocokan'!$B$80</f>
        <v>Rendah</v>
      </c>
      <c r="O356" s="8">
        <f>_xlfn.IFS(N356="Rendah",'B.kriteria &amp; R.kecocokan'!$C$80,N356="Tinggi",'B.kriteria &amp; R.kecocokan'!$C$81)</f>
        <v>2.5</v>
      </c>
      <c r="P356" s="8" t="str">
        <f>'B.kriteria &amp; R.kecocokan'!$B$89</f>
        <v>Sedikit</v>
      </c>
      <c r="Q356" s="8">
        <f>_xlfn.IFS(P356="Sedikit",'B.kriteria &amp; R.kecocokan'!$C$89,P356="Sedang",'B.kriteria &amp; R.kecocokan'!$C$88,P356="Sangat Sedikit",'B.kriteria &amp; R.kecocokan'!$C$90)</f>
        <v>2.5</v>
      </c>
      <c r="R356" s="8" t="str">
        <f>'B.kriteria &amp; R.kecocokan'!$B$49</f>
        <v>Rendah</v>
      </c>
      <c r="S356" s="8">
        <f>_xlfn.IFS(R356="Rendah",'B.kriteria &amp; R.kecocokan'!$C$49,R356="Sedang",'B.kriteria &amp; R.kecocokan'!$C$50,R356="Tinggi",'B.kriteria &amp; R.kecocokan'!$C$51)</f>
        <v>2.5</v>
      </c>
      <c r="T356" s="9" t="str">
        <f>'B.kriteria &amp; R.kecocokan'!$B$58</f>
        <v>Sedang</v>
      </c>
      <c r="U356" s="51">
        <f>_xlfn.IFS(T356="Rendah",'B.kriteria &amp; R.kecocokan'!$C$57,T356="Sedang",'B.kriteria &amp; R.kecocokan'!$C$58,T356="Tinggi",'B.kriteria &amp; R.kecocokan'!$C$59)</f>
        <v>5</v>
      </c>
      <c r="V356" s="51" t="str">
        <f>'B.kriteria &amp; R.kecocokan'!$B$65</f>
        <v>Rendah</v>
      </c>
      <c r="W356" s="9">
        <f>_xlfn.IFS(V356="Rendah",'B.kriteria &amp; R.kecocokan'!$C$65,V356="Sedang",'B.kriteria &amp; R.kecocokan'!$C$66,V356="Tinggi",'B.kriteria &amp; R.kecocokan'!$C$67)</f>
        <v>1</v>
      </c>
      <c r="X356" s="117">
        <f t="shared" si="34"/>
        <v>5.7866119940336205</v>
      </c>
      <c r="Y356" s="117">
        <f t="shared" si="35"/>
        <v>3.3979715364337979</v>
      </c>
      <c r="Z356" s="119">
        <f t="shared" si="36"/>
        <v>3.3979715364337979</v>
      </c>
      <c r="AA356" s="52" t="str">
        <f t="shared" si="37"/>
        <v>Tidak Layak</v>
      </c>
      <c r="AB356" s="55" t="s">
        <v>349</v>
      </c>
    </row>
    <row r="357" spans="1:28" x14ac:dyDescent="0.35">
      <c r="A357" s="1">
        <v>32</v>
      </c>
      <c r="B357" s="2" t="s">
        <v>76</v>
      </c>
      <c r="C357" s="11" t="s">
        <v>13</v>
      </c>
      <c r="D357" s="32" t="str">
        <f>'B.kriteria &amp; R.kecocokan'!$B$24</f>
        <v>Cukup</v>
      </c>
      <c r="E357" s="111">
        <f>_xlfn.IFS(D357="Banyak",'B.kriteria &amp; R.kecocokan'!$C$23,D357="Cukup",'B.kriteria &amp; R.kecocokan'!$C$24,D357="Sedikit",'B.kriteria &amp; R.kecocokan'!$C$25)</f>
        <v>5</v>
      </c>
      <c r="F357" s="9" t="str">
        <f>'B.kriteria &amp; R.kecocokan'!$B$34</f>
        <v>Tinggi</v>
      </c>
      <c r="G357" s="8">
        <f>_xlfn.IFS(F357="Tinggi",'B.kriteria &amp; R.kecocokan'!$C$34,F357="Sangat Tinggi",'B.kriteria &amp; R.kecocokan'!$C$35)</f>
        <v>7.5</v>
      </c>
      <c r="H357" s="8" t="str">
        <f>'B.kriteria &amp; R.kecocokan'!$B$41</f>
        <v>Rendah</v>
      </c>
      <c r="I357" s="8">
        <f>_xlfn.IFS(H357="Rendah",'B.kriteria &amp; R.kecocokan'!$C$41,H357="Sedang",'B.kriteria &amp; R.kecocokan'!$C$42,H357="Tinggi",'B.kriteria &amp; R.kecocokan'!$C$43)</f>
        <v>2.5</v>
      </c>
      <c r="J357" s="8" t="str">
        <f>'B.kriteria &amp; R.kecocokan'!$B$72</f>
        <v>Rendah</v>
      </c>
      <c r="K357" s="8">
        <f>_xlfn.IFS(J357="Rendah",'B.kriteria &amp; R.kecocokan'!$C$72,J357="Sedang",'B.kriteria &amp; R.kecocokan'!$C$73,J357="Tinggi",'B.kriteria &amp; R.kecocokan'!$C$74)</f>
        <v>2.5</v>
      </c>
      <c r="L357" s="8" t="str">
        <f>'B.kriteria &amp; R.kecocokan'!$B$95</f>
        <v>Rendah</v>
      </c>
      <c r="M357" s="8">
        <f>_xlfn.IFS(L357="Rendah",'B.kriteria &amp; R.kecocokan'!$C$95,L357="Tinggi",'B.kriteria &amp; R.kecocokan'!$C$96)</f>
        <v>2.5</v>
      </c>
      <c r="N357" s="8" t="str">
        <f>'B.kriteria &amp; R.kecocokan'!$B$80</f>
        <v>Rendah</v>
      </c>
      <c r="O357" s="8">
        <f>_xlfn.IFS(N357="Rendah",'B.kriteria &amp; R.kecocokan'!$C$80,N357="Tinggi",'B.kriteria &amp; R.kecocokan'!$C$81)</f>
        <v>2.5</v>
      </c>
      <c r="P357" s="9" t="str">
        <f>'B.kriteria &amp; R.kecocokan'!$B$88</f>
        <v>Sedang</v>
      </c>
      <c r="Q357" s="8">
        <f>_xlfn.IFS(P357="Sedikit",'B.kriteria &amp; R.kecocokan'!$C$89,P357="Sedang",'B.kriteria &amp; R.kecocokan'!$C$88,P357="Sangat Sedikit",'B.kriteria &amp; R.kecocokan'!$C$90)</f>
        <v>5</v>
      </c>
      <c r="R357" s="8" t="str">
        <f>'B.kriteria &amp; R.kecocokan'!$B$49</f>
        <v>Rendah</v>
      </c>
      <c r="S357" s="8">
        <f>_xlfn.IFS(R357="Rendah",'B.kriteria &amp; R.kecocokan'!$C$49,R357="Sedang",'B.kriteria &amp; R.kecocokan'!$C$50,R357="Tinggi",'B.kriteria &amp; R.kecocokan'!$C$51)</f>
        <v>2.5</v>
      </c>
      <c r="T357" s="8" t="str">
        <f>'B.kriteria &amp; R.kecocokan'!$B$57</f>
        <v>Rendah</v>
      </c>
      <c r="U357" s="51">
        <f>_xlfn.IFS(T357="Rendah",'B.kriteria &amp; R.kecocokan'!$C$57,T357="Sedang",'B.kriteria &amp; R.kecocokan'!$C$58,T357="Tinggi",'B.kriteria &amp; R.kecocokan'!$C$59)</f>
        <v>2.5</v>
      </c>
      <c r="V357" s="51" t="str">
        <f>'B.kriteria &amp; R.kecocokan'!$B$65</f>
        <v>Rendah</v>
      </c>
      <c r="W357" s="9">
        <f>_xlfn.IFS(V357="Rendah",'B.kriteria &amp; R.kecocokan'!$C$65,V357="Sedang",'B.kriteria &amp; R.kecocokan'!$C$66,V357="Tinggi",'B.kriteria &amp; R.kecocokan'!$C$67)</f>
        <v>1</v>
      </c>
      <c r="X357" s="117">
        <f t="shared" si="34"/>
        <v>6.5086929177599764</v>
      </c>
      <c r="Y357" s="117">
        <f t="shared" si="35"/>
        <v>1.8929468031223968</v>
      </c>
      <c r="Z357" s="119">
        <f t="shared" si="36"/>
        <v>1.8929468031223968</v>
      </c>
      <c r="AA357" s="52" t="str">
        <f t="shared" si="37"/>
        <v>Tidak Layak</v>
      </c>
      <c r="AB357" s="55" t="s">
        <v>347</v>
      </c>
    </row>
    <row r="358" spans="1:28" x14ac:dyDescent="0.35">
      <c r="A358" s="5">
        <v>33</v>
      </c>
      <c r="B358" s="2" t="s">
        <v>79</v>
      </c>
      <c r="C358" s="11" t="s">
        <v>13</v>
      </c>
      <c r="D358" s="9" t="str">
        <f>'B.kriteria &amp; R.kecocokan'!$B$25</f>
        <v>Sedikit</v>
      </c>
      <c r="E358" s="111">
        <f>_xlfn.IFS(D358="Banyak",'B.kriteria &amp; R.kecocokan'!$C$23,D358="Cukup",'B.kriteria &amp; R.kecocokan'!$C$24,D358="Sedikit",'B.kriteria &amp; R.kecocokan'!$C$25)</f>
        <v>7.5</v>
      </c>
      <c r="F358" s="9" t="str">
        <f>'B.kriteria &amp; R.kecocokan'!$B$34</f>
        <v>Tinggi</v>
      </c>
      <c r="G358" s="8">
        <f>_xlfn.IFS(F358="Tinggi",'B.kriteria &amp; R.kecocokan'!$C$34,F358="Sangat Tinggi",'B.kriteria &amp; R.kecocokan'!$C$35)</f>
        <v>7.5</v>
      </c>
      <c r="H358" s="9" t="str">
        <f>'B.kriteria &amp; R.kecocokan'!$B$43</f>
        <v>Tinggi</v>
      </c>
      <c r="I358" s="8">
        <f>_xlfn.IFS(H358="Rendah",'B.kriteria &amp; R.kecocokan'!$C$41,H358="Sedang",'B.kriteria &amp; R.kecocokan'!$C$42,H358="Tinggi",'B.kriteria &amp; R.kecocokan'!$C$43)</f>
        <v>7.5</v>
      </c>
      <c r="J358" s="8" t="str">
        <f>'B.kriteria &amp; R.kecocokan'!$B$72</f>
        <v>Rendah</v>
      </c>
      <c r="K358" s="8">
        <f>_xlfn.IFS(J358="Rendah",'B.kriteria &amp; R.kecocokan'!$C$72,J358="Sedang",'B.kriteria &amp; R.kecocokan'!$C$73,J358="Tinggi",'B.kriteria &amp; R.kecocokan'!$C$74)</f>
        <v>2.5</v>
      </c>
      <c r="L358" s="8" t="str">
        <f>'B.kriteria &amp; R.kecocokan'!$B$95</f>
        <v>Rendah</v>
      </c>
      <c r="M358" s="8">
        <f>_xlfn.IFS(L358="Rendah",'B.kriteria &amp; R.kecocokan'!$C$95,L358="Tinggi",'B.kriteria &amp; R.kecocokan'!$C$96)</f>
        <v>2.5</v>
      </c>
      <c r="N358" s="9" t="str">
        <f>'B.kriteria &amp; R.kecocokan'!$B$81</f>
        <v>Tinggi</v>
      </c>
      <c r="O358" s="8">
        <f>_xlfn.IFS(N358="Rendah",'B.kriteria &amp; R.kecocokan'!$C$80,N358="Tinggi",'B.kriteria &amp; R.kecocokan'!$C$81)</f>
        <v>7.5</v>
      </c>
      <c r="P358" s="9" t="str">
        <f>'B.kriteria &amp; R.kecocokan'!$B$90</f>
        <v>Sangat Sedikit</v>
      </c>
      <c r="Q358" s="8">
        <f>_xlfn.IFS(P358="Sedikit",'B.kriteria &amp; R.kecocokan'!$C$89,P358="Sedang",'B.kriteria &amp; R.kecocokan'!$C$88,P358="Sangat Sedikit",'B.kriteria &amp; R.kecocokan'!$C$90)</f>
        <v>1</v>
      </c>
      <c r="R358" s="8" t="str">
        <f>'B.kriteria &amp; R.kecocokan'!$B$49</f>
        <v>Rendah</v>
      </c>
      <c r="S358" s="8">
        <f>_xlfn.IFS(R358="Rendah",'B.kriteria &amp; R.kecocokan'!$C$49,R358="Sedang",'B.kriteria &amp; R.kecocokan'!$C$50,R358="Tinggi",'B.kriteria &amp; R.kecocokan'!$C$51)</f>
        <v>2.5</v>
      </c>
      <c r="T358" s="8" t="str">
        <f>'B.kriteria &amp; R.kecocokan'!$B$57</f>
        <v>Rendah</v>
      </c>
      <c r="U358" s="51">
        <f>_xlfn.IFS(T358="Rendah",'B.kriteria &amp; R.kecocokan'!$C$57,T358="Sedang",'B.kriteria &amp; R.kecocokan'!$C$58,T358="Tinggi",'B.kriteria &amp; R.kecocokan'!$C$59)</f>
        <v>2.5</v>
      </c>
      <c r="V358" s="51" t="str">
        <f>'B.kriteria &amp; R.kecocokan'!$B$65</f>
        <v>Rendah</v>
      </c>
      <c r="W358" s="9">
        <f>_xlfn.IFS(V358="Rendah",'B.kriteria &amp; R.kecocokan'!$C$65,V358="Sedang",'B.kriteria &amp; R.kecocokan'!$C$66,V358="Tinggi",'B.kriteria &amp; R.kecocokan'!$C$67)</f>
        <v>1</v>
      </c>
      <c r="X358" s="117">
        <f t="shared" si="34"/>
        <v>5.0406304459433118</v>
      </c>
      <c r="Y358" s="117">
        <f t="shared" si="35"/>
        <v>7.6714904756487714</v>
      </c>
      <c r="Z358" s="119">
        <f t="shared" si="36"/>
        <v>5.0406304459433118</v>
      </c>
      <c r="AA358" s="52" t="str">
        <f t="shared" si="37"/>
        <v>Layak</v>
      </c>
      <c r="AB358" s="55" t="s">
        <v>347</v>
      </c>
    </row>
    <row r="359" spans="1:28" x14ac:dyDescent="0.35">
      <c r="A359" s="5">
        <v>34</v>
      </c>
      <c r="B359" s="2" t="s">
        <v>81</v>
      </c>
      <c r="C359" s="11" t="s">
        <v>13</v>
      </c>
      <c r="D359" s="9" t="str">
        <f>'B.kriteria &amp; R.kecocokan'!$B$23</f>
        <v>Banyak</v>
      </c>
      <c r="E359" s="111">
        <f>_xlfn.IFS(D359="Banyak",'B.kriteria &amp; R.kecocokan'!$C$23,D359="Cukup",'B.kriteria &amp; R.kecocokan'!$C$24,D359="Sedikit",'B.kriteria &amp; R.kecocokan'!$C$25)</f>
        <v>2.5</v>
      </c>
      <c r="F359" s="9" t="str">
        <f>'B.kriteria &amp; R.kecocokan'!$B$34</f>
        <v>Tinggi</v>
      </c>
      <c r="G359" s="8">
        <f>_xlfn.IFS(F359="Tinggi",'B.kriteria &amp; R.kecocokan'!$C$34,F359="Sangat Tinggi",'B.kriteria &amp; R.kecocokan'!$C$35)</f>
        <v>7.5</v>
      </c>
      <c r="H359" s="8" t="str">
        <f>'B.kriteria &amp; R.kecocokan'!$B$41</f>
        <v>Rendah</v>
      </c>
      <c r="I359" s="8">
        <f>_xlfn.IFS(H359="Rendah",'B.kriteria &amp; R.kecocokan'!$C$41,H359="Sedang",'B.kriteria &amp; R.kecocokan'!$C$42,H359="Tinggi",'B.kriteria &amp; R.kecocokan'!$C$43)</f>
        <v>2.5</v>
      </c>
      <c r="J359" s="8" t="str">
        <f>'B.kriteria &amp; R.kecocokan'!$B$72</f>
        <v>Rendah</v>
      </c>
      <c r="K359" s="8">
        <f>_xlfn.IFS(J359="Rendah",'B.kriteria &amp; R.kecocokan'!$C$72,J359="Sedang",'B.kriteria &amp; R.kecocokan'!$C$73,J359="Tinggi",'B.kriteria &amp; R.kecocokan'!$C$74)</f>
        <v>2.5</v>
      </c>
      <c r="L359" s="8" t="str">
        <f>'B.kriteria &amp; R.kecocokan'!$B$95</f>
        <v>Rendah</v>
      </c>
      <c r="M359" s="8">
        <f>_xlfn.IFS(L359="Rendah",'B.kriteria &amp; R.kecocokan'!$C$95,L359="Tinggi",'B.kriteria &amp; R.kecocokan'!$C$96)</f>
        <v>2.5</v>
      </c>
      <c r="N359" s="9" t="str">
        <f>'B.kriteria &amp; R.kecocokan'!$B$81</f>
        <v>Tinggi</v>
      </c>
      <c r="O359" s="8">
        <f>_xlfn.IFS(N359="Rendah",'B.kriteria &amp; R.kecocokan'!$C$80,N359="Tinggi",'B.kriteria &amp; R.kecocokan'!$C$81)</f>
        <v>7.5</v>
      </c>
      <c r="P359" s="9" t="str">
        <f>'B.kriteria &amp; R.kecocokan'!$B$90</f>
        <v>Sangat Sedikit</v>
      </c>
      <c r="Q359" s="8">
        <f>_xlfn.IFS(P359="Sedikit",'B.kriteria &amp; R.kecocokan'!$C$89,P359="Sedang",'B.kriteria &amp; R.kecocokan'!$C$88,P359="Sangat Sedikit",'B.kriteria &amp; R.kecocokan'!$C$90)</f>
        <v>1</v>
      </c>
      <c r="R359" s="8" t="str">
        <f>'B.kriteria &amp; R.kecocokan'!$B$49</f>
        <v>Rendah</v>
      </c>
      <c r="S359" s="8">
        <f>_xlfn.IFS(R359="Rendah",'B.kriteria &amp; R.kecocokan'!$C$49,R359="Sedang",'B.kriteria &amp; R.kecocokan'!$C$50,R359="Tinggi",'B.kriteria &amp; R.kecocokan'!$C$51)</f>
        <v>2.5</v>
      </c>
      <c r="T359" s="8" t="str">
        <f>'B.kriteria &amp; R.kecocokan'!$B$57</f>
        <v>Rendah</v>
      </c>
      <c r="U359" s="51">
        <f>_xlfn.IFS(T359="Rendah",'B.kriteria &amp; R.kecocokan'!$C$57,T359="Sedang",'B.kriteria &amp; R.kecocokan'!$C$58,T359="Tinggi",'B.kriteria &amp; R.kecocokan'!$C$59)</f>
        <v>2.5</v>
      </c>
      <c r="V359" s="51" t="str">
        <f>'B.kriteria &amp; R.kecocokan'!$B$65</f>
        <v>Rendah</v>
      </c>
      <c r="W359" s="9">
        <f>_xlfn.IFS(V359="Rendah",'B.kriteria &amp; R.kecocokan'!$C$65,V359="Sedang",'B.kriteria &amp; R.kecocokan'!$C$66,V359="Tinggi",'B.kriteria &amp; R.kecocokan'!$C$67)</f>
        <v>1</v>
      </c>
      <c r="X359" s="117">
        <f t="shared" si="34"/>
        <v>4.2844688400417414</v>
      </c>
      <c r="Y359" s="117">
        <f t="shared" si="35"/>
        <v>6.052234620018262</v>
      </c>
      <c r="Z359" s="119">
        <f t="shared" si="36"/>
        <v>4.2844688400417414</v>
      </c>
      <c r="AA359" s="52" t="str">
        <f t="shared" si="37"/>
        <v>Layak</v>
      </c>
      <c r="AB359" s="55" t="s">
        <v>347</v>
      </c>
    </row>
    <row r="360" spans="1:28" x14ac:dyDescent="0.35">
      <c r="A360" s="1">
        <v>35</v>
      </c>
      <c r="B360" s="2" t="s">
        <v>83</v>
      </c>
      <c r="C360" s="11" t="s">
        <v>13</v>
      </c>
      <c r="D360" s="9" t="str">
        <f>'B.kriteria &amp; R.kecocokan'!$B$25</f>
        <v>Sedikit</v>
      </c>
      <c r="E360" s="111">
        <f>_xlfn.IFS(D360="Banyak",'B.kriteria &amp; R.kecocokan'!$C$23,D360="Cukup",'B.kriteria &amp; R.kecocokan'!$C$24,D360="Sedikit",'B.kriteria &amp; R.kecocokan'!$C$25)</f>
        <v>7.5</v>
      </c>
      <c r="F360" s="9" t="str">
        <f>'B.kriteria &amp; R.kecocokan'!$B$34</f>
        <v>Tinggi</v>
      </c>
      <c r="G360" s="8">
        <f>_xlfn.IFS(F360="Tinggi",'B.kriteria &amp; R.kecocokan'!$C$34,F360="Sangat Tinggi",'B.kriteria &amp; R.kecocokan'!$C$35)</f>
        <v>7.5</v>
      </c>
      <c r="H360" s="8" t="str">
        <f>'B.kriteria &amp; R.kecocokan'!$B$41</f>
        <v>Rendah</v>
      </c>
      <c r="I360" s="8">
        <f>_xlfn.IFS(H360="Rendah",'B.kriteria &amp; R.kecocokan'!$C$41,H360="Sedang",'B.kriteria &amp; R.kecocokan'!$C$42,H360="Tinggi",'B.kriteria &amp; R.kecocokan'!$C$43)</f>
        <v>2.5</v>
      </c>
      <c r="J360" s="9" t="str">
        <f>'B.kriteria &amp; R.kecocokan'!$B$74</f>
        <v>Tinggi</v>
      </c>
      <c r="K360" s="8">
        <f>_xlfn.IFS(J360="Rendah",'B.kriteria &amp; R.kecocokan'!$C$72,J360="Sedang",'B.kriteria &amp; R.kecocokan'!$C$73,J360="Tinggi",'B.kriteria &amp; R.kecocokan'!$C$74)</f>
        <v>7.5</v>
      </c>
      <c r="L360" s="8" t="str">
        <f>'B.kriteria &amp; R.kecocokan'!$B$95</f>
        <v>Rendah</v>
      </c>
      <c r="M360" s="8">
        <f>_xlfn.IFS(L360="Rendah",'B.kriteria &amp; R.kecocokan'!$C$95,L360="Tinggi",'B.kriteria &amp; R.kecocokan'!$C$96)</f>
        <v>2.5</v>
      </c>
      <c r="N360" s="9" t="str">
        <f>'B.kriteria &amp; R.kecocokan'!$B$81</f>
        <v>Tinggi</v>
      </c>
      <c r="O360" s="8">
        <f>_xlfn.IFS(N360="Rendah",'B.kriteria &amp; R.kecocokan'!$C$80,N360="Tinggi",'B.kriteria &amp; R.kecocokan'!$C$81)</f>
        <v>7.5</v>
      </c>
      <c r="P360" s="9" t="str">
        <f>'B.kriteria &amp; R.kecocokan'!$B$90</f>
        <v>Sangat Sedikit</v>
      </c>
      <c r="Q360" s="8">
        <f>_xlfn.IFS(P360="Sedikit",'B.kriteria &amp; R.kecocokan'!$C$89,P360="Sedang",'B.kriteria &amp; R.kecocokan'!$C$88,P360="Sangat Sedikit",'B.kriteria &amp; R.kecocokan'!$C$90)</f>
        <v>1</v>
      </c>
      <c r="R360" s="9" t="str">
        <f>'B.kriteria &amp; R.kecocokan'!$B$50</f>
        <v>Sedang</v>
      </c>
      <c r="S360" s="8">
        <f>_xlfn.IFS(R360="Rendah",'B.kriteria &amp; R.kecocokan'!$C$49,R360="Sedang",'B.kriteria &amp; R.kecocokan'!$C$50,R360="Tinggi",'B.kriteria &amp; R.kecocokan'!$C$51)</f>
        <v>5</v>
      </c>
      <c r="T360" s="9" t="str">
        <f>'B.kriteria &amp; R.kecocokan'!$B$59</f>
        <v>Tinggi</v>
      </c>
      <c r="U360" s="51">
        <f>_xlfn.IFS(T360="Rendah",'B.kriteria &amp; R.kecocokan'!$C$57,T360="Sedang",'B.kriteria &amp; R.kecocokan'!$C$58,T360="Tinggi",'B.kriteria &amp; R.kecocokan'!$C$59)</f>
        <v>7.5</v>
      </c>
      <c r="V360" s="51" t="str">
        <f>'B.kriteria &amp; R.kecocokan'!$B$65</f>
        <v>Rendah</v>
      </c>
      <c r="W360" s="9">
        <f>_xlfn.IFS(V360="Rendah",'B.kriteria &amp; R.kecocokan'!$C$65,V360="Sedang",'B.kriteria &amp; R.kecocokan'!$C$66,V360="Tinggi",'B.kriteria &amp; R.kecocokan'!$C$67)</f>
        <v>1</v>
      </c>
      <c r="X360" s="117">
        <f t="shared" si="34"/>
        <v>6.5234493322173179</v>
      </c>
      <c r="Y360" s="117">
        <f t="shared" si="35"/>
        <v>9.6613925941714314</v>
      </c>
      <c r="Z360" s="119">
        <f t="shared" si="36"/>
        <v>6.5234493322173179</v>
      </c>
      <c r="AA360" s="52" t="str">
        <f t="shared" si="37"/>
        <v>Layak</v>
      </c>
      <c r="AB360" s="55" t="s">
        <v>349</v>
      </c>
    </row>
    <row r="361" spans="1:28" x14ac:dyDescent="0.35">
      <c r="A361" s="5">
        <v>36</v>
      </c>
      <c r="B361" s="2" t="s">
        <v>84</v>
      </c>
      <c r="C361" s="11" t="s">
        <v>13</v>
      </c>
      <c r="D361" s="32" t="str">
        <f>'B.kriteria &amp; R.kecocokan'!$B$24</f>
        <v>Cukup</v>
      </c>
      <c r="E361" s="111">
        <f>_xlfn.IFS(D361="Banyak",'B.kriteria &amp; R.kecocokan'!$C$23,D361="Cukup",'B.kriteria &amp; R.kecocokan'!$C$24,D361="Sedikit",'B.kriteria &amp; R.kecocokan'!$C$25)</f>
        <v>5</v>
      </c>
      <c r="F361" s="9" t="str">
        <f>'B.kriteria &amp; R.kecocokan'!$B$34</f>
        <v>Tinggi</v>
      </c>
      <c r="G361" s="8">
        <f>_xlfn.IFS(F361="Tinggi",'B.kriteria &amp; R.kecocokan'!$C$34,F361="Sangat Tinggi",'B.kriteria &amp; R.kecocokan'!$C$35)</f>
        <v>7.5</v>
      </c>
      <c r="H361" s="8" t="str">
        <f>'B.kriteria &amp; R.kecocokan'!$B$41</f>
        <v>Rendah</v>
      </c>
      <c r="I361" s="8">
        <f>_xlfn.IFS(H361="Rendah",'B.kriteria &amp; R.kecocokan'!$C$41,H361="Sedang",'B.kriteria &amp; R.kecocokan'!$C$42,H361="Tinggi",'B.kriteria &amp; R.kecocokan'!$C$43)</f>
        <v>2.5</v>
      </c>
      <c r="J361" s="8" t="str">
        <f>'B.kriteria &amp; R.kecocokan'!$B$72</f>
        <v>Rendah</v>
      </c>
      <c r="K361" s="8">
        <f>_xlfn.IFS(J361="Rendah",'B.kriteria &amp; R.kecocokan'!$C$72,J361="Sedang",'B.kriteria &amp; R.kecocokan'!$C$73,J361="Tinggi",'B.kriteria &amp; R.kecocokan'!$C$74)</f>
        <v>2.5</v>
      </c>
      <c r="L361" s="8" t="str">
        <f>'B.kriteria &amp; R.kecocokan'!$B$95</f>
        <v>Rendah</v>
      </c>
      <c r="M361" s="8">
        <f>_xlfn.IFS(L361="Rendah",'B.kriteria &amp; R.kecocokan'!$C$95,L361="Tinggi",'B.kriteria &amp; R.kecocokan'!$C$96)</f>
        <v>2.5</v>
      </c>
      <c r="N361" s="8" t="str">
        <f>'B.kriteria &amp; R.kecocokan'!$B$80</f>
        <v>Rendah</v>
      </c>
      <c r="O361" s="8">
        <f>_xlfn.IFS(N361="Rendah",'B.kriteria &amp; R.kecocokan'!$C$80,N361="Tinggi",'B.kriteria &amp; R.kecocokan'!$C$81)</f>
        <v>2.5</v>
      </c>
      <c r="P361" s="9" t="str">
        <f>'B.kriteria &amp; R.kecocokan'!$B$90</f>
        <v>Sangat Sedikit</v>
      </c>
      <c r="Q361" s="8">
        <f>_xlfn.IFS(P361="Sedikit",'B.kriteria &amp; R.kecocokan'!$C$89,P361="Sedang",'B.kriteria &amp; R.kecocokan'!$C$88,P361="Sangat Sedikit",'B.kriteria &amp; R.kecocokan'!$C$90)</f>
        <v>1</v>
      </c>
      <c r="R361" s="8" t="str">
        <f>'B.kriteria &amp; R.kecocokan'!$B$49</f>
        <v>Rendah</v>
      </c>
      <c r="S361" s="8">
        <f>_xlfn.IFS(R361="Rendah",'B.kriteria &amp; R.kecocokan'!$C$49,R361="Sedang",'B.kriteria &amp; R.kecocokan'!$C$50,R361="Tinggi",'B.kriteria &amp; R.kecocokan'!$C$51)</f>
        <v>2.5</v>
      </c>
      <c r="T361" s="8" t="str">
        <f>'B.kriteria &amp; R.kecocokan'!$B$57</f>
        <v>Rendah</v>
      </c>
      <c r="U361" s="51">
        <f>_xlfn.IFS(T361="Rendah",'B.kriteria &amp; R.kecocokan'!$C$57,T361="Sedang",'B.kriteria &amp; R.kecocokan'!$C$58,T361="Tinggi",'B.kriteria &amp; R.kecocokan'!$C$59)</f>
        <v>2.5</v>
      </c>
      <c r="V361" s="51" t="str">
        <f>'B.kriteria &amp; R.kecocokan'!$B$65</f>
        <v>Rendah</v>
      </c>
      <c r="W361" s="9">
        <f>_xlfn.IFS(V361="Rendah",'B.kriteria &amp; R.kecocokan'!$C$65,V361="Sedang",'B.kriteria &amp; R.kecocokan'!$C$66,V361="Tinggi",'B.kriteria &amp; R.kecocokan'!$C$67)</f>
        <v>1</v>
      </c>
      <c r="X361" s="117">
        <f t="shared" si="34"/>
        <v>5.4822797438662842</v>
      </c>
      <c r="Y361" s="117">
        <f t="shared" si="35"/>
        <v>2.6016211839229189</v>
      </c>
      <c r="Z361" s="119">
        <f t="shared" si="36"/>
        <v>2.6016211839229189</v>
      </c>
      <c r="AA361" s="52" t="str">
        <f t="shared" si="37"/>
        <v>Tidak Layak</v>
      </c>
      <c r="AB361" s="55" t="s">
        <v>347</v>
      </c>
    </row>
    <row r="362" spans="1:28" x14ac:dyDescent="0.35">
      <c r="A362" s="5">
        <v>37</v>
      </c>
      <c r="B362" s="2" t="s">
        <v>85</v>
      </c>
      <c r="C362" s="11" t="s">
        <v>13</v>
      </c>
      <c r="D362" s="32" t="str">
        <f>'B.kriteria &amp; R.kecocokan'!$B$24</f>
        <v>Cukup</v>
      </c>
      <c r="E362" s="111">
        <f>_xlfn.IFS(D362="Banyak",'B.kriteria &amp; R.kecocokan'!$C$23,D362="Cukup",'B.kriteria &amp; R.kecocokan'!$C$24,D362="Sedikit",'B.kriteria &amp; R.kecocokan'!$C$25)</f>
        <v>5</v>
      </c>
      <c r="F362" s="9" t="str">
        <f>'B.kriteria &amp; R.kecocokan'!$B$34</f>
        <v>Tinggi</v>
      </c>
      <c r="G362" s="8">
        <f>_xlfn.IFS(F362="Tinggi",'B.kriteria &amp; R.kecocokan'!$C$34,F362="Sangat Tinggi",'B.kriteria &amp; R.kecocokan'!$C$35)</f>
        <v>7.5</v>
      </c>
      <c r="H362" s="8" t="str">
        <f>'B.kriteria &amp; R.kecocokan'!$B$41</f>
        <v>Rendah</v>
      </c>
      <c r="I362" s="8">
        <f>_xlfn.IFS(H362="Rendah",'B.kriteria &amp; R.kecocokan'!$C$41,H362="Sedang",'B.kriteria &amp; R.kecocokan'!$C$42,H362="Tinggi",'B.kriteria &amp; R.kecocokan'!$C$43)</f>
        <v>2.5</v>
      </c>
      <c r="J362" s="8" t="str">
        <f>'B.kriteria &amp; R.kecocokan'!$B$72</f>
        <v>Rendah</v>
      </c>
      <c r="K362" s="8">
        <f>_xlfn.IFS(J362="Rendah",'B.kriteria &amp; R.kecocokan'!$C$72,J362="Sedang",'B.kriteria &amp; R.kecocokan'!$C$73,J362="Tinggi",'B.kriteria &amp; R.kecocokan'!$C$74)</f>
        <v>2.5</v>
      </c>
      <c r="L362" s="8" t="str">
        <f>'B.kriteria &amp; R.kecocokan'!$B$95</f>
        <v>Rendah</v>
      </c>
      <c r="M362" s="8">
        <f>_xlfn.IFS(L362="Rendah",'B.kriteria &amp; R.kecocokan'!$C$95,L362="Tinggi",'B.kriteria &amp; R.kecocokan'!$C$96)</f>
        <v>2.5</v>
      </c>
      <c r="N362" s="8" t="str">
        <f>'B.kriteria &amp; R.kecocokan'!$B$80</f>
        <v>Rendah</v>
      </c>
      <c r="O362" s="8">
        <f>_xlfn.IFS(N362="Rendah",'B.kriteria &amp; R.kecocokan'!$C$80,N362="Tinggi",'B.kriteria &amp; R.kecocokan'!$C$81)</f>
        <v>2.5</v>
      </c>
      <c r="P362" s="9" t="str">
        <f>'B.kriteria &amp; R.kecocokan'!$B$88</f>
        <v>Sedang</v>
      </c>
      <c r="Q362" s="8">
        <f>_xlfn.IFS(P362="Sedikit",'B.kriteria &amp; R.kecocokan'!$C$89,P362="Sedang",'B.kriteria &amp; R.kecocokan'!$C$88,P362="Sangat Sedikit",'B.kriteria &amp; R.kecocokan'!$C$90)</f>
        <v>5</v>
      </c>
      <c r="R362" s="8" t="str">
        <f>'B.kriteria &amp; R.kecocokan'!$B$49</f>
        <v>Rendah</v>
      </c>
      <c r="S362" s="8">
        <f>_xlfn.IFS(R362="Rendah",'B.kriteria &amp; R.kecocokan'!$C$49,R362="Sedang",'B.kriteria &amp; R.kecocokan'!$C$50,R362="Tinggi",'B.kriteria &amp; R.kecocokan'!$C$51)</f>
        <v>2.5</v>
      </c>
      <c r="T362" s="8" t="str">
        <f>'B.kriteria &amp; R.kecocokan'!$B$57</f>
        <v>Rendah</v>
      </c>
      <c r="U362" s="51">
        <f>_xlfn.IFS(T362="Rendah",'B.kriteria &amp; R.kecocokan'!$C$57,T362="Sedang",'B.kriteria &amp; R.kecocokan'!$C$58,T362="Tinggi",'B.kriteria &amp; R.kecocokan'!$C$59)</f>
        <v>2.5</v>
      </c>
      <c r="V362" s="51" t="str">
        <f>'B.kriteria &amp; R.kecocokan'!$B$65</f>
        <v>Rendah</v>
      </c>
      <c r="W362" s="9">
        <f>_xlfn.IFS(V362="Rendah",'B.kriteria &amp; R.kecocokan'!$C$65,V362="Sedang",'B.kriteria &amp; R.kecocokan'!$C$66,V362="Tinggi",'B.kriteria &amp; R.kecocokan'!$C$67)</f>
        <v>1</v>
      </c>
      <c r="X362" s="117">
        <f t="shared" si="34"/>
        <v>6.5086929177599764</v>
      </c>
      <c r="Y362" s="117">
        <f t="shared" si="35"/>
        <v>1.8929468031223968</v>
      </c>
      <c r="Z362" s="119">
        <f t="shared" si="36"/>
        <v>1.8929468031223968</v>
      </c>
      <c r="AA362" s="52" t="str">
        <f t="shared" si="37"/>
        <v>Tidak Layak</v>
      </c>
      <c r="AB362" s="55" t="s">
        <v>347</v>
      </c>
    </row>
    <row r="363" spans="1:28" x14ac:dyDescent="0.35">
      <c r="A363" s="1">
        <v>38</v>
      </c>
      <c r="B363" s="2" t="s">
        <v>86</v>
      </c>
      <c r="C363" s="11" t="s">
        <v>13</v>
      </c>
      <c r="D363" s="9" t="str">
        <f>'B.kriteria &amp; R.kecocokan'!$B$25</f>
        <v>Sedikit</v>
      </c>
      <c r="E363" s="111">
        <f>_xlfn.IFS(D363="Banyak",'B.kriteria &amp; R.kecocokan'!$C$23,D363="Cukup",'B.kriteria &amp; R.kecocokan'!$C$24,D363="Sedikit",'B.kriteria &amp; R.kecocokan'!$C$25)</f>
        <v>7.5</v>
      </c>
      <c r="F363" s="9" t="str">
        <f>'B.kriteria &amp; R.kecocokan'!$B$34</f>
        <v>Tinggi</v>
      </c>
      <c r="G363" s="8">
        <f>_xlfn.IFS(F363="Tinggi",'B.kriteria &amp; R.kecocokan'!$C$34,F363="Sangat Tinggi",'B.kriteria &amp; R.kecocokan'!$C$35)</f>
        <v>7.5</v>
      </c>
      <c r="H363" s="9" t="str">
        <f>'B.kriteria &amp; R.kecocokan'!$B$43</f>
        <v>Tinggi</v>
      </c>
      <c r="I363" s="8">
        <f>_xlfn.IFS(H363="Rendah",'B.kriteria &amp; R.kecocokan'!$C$41,H363="Sedang",'B.kriteria &amp; R.kecocokan'!$C$42,H363="Tinggi",'B.kriteria &amp; R.kecocokan'!$C$43)</f>
        <v>7.5</v>
      </c>
      <c r="J363" s="8" t="str">
        <f>'B.kriteria &amp; R.kecocokan'!$B$72</f>
        <v>Rendah</v>
      </c>
      <c r="K363" s="8">
        <f>_xlfn.IFS(J363="Rendah",'B.kriteria &amp; R.kecocokan'!$C$72,J363="Sedang",'B.kriteria &amp; R.kecocokan'!$C$73,J363="Tinggi",'B.kriteria &amp; R.kecocokan'!$C$74)</f>
        <v>2.5</v>
      </c>
      <c r="L363" s="8" t="str">
        <f>'B.kriteria &amp; R.kecocokan'!$B$95</f>
        <v>Rendah</v>
      </c>
      <c r="M363" s="8">
        <f>_xlfn.IFS(L363="Rendah",'B.kriteria &amp; R.kecocokan'!$C$95,L363="Tinggi",'B.kriteria &amp; R.kecocokan'!$C$96)</f>
        <v>2.5</v>
      </c>
      <c r="N363" s="9" t="str">
        <f>'B.kriteria &amp; R.kecocokan'!$B$81</f>
        <v>Tinggi</v>
      </c>
      <c r="O363" s="8">
        <f>_xlfn.IFS(N363="Rendah",'B.kriteria &amp; R.kecocokan'!$C$80,N363="Tinggi",'B.kriteria &amp; R.kecocokan'!$C$81)</f>
        <v>7.5</v>
      </c>
      <c r="P363" s="9" t="str">
        <f>'B.kriteria &amp; R.kecocokan'!$B$90</f>
        <v>Sangat Sedikit</v>
      </c>
      <c r="Q363" s="8">
        <f>_xlfn.IFS(P363="Sedikit",'B.kriteria &amp; R.kecocokan'!$C$89,P363="Sedang",'B.kriteria &amp; R.kecocokan'!$C$88,P363="Sangat Sedikit",'B.kriteria &amp; R.kecocokan'!$C$90)</f>
        <v>1</v>
      </c>
      <c r="R363" s="8" t="str">
        <f>'B.kriteria &amp; R.kecocokan'!$B$49</f>
        <v>Rendah</v>
      </c>
      <c r="S363" s="8">
        <f>_xlfn.IFS(R363="Rendah",'B.kriteria &amp; R.kecocokan'!$C$49,R363="Sedang",'B.kriteria &amp; R.kecocokan'!$C$50,R363="Tinggi",'B.kriteria &amp; R.kecocokan'!$C$51)</f>
        <v>2.5</v>
      </c>
      <c r="T363" s="8" t="str">
        <f>'B.kriteria &amp; R.kecocokan'!$B$57</f>
        <v>Rendah</v>
      </c>
      <c r="U363" s="51">
        <f>_xlfn.IFS(T363="Rendah",'B.kriteria &amp; R.kecocokan'!$C$57,T363="Sedang",'B.kriteria &amp; R.kecocokan'!$C$58,T363="Tinggi",'B.kriteria &amp; R.kecocokan'!$C$59)</f>
        <v>2.5</v>
      </c>
      <c r="V363" s="51" t="str">
        <f>'B.kriteria &amp; R.kecocokan'!$B$65</f>
        <v>Rendah</v>
      </c>
      <c r="W363" s="9">
        <f>_xlfn.IFS(V363="Rendah",'B.kriteria &amp; R.kecocokan'!$C$65,V363="Sedang",'B.kriteria &amp; R.kecocokan'!$C$66,V363="Tinggi",'B.kriteria &amp; R.kecocokan'!$C$67)</f>
        <v>1</v>
      </c>
      <c r="X363" s="117">
        <f t="shared" si="34"/>
        <v>5.0406304459433118</v>
      </c>
      <c r="Y363" s="117">
        <f t="shared" si="35"/>
        <v>7.6714904756487714</v>
      </c>
      <c r="Z363" s="119">
        <f t="shared" si="36"/>
        <v>5.0406304459433118</v>
      </c>
      <c r="AA363" s="52" t="str">
        <f t="shared" si="37"/>
        <v>Layak</v>
      </c>
      <c r="AB363" s="55" t="s">
        <v>347</v>
      </c>
    </row>
    <row r="364" spans="1:28" x14ac:dyDescent="0.35">
      <c r="A364" s="5">
        <v>39</v>
      </c>
      <c r="B364" s="2" t="s">
        <v>87</v>
      </c>
      <c r="C364" s="11" t="s">
        <v>13</v>
      </c>
      <c r="D364" s="9" t="str">
        <f>'B.kriteria &amp; R.kecocokan'!$B$25</f>
        <v>Sedikit</v>
      </c>
      <c r="E364" s="111">
        <f>_xlfn.IFS(D364="Banyak",'B.kriteria &amp; R.kecocokan'!$C$23,D364="Cukup",'B.kriteria &amp; R.kecocokan'!$C$24,D364="Sedikit",'B.kriteria &amp; R.kecocokan'!$C$25)</f>
        <v>7.5</v>
      </c>
      <c r="F364" s="9" t="str">
        <f>'B.kriteria &amp; R.kecocokan'!$B$34</f>
        <v>Tinggi</v>
      </c>
      <c r="G364" s="8">
        <f>_xlfn.IFS(F364="Tinggi",'B.kriteria &amp; R.kecocokan'!$C$34,F364="Sangat Tinggi",'B.kriteria &amp; R.kecocokan'!$C$35)</f>
        <v>7.5</v>
      </c>
      <c r="H364" s="8" t="str">
        <f>'B.kriteria &amp; R.kecocokan'!$B$41</f>
        <v>Rendah</v>
      </c>
      <c r="I364" s="8">
        <f>_xlfn.IFS(H364="Rendah",'B.kriteria &amp; R.kecocokan'!$C$41,H364="Sedang",'B.kriteria &amp; R.kecocokan'!$C$42,H364="Tinggi",'B.kriteria &amp; R.kecocokan'!$C$43)</f>
        <v>2.5</v>
      </c>
      <c r="J364" s="8" t="str">
        <f>'B.kriteria &amp; R.kecocokan'!$B$72</f>
        <v>Rendah</v>
      </c>
      <c r="K364" s="8">
        <f>_xlfn.IFS(J364="Rendah",'B.kriteria &amp; R.kecocokan'!$C$72,J364="Sedang",'B.kriteria &amp; R.kecocokan'!$C$73,J364="Tinggi",'B.kriteria &amp; R.kecocokan'!$C$74)</f>
        <v>2.5</v>
      </c>
      <c r="L364" s="8" t="str">
        <f>'B.kriteria &amp; R.kecocokan'!$B$95</f>
        <v>Rendah</v>
      </c>
      <c r="M364" s="8">
        <f>_xlfn.IFS(L364="Rendah",'B.kriteria &amp; R.kecocokan'!$C$95,L364="Tinggi",'B.kriteria &amp; R.kecocokan'!$C$96)</f>
        <v>2.5</v>
      </c>
      <c r="N364" s="9" t="str">
        <f>'B.kriteria &amp; R.kecocokan'!$B$81</f>
        <v>Tinggi</v>
      </c>
      <c r="O364" s="8">
        <f>_xlfn.IFS(N364="Rendah",'B.kriteria &amp; R.kecocokan'!$C$80,N364="Tinggi",'B.kriteria &amp; R.kecocokan'!$C$81)</f>
        <v>7.5</v>
      </c>
      <c r="P364" s="9" t="str">
        <f>'B.kriteria &amp; R.kecocokan'!$B$90</f>
        <v>Sangat Sedikit</v>
      </c>
      <c r="Q364" s="8">
        <f>_xlfn.IFS(P364="Sedikit",'B.kriteria &amp; R.kecocokan'!$C$89,P364="Sedang",'B.kriteria &amp; R.kecocokan'!$C$88,P364="Sangat Sedikit",'B.kriteria &amp; R.kecocokan'!$C$90)</f>
        <v>1</v>
      </c>
      <c r="R364" s="8" t="str">
        <f>'B.kriteria &amp; R.kecocokan'!$B$49</f>
        <v>Rendah</v>
      </c>
      <c r="S364" s="8">
        <f>_xlfn.IFS(R364="Rendah",'B.kriteria &amp; R.kecocokan'!$C$49,R364="Sedang",'B.kriteria &amp; R.kecocokan'!$C$50,R364="Tinggi",'B.kriteria &amp; R.kecocokan'!$C$51)</f>
        <v>2.5</v>
      </c>
      <c r="T364" s="8" t="str">
        <f>'B.kriteria &amp; R.kecocokan'!$B$57</f>
        <v>Rendah</v>
      </c>
      <c r="U364" s="51">
        <f>_xlfn.IFS(T364="Rendah",'B.kriteria &amp; R.kecocokan'!$C$57,T364="Sedang",'B.kriteria &amp; R.kecocokan'!$C$58,T364="Tinggi",'B.kriteria &amp; R.kecocokan'!$C$59)</f>
        <v>2.5</v>
      </c>
      <c r="V364" s="51" t="str">
        <f>'B.kriteria &amp; R.kecocokan'!$B$65</f>
        <v>Rendah</v>
      </c>
      <c r="W364" s="9">
        <f>_xlfn.IFS(V364="Rendah",'B.kriteria &amp; R.kecocokan'!$C$65,V364="Sedang",'B.kriteria &amp; R.kecocokan'!$C$66,V364="Tinggi",'B.kriteria &amp; R.kecocokan'!$C$67)</f>
        <v>1</v>
      </c>
      <c r="X364" s="117">
        <f t="shared" si="34"/>
        <v>2.0625491845588853</v>
      </c>
      <c r="Y364" s="117">
        <f t="shared" si="35"/>
        <v>6.4233304076138902</v>
      </c>
      <c r="Z364" s="119">
        <f t="shared" si="36"/>
        <v>2.0625491845588853</v>
      </c>
      <c r="AA364" s="52" t="str">
        <f t="shared" si="37"/>
        <v>Layak</v>
      </c>
      <c r="AB364" s="55" t="s">
        <v>347</v>
      </c>
    </row>
    <row r="365" spans="1:28" x14ac:dyDescent="0.35">
      <c r="A365" s="5">
        <v>40</v>
      </c>
      <c r="B365" s="2" t="s">
        <v>88</v>
      </c>
      <c r="C365" s="11" t="s">
        <v>13</v>
      </c>
      <c r="D365" s="32" t="str">
        <f>'B.kriteria &amp; R.kecocokan'!$B$24</f>
        <v>Cukup</v>
      </c>
      <c r="E365" s="111">
        <f>_xlfn.IFS(D365="Banyak",'B.kriteria &amp; R.kecocokan'!$C$23,D365="Cukup",'B.kriteria &amp; R.kecocokan'!$C$24,D365="Sedikit",'B.kriteria &amp; R.kecocokan'!$C$25)</f>
        <v>5</v>
      </c>
      <c r="F365" s="9" t="str">
        <f>'B.kriteria &amp; R.kecocokan'!$B$34</f>
        <v>Tinggi</v>
      </c>
      <c r="G365" s="8">
        <f>_xlfn.IFS(F365="Tinggi",'B.kriteria &amp; R.kecocokan'!$C$34,F365="Sangat Tinggi",'B.kriteria &amp; R.kecocokan'!$C$35)</f>
        <v>7.5</v>
      </c>
      <c r="H365" s="9" t="str">
        <f>'B.kriteria &amp; R.kecocokan'!$B$43</f>
        <v>Tinggi</v>
      </c>
      <c r="I365" s="8">
        <f>_xlfn.IFS(H365="Rendah",'B.kriteria &amp; R.kecocokan'!$C$41,H365="Sedang",'B.kriteria &amp; R.kecocokan'!$C$42,H365="Tinggi",'B.kriteria &amp; R.kecocokan'!$C$43)</f>
        <v>7.5</v>
      </c>
      <c r="J365" s="8" t="str">
        <f>'B.kriteria &amp; R.kecocokan'!$B$72</f>
        <v>Rendah</v>
      </c>
      <c r="K365" s="8">
        <f>_xlfn.IFS(J365="Rendah",'B.kriteria &amp; R.kecocokan'!$C$72,J365="Sedang",'B.kriteria &amp; R.kecocokan'!$C$73,J365="Tinggi",'B.kriteria &amp; R.kecocokan'!$C$74)</f>
        <v>2.5</v>
      </c>
      <c r="L365" s="8" t="str">
        <f>'B.kriteria &amp; R.kecocokan'!$B$95</f>
        <v>Rendah</v>
      </c>
      <c r="M365" s="8">
        <f>_xlfn.IFS(L365="Rendah",'B.kriteria &amp; R.kecocokan'!$C$95,L365="Tinggi",'B.kriteria &amp; R.kecocokan'!$C$96)</f>
        <v>2.5</v>
      </c>
      <c r="N365" s="8" t="str">
        <f>'B.kriteria &amp; R.kecocokan'!$B$80</f>
        <v>Rendah</v>
      </c>
      <c r="O365" s="8">
        <f>_xlfn.IFS(N365="Rendah",'B.kriteria &amp; R.kecocokan'!$C$80,N365="Tinggi",'B.kriteria &amp; R.kecocokan'!$C$81)</f>
        <v>2.5</v>
      </c>
      <c r="P365" s="9" t="str">
        <f>'B.kriteria &amp; R.kecocokan'!$B$88</f>
        <v>Sedang</v>
      </c>
      <c r="Q365" s="8">
        <f>_xlfn.IFS(P365="Sedikit",'B.kriteria &amp; R.kecocokan'!$C$89,P365="Sedang",'B.kriteria &amp; R.kecocokan'!$C$88,P365="Sangat Sedikit",'B.kriteria &amp; R.kecocokan'!$C$90)</f>
        <v>5</v>
      </c>
      <c r="R365" s="8" t="str">
        <f>'B.kriteria &amp; R.kecocokan'!$B$49</f>
        <v>Rendah</v>
      </c>
      <c r="S365" s="8">
        <f>_xlfn.IFS(R365="Rendah",'B.kriteria &amp; R.kecocokan'!$C$49,R365="Sedang",'B.kriteria &amp; R.kecocokan'!$C$50,R365="Tinggi",'B.kriteria &amp; R.kecocokan'!$C$51)</f>
        <v>2.5</v>
      </c>
      <c r="T365" s="8" t="str">
        <f>'B.kriteria &amp; R.kecocokan'!$B$57</f>
        <v>Rendah</v>
      </c>
      <c r="U365" s="51">
        <f>_xlfn.IFS(T365="Rendah",'B.kriteria &amp; R.kecocokan'!$C$57,T365="Sedang",'B.kriteria &amp; R.kecocokan'!$C$58,T365="Tinggi",'B.kriteria &amp; R.kecocokan'!$C$59)</f>
        <v>2.5</v>
      </c>
      <c r="V365" s="51" t="str">
        <f>'B.kriteria &amp; R.kecocokan'!$B$65</f>
        <v>Rendah</v>
      </c>
      <c r="W365" s="9">
        <f>_xlfn.IFS(V365="Rendah",'B.kriteria &amp; R.kecocokan'!$C$65,V365="Sedang",'B.kriteria &amp; R.kecocokan'!$C$66,V365="Tinggi",'B.kriteria &amp; R.kecocokan'!$C$67)</f>
        <v>1</v>
      </c>
      <c r="X365" s="117">
        <f t="shared" si="34"/>
        <v>7.9697509152761494</v>
      </c>
      <c r="Y365" s="117">
        <f t="shared" si="35"/>
        <v>4.6017214379016798</v>
      </c>
      <c r="Z365" s="119">
        <f t="shared" si="36"/>
        <v>4.6017214379016798</v>
      </c>
      <c r="AA365" s="52" t="str">
        <f t="shared" si="37"/>
        <v>Tidak Layak</v>
      </c>
      <c r="AB365" s="55" t="s">
        <v>347</v>
      </c>
    </row>
    <row r="366" spans="1:28" x14ac:dyDescent="0.35">
      <c r="A366" s="1">
        <v>41</v>
      </c>
      <c r="B366" s="2" t="s">
        <v>89</v>
      </c>
      <c r="C366" s="11" t="s">
        <v>13</v>
      </c>
      <c r="D366" s="9" t="str">
        <f>'B.kriteria &amp; R.kecocokan'!$B$23</f>
        <v>Banyak</v>
      </c>
      <c r="E366" s="111">
        <f>_xlfn.IFS(D366="Banyak",'B.kriteria &amp; R.kecocokan'!$C$23,D366="Cukup",'B.kriteria &amp; R.kecocokan'!$C$24,D366="Sedikit",'B.kriteria &amp; R.kecocokan'!$C$25)</f>
        <v>2.5</v>
      </c>
      <c r="F366" s="9" t="str">
        <f>'B.kriteria &amp; R.kecocokan'!$B$34</f>
        <v>Tinggi</v>
      </c>
      <c r="G366" s="8">
        <f>_xlfn.IFS(F366="Tinggi",'B.kriteria &amp; R.kecocokan'!$C$34,F366="Sangat Tinggi",'B.kriteria &amp; R.kecocokan'!$C$35)</f>
        <v>7.5</v>
      </c>
      <c r="H366" s="8" t="str">
        <f>'B.kriteria &amp; R.kecocokan'!$B$41</f>
        <v>Rendah</v>
      </c>
      <c r="I366" s="8">
        <f>_xlfn.IFS(H366="Rendah",'B.kriteria &amp; R.kecocokan'!$C$41,H366="Sedang",'B.kriteria &amp; R.kecocokan'!$C$42,H366="Tinggi",'B.kriteria &amp; R.kecocokan'!$C$43)</f>
        <v>2.5</v>
      </c>
      <c r="J366" s="8" t="str">
        <f>'B.kriteria &amp; R.kecocokan'!$B$72</f>
        <v>Rendah</v>
      </c>
      <c r="K366" s="8">
        <f>_xlfn.IFS(J366="Rendah",'B.kriteria &amp; R.kecocokan'!$C$72,J366="Sedang",'B.kriteria &amp; R.kecocokan'!$C$73,J366="Tinggi",'B.kriteria &amp; R.kecocokan'!$C$74)</f>
        <v>2.5</v>
      </c>
      <c r="L366" s="8" t="str">
        <f>'B.kriteria &amp; R.kecocokan'!$B$95</f>
        <v>Rendah</v>
      </c>
      <c r="M366" s="8">
        <f>_xlfn.IFS(L366="Rendah",'B.kriteria &amp; R.kecocokan'!$C$95,L366="Tinggi",'B.kriteria &amp; R.kecocokan'!$C$96)</f>
        <v>2.5</v>
      </c>
      <c r="N366" s="9" t="str">
        <f>'B.kriteria &amp; R.kecocokan'!$B$81</f>
        <v>Tinggi</v>
      </c>
      <c r="O366" s="8">
        <f>_xlfn.IFS(N366="Rendah",'B.kriteria &amp; R.kecocokan'!$C$80,N366="Tinggi",'B.kriteria &amp; R.kecocokan'!$C$81)</f>
        <v>7.5</v>
      </c>
      <c r="P366" s="9" t="str">
        <f>'B.kriteria &amp; R.kecocokan'!$B$90</f>
        <v>Sangat Sedikit</v>
      </c>
      <c r="Q366" s="8">
        <f>_xlfn.IFS(P366="Sedikit",'B.kriteria &amp; R.kecocokan'!$C$89,P366="Sedang",'B.kriteria &amp; R.kecocokan'!$C$88,P366="Sangat Sedikit",'B.kriteria &amp; R.kecocokan'!$C$90)</f>
        <v>1</v>
      </c>
      <c r="R366" s="8" t="str">
        <f>'B.kriteria &amp; R.kecocokan'!$B$49</f>
        <v>Rendah</v>
      </c>
      <c r="S366" s="8">
        <f>_xlfn.IFS(R366="Rendah",'B.kriteria &amp; R.kecocokan'!$C$49,R366="Sedang",'B.kriteria &amp; R.kecocokan'!$C$50,R366="Tinggi",'B.kriteria &amp; R.kecocokan'!$C$51)</f>
        <v>2.5</v>
      </c>
      <c r="T366" s="8" t="str">
        <f>'B.kriteria &amp; R.kecocokan'!$B$57</f>
        <v>Rendah</v>
      </c>
      <c r="U366" s="51">
        <f>_xlfn.IFS(T366="Rendah",'B.kriteria &amp; R.kecocokan'!$C$57,T366="Sedang",'B.kriteria &amp; R.kecocokan'!$C$58,T366="Tinggi",'B.kriteria &amp; R.kecocokan'!$C$59)</f>
        <v>2.5</v>
      </c>
      <c r="V366" s="51" t="str">
        <f>'B.kriteria &amp; R.kecocokan'!$B$65</f>
        <v>Rendah</v>
      </c>
      <c r="W366" s="9">
        <f>_xlfn.IFS(V366="Rendah",'B.kriteria &amp; R.kecocokan'!$C$65,V366="Sedang",'B.kriteria &amp; R.kecocokan'!$C$66,V366="Tinggi",'B.kriteria &amp; R.kecocokan'!$C$67)</f>
        <v>1</v>
      </c>
      <c r="X366" s="117">
        <f t="shared" si="34"/>
        <v>4.2844688400417414</v>
      </c>
      <c r="Y366" s="117">
        <f t="shared" si="35"/>
        <v>6.052234620018262</v>
      </c>
      <c r="Z366" s="119">
        <f t="shared" si="36"/>
        <v>4.2844688400417414</v>
      </c>
      <c r="AA366" s="52" t="str">
        <f t="shared" si="37"/>
        <v>Layak</v>
      </c>
      <c r="AB366" s="55" t="s">
        <v>347</v>
      </c>
    </row>
    <row r="367" spans="1:28" x14ac:dyDescent="0.35">
      <c r="A367" s="5">
        <v>42</v>
      </c>
      <c r="B367" s="2" t="s">
        <v>91</v>
      </c>
      <c r="C367" s="11" t="s">
        <v>92</v>
      </c>
      <c r="D367" s="28" t="str">
        <f>'B.kriteria &amp; R.kecocokan'!$B$25</f>
        <v>Sedikit</v>
      </c>
      <c r="E367" s="111">
        <f>_xlfn.IFS(D367="Banyak",'B.kriteria &amp; R.kecocokan'!$C$23,D367="Cukup",'B.kriteria &amp; R.kecocokan'!$C$24,D367="Sedikit",'B.kriteria &amp; R.kecocokan'!$C$25)</f>
        <v>7.5</v>
      </c>
      <c r="F367" s="9" t="str">
        <f>'B.kriteria &amp; R.kecocokan'!$B$34</f>
        <v>Tinggi</v>
      </c>
      <c r="G367" s="8">
        <f>_xlfn.IFS(F367="Tinggi",'B.kriteria &amp; R.kecocokan'!$C$34,F367="Sangat Tinggi",'B.kriteria &amp; R.kecocokan'!$C$35)</f>
        <v>7.5</v>
      </c>
      <c r="H367" s="8" t="str">
        <f>'B.kriteria &amp; R.kecocokan'!$B$41</f>
        <v>Rendah</v>
      </c>
      <c r="I367" s="8">
        <f>_xlfn.IFS(H367="Rendah",'B.kriteria &amp; R.kecocokan'!$C$41,H367="Sedang",'B.kriteria &amp; R.kecocokan'!$C$42,H367="Tinggi",'B.kriteria &amp; R.kecocokan'!$C$43)</f>
        <v>2.5</v>
      </c>
      <c r="J367" s="8" t="str">
        <f>'B.kriteria &amp; R.kecocokan'!$B$72</f>
        <v>Rendah</v>
      </c>
      <c r="K367" s="8">
        <f>_xlfn.IFS(J367="Rendah",'B.kriteria &amp; R.kecocokan'!$C$72,J367="Sedang",'B.kriteria &amp; R.kecocokan'!$C$73,J367="Tinggi",'B.kriteria &amp; R.kecocokan'!$C$74)</f>
        <v>2.5</v>
      </c>
      <c r="L367" s="8" t="str">
        <f>'B.kriteria &amp; R.kecocokan'!$B$95</f>
        <v>Rendah</v>
      </c>
      <c r="M367" s="8">
        <f>_xlfn.IFS(L367="Rendah",'B.kriteria &amp; R.kecocokan'!$C$95,L367="Tinggi",'B.kriteria &amp; R.kecocokan'!$C$96)</f>
        <v>2.5</v>
      </c>
      <c r="N367" s="9" t="str">
        <f>'B.kriteria &amp; R.kecocokan'!$B$81</f>
        <v>Tinggi</v>
      </c>
      <c r="O367" s="8">
        <f>_xlfn.IFS(N367="Rendah",'B.kriteria &amp; R.kecocokan'!$C$80,N367="Tinggi",'B.kriteria &amp; R.kecocokan'!$C$81)</f>
        <v>7.5</v>
      </c>
      <c r="P367" s="9" t="str">
        <f>'B.kriteria &amp; R.kecocokan'!$B$88</f>
        <v>Sedang</v>
      </c>
      <c r="Q367" s="8">
        <f>_xlfn.IFS(P367="Sedikit",'B.kriteria &amp; R.kecocokan'!$C$89,P367="Sedang",'B.kriteria &amp; R.kecocokan'!$C$88,P367="Sangat Sedikit",'B.kriteria &amp; R.kecocokan'!$C$90)</f>
        <v>5</v>
      </c>
      <c r="R367" s="9" t="str">
        <f>'B.kriteria &amp; R.kecocokan'!$B$50</f>
        <v>Sedang</v>
      </c>
      <c r="S367" s="8">
        <f>_xlfn.IFS(R367="Rendah",'B.kriteria &amp; R.kecocokan'!$C$49,R367="Sedang",'B.kriteria &amp; R.kecocokan'!$C$50,R367="Tinggi",'B.kriteria &amp; R.kecocokan'!$C$51)</f>
        <v>5</v>
      </c>
      <c r="T367" s="8" t="str">
        <f>'B.kriteria &amp; R.kecocokan'!$B$57</f>
        <v>Rendah</v>
      </c>
      <c r="U367" s="51">
        <f>_xlfn.IFS(T367="Rendah",'B.kriteria &amp; R.kecocokan'!$C$57,T367="Sedang",'B.kriteria &amp; R.kecocokan'!$C$58,T367="Tinggi",'B.kriteria &amp; R.kecocokan'!$C$59)</f>
        <v>2.5</v>
      </c>
      <c r="V367" s="51" t="str">
        <f>'B.kriteria &amp; R.kecocokan'!$B$65</f>
        <v>Rendah</v>
      </c>
      <c r="W367" s="9">
        <f>_xlfn.IFS(V367="Rendah",'B.kriteria &amp; R.kecocokan'!$C$65,V367="Sedang",'B.kriteria &amp; R.kecocokan'!$C$66,V367="Tinggi",'B.kriteria &amp; R.kecocokan'!$C$67)</f>
        <v>1</v>
      </c>
      <c r="X367" s="117">
        <f t="shared" si="34"/>
        <v>4.3549566703083258</v>
      </c>
      <c r="Y367" s="117">
        <f t="shared" si="35"/>
        <v>6.5877205780350243</v>
      </c>
      <c r="Z367" s="119">
        <f t="shared" si="36"/>
        <v>4.3549566703083258</v>
      </c>
      <c r="AA367" s="52" t="str">
        <f t="shared" si="37"/>
        <v>Layak</v>
      </c>
      <c r="AB367" s="55" t="s">
        <v>349</v>
      </c>
    </row>
    <row r="368" spans="1:28" x14ac:dyDescent="0.35">
      <c r="A368" s="5">
        <v>43</v>
      </c>
      <c r="B368" s="2" t="s">
        <v>94</v>
      </c>
      <c r="C368" s="11" t="s">
        <v>95</v>
      </c>
      <c r="D368" s="28" t="str">
        <f>'B.kriteria &amp; R.kecocokan'!$B$25</f>
        <v>Sedikit</v>
      </c>
      <c r="E368" s="111">
        <f>_xlfn.IFS(D368="Banyak",'B.kriteria &amp; R.kecocokan'!$C$23,D368="Cukup",'B.kriteria &amp; R.kecocokan'!$C$24,D368="Sedikit",'B.kriteria &amp; R.kecocokan'!$C$25)</f>
        <v>7.5</v>
      </c>
      <c r="F368" s="9" t="str">
        <f>'B.kriteria &amp; R.kecocokan'!$B$34</f>
        <v>Tinggi</v>
      </c>
      <c r="G368" s="8">
        <f>_xlfn.IFS(F368="Tinggi",'B.kriteria &amp; R.kecocokan'!$C$34,F368="Sangat Tinggi",'B.kriteria &amp; R.kecocokan'!$C$35)</f>
        <v>7.5</v>
      </c>
      <c r="H368" s="8" t="str">
        <f>'B.kriteria &amp; R.kecocokan'!$B$41</f>
        <v>Rendah</v>
      </c>
      <c r="I368" s="8">
        <f>_xlfn.IFS(H368="Rendah",'B.kriteria &amp; R.kecocokan'!$C$41,H368="Sedang",'B.kriteria &amp; R.kecocokan'!$C$42,H368="Tinggi",'B.kriteria &amp; R.kecocokan'!$C$43)</f>
        <v>2.5</v>
      </c>
      <c r="J368" s="8" t="str">
        <f>'B.kriteria &amp; R.kecocokan'!$B$72</f>
        <v>Rendah</v>
      </c>
      <c r="K368" s="8">
        <f>_xlfn.IFS(J368="Rendah",'B.kriteria &amp; R.kecocokan'!$C$72,J368="Sedang",'B.kriteria &amp; R.kecocokan'!$C$73,J368="Tinggi",'B.kriteria &amp; R.kecocokan'!$C$74)</f>
        <v>2.5</v>
      </c>
      <c r="L368" s="8" t="str">
        <f>'B.kriteria &amp; R.kecocokan'!$B$95</f>
        <v>Rendah</v>
      </c>
      <c r="M368" s="8">
        <f>_xlfn.IFS(L368="Rendah",'B.kriteria &amp; R.kecocokan'!$C$95,L368="Tinggi",'B.kriteria &amp; R.kecocokan'!$C$96)</f>
        <v>2.5</v>
      </c>
      <c r="N368" s="8" t="str">
        <f>'B.kriteria &amp; R.kecocokan'!$B$80</f>
        <v>Rendah</v>
      </c>
      <c r="O368" s="8">
        <f>_xlfn.IFS(N368="Rendah",'B.kriteria &amp; R.kecocokan'!$C$80,N368="Tinggi",'B.kriteria &amp; R.kecocokan'!$C$81)</f>
        <v>2.5</v>
      </c>
      <c r="P368" s="9" t="str">
        <f>'B.kriteria &amp; R.kecocokan'!$B$90</f>
        <v>Sangat Sedikit</v>
      </c>
      <c r="Q368" s="8">
        <f>_xlfn.IFS(P368="Sedikit",'B.kriteria &amp; R.kecocokan'!$C$89,P368="Sedang",'B.kriteria &amp; R.kecocokan'!$C$88,P368="Sangat Sedikit",'B.kriteria &amp; R.kecocokan'!$C$90)</f>
        <v>1</v>
      </c>
      <c r="R368" s="8" t="str">
        <f>'B.kriteria &amp; R.kecocokan'!$B$49</f>
        <v>Rendah</v>
      </c>
      <c r="S368" s="8">
        <f>_xlfn.IFS(R368="Rendah",'B.kriteria &amp; R.kecocokan'!$C$49,R368="Sedang",'B.kriteria &amp; R.kecocokan'!$C$50,R368="Tinggi",'B.kriteria &amp; R.kecocokan'!$C$51)</f>
        <v>2.5</v>
      </c>
      <c r="T368" s="8" t="str">
        <f>'B.kriteria &amp; R.kecocokan'!$B$57</f>
        <v>Rendah</v>
      </c>
      <c r="U368" s="51">
        <f>_xlfn.IFS(T368="Rendah",'B.kriteria &amp; R.kecocokan'!$C$57,T368="Sedang",'B.kriteria &amp; R.kecocokan'!$C$58,T368="Tinggi",'B.kriteria &amp; R.kecocokan'!$C$59)</f>
        <v>2.5</v>
      </c>
      <c r="V368" s="51" t="str">
        <f>'B.kriteria &amp; R.kecocokan'!$B$65</f>
        <v>Rendah</v>
      </c>
      <c r="W368" s="9">
        <f>_xlfn.IFS(V368="Rendah",'B.kriteria &amp; R.kecocokan'!$C$65,V368="Sedang",'B.kriteria &amp; R.kecocokan'!$C$66,V368="Tinggi",'B.kriteria &amp; R.kecocokan'!$C$67)</f>
        <v>1</v>
      </c>
      <c r="X368" s="117">
        <f t="shared" si="34"/>
        <v>5.4087067898643317</v>
      </c>
      <c r="Y368" s="117">
        <f t="shared" si="35"/>
        <v>3.9157690942458934</v>
      </c>
      <c r="Z368" s="119">
        <f t="shared" si="36"/>
        <v>3.9157690942458934</v>
      </c>
      <c r="AA368" s="52" t="str">
        <f t="shared" si="37"/>
        <v>Tidak Layak</v>
      </c>
      <c r="AB368" s="55" t="s">
        <v>347</v>
      </c>
    </row>
    <row r="369" spans="1:28" x14ac:dyDescent="0.35">
      <c r="A369" s="1">
        <v>44</v>
      </c>
      <c r="B369" s="2" t="s">
        <v>96</v>
      </c>
      <c r="C369" s="11" t="s">
        <v>95</v>
      </c>
      <c r="D369" s="28" t="str">
        <f>'B.kriteria &amp; R.kecocokan'!$B$25</f>
        <v>Sedikit</v>
      </c>
      <c r="E369" s="111">
        <f>_xlfn.IFS(D369="Banyak",'B.kriteria &amp; R.kecocokan'!$C$23,D369="Cukup",'B.kriteria &amp; R.kecocokan'!$C$24,D369="Sedikit",'B.kriteria &amp; R.kecocokan'!$C$25)</f>
        <v>7.5</v>
      </c>
      <c r="F369" s="9" t="str">
        <f>'B.kriteria &amp; R.kecocokan'!$B$35</f>
        <v>Sangat Tinggi</v>
      </c>
      <c r="G369" s="8">
        <f>_xlfn.IFS(F369="Tinggi",'B.kriteria &amp; R.kecocokan'!$C$34,F369="Sangat Tinggi",'B.kriteria &amp; R.kecocokan'!$C$35)</f>
        <v>10</v>
      </c>
      <c r="H369" s="8" t="str">
        <f>'B.kriteria &amp; R.kecocokan'!$B$41</f>
        <v>Rendah</v>
      </c>
      <c r="I369" s="8">
        <f>_xlfn.IFS(H369="Rendah",'B.kriteria &amp; R.kecocokan'!$C$41,H369="Sedang",'B.kriteria &amp; R.kecocokan'!$C$42,H369="Tinggi",'B.kriteria &amp; R.kecocokan'!$C$43)</f>
        <v>2.5</v>
      </c>
      <c r="J369" s="8" t="str">
        <f>'B.kriteria &amp; R.kecocokan'!$B$72</f>
        <v>Rendah</v>
      </c>
      <c r="K369" s="8">
        <f>_xlfn.IFS(J369="Rendah",'B.kriteria &amp; R.kecocokan'!$C$72,J369="Sedang",'B.kriteria &amp; R.kecocokan'!$C$73,J369="Tinggi",'B.kriteria &amp; R.kecocokan'!$C$74)</f>
        <v>2.5</v>
      </c>
      <c r="L369" s="8" t="str">
        <f>'B.kriteria &amp; R.kecocokan'!$B$95</f>
        <v>Rendah</v>
      </c>
      <c r="M369" s="8">
        <f>_xlfn.IFS(L369="Rendah",'B.kriteria &amp; R.kecocokan'!$C$95,L369="Tinggi",'B.kriteria &amp; R.kecocokan'!$C$96)</f>
        <v>2.5</v>
      </c>
      <c r="N369" s="9" t="str">
        <f>'B.kriteria &amp; R.kecocokan'!$B$81</f>
        <v>Tinggi</v>
      </c>
      <c r="O369" s="8">
        <f>_xlfn.IFS(N369="Rendah",'B.kriteria &amp; R.kecocokan'!$C$80,N369="Tinggi",'B.kriteria &amp; R.kecocokan'!$C$81)</f>
        <v>7.5</v>
      </c>
      <c r="P369" s="9" t="str">
        <f>'B.kriteria &amp; R.kecocokan'!$B$90</f>
        <v>Sangat Sedikit</v>
      </c>
      <c r="Q369" s="8">
        <f>_xlfn.IFS(P369="Sedikit",'B.kriteria &amp; R.kecocokan'!$C$89,P369="Sedang",'B.kriteria &amp; R.kecocokan'!$C$88,P369="Sangat Sedikit",'B.kriteria &amp; R.kecocokan'!$C$90)</f>
        <v>1</v>
      </c>
      <c r="R369" s="9" t="str">
        <f>'B.kriteria &amp; R.kecocokan'!$B$50</f>
        <v>Sedang</v>
      </c>
      <c r="S369" s="8">
        <f>_xlfn.IFS(R369="Rendah",'B.kriteria &amp; R.kecocokan'!$C$49,R369="Sedang",'B.kriteria &amp; R.kecocokan'!$C$50,R369="Tinggi",'B.kriteria &amp; R.kecocokan'!$C$51)</f>
        <v>5</v>
      </c>
      <c r="T369" s="9" t="str">
        <f>'B.kriteria &amp; R.kecocokan'!$B$59</f>
        <v>Tinggi</v>
      </c>
      <c r="U369" s="51">
        <f>_xlfn.IFS(T369="Rendah",'B.kriteria &amp; R.kecocokan'!$C$57,T369="Sedang",'B.kriteria &amp; R.kecocokan'!$C$58,T369="Tinggi",'B.kriteria &amp; R.kecocokan'!$C$59)</f>
        <v>7.5</v>
      </c>
      <c r="V369" s="51" t="str">
        <f>'B.kriteria &amp; R.kecocokan'!$B$65</f>
        <v>Rendah</v>
      </c>
      <c r="W369" s="9">
        <f>_xlfn.IFS(V369="Rendah",'B.kriteria &amp; R.kecocokan'!$C$65,V369="Sedang",'B.kriteria &amp; R.kecocokan'!$C$66,V369="Tinggi",'B.kriteria &amp; R.kecocokan'!$C$67)</f>
        <v>1</v>
      </c>
      <c r="X369" s="117">
        <f t="shared" si="34"/>
        <v>4.7119875941520126</v>
      </c>
      <c r="Y369" s="117">
        <f t="shared" si="35"/>
        <v>8.5423730010074017</v>
      </c>
      <c r="Z369" s="119">
        <f t="shared" si="36"/>
        <v>4.7119875941520126</v>
      </c>
      <c r="AA369" s="52" t="str">
        <f t="shared" si="37"/>
        <v>Layak</v>
      </c>
      <c r="AB369" s="55" t="s">
        <v>349</v>
      </c>
    </row>
    <row r="370" spans="1:28" x14ac:dyDescent="0.35">
      <c r="A370" s="5">
        <v>45</v>
      </c>
      <c r="B370" s="2" t="s">
        <v>98</v>
      </c>
      <c r="C370" s="11" t="s">
        <v>95</v>
      </c>
      <c r="D370" s="32" t="str">
        <f>'B.kriteria &amp; R.kecocokan'!$B$24</f>
        <v>Cukup</v>
      </c>
      <c r="E370" s="111">
        <f>_xlfn.IFS(D370="Banyak",'B.kriteria &amp; R.kecocokan'!$C$23,D370="Cukup",'B.kriteria &amp; R.kecocokan'!$C$24,D370="Sedikit",'B.kriteria &amp; R.kecocokan'!$C$25)</f>
        <v>5</v>
      </c>
      <c r="F370" s="9" t="str">
        <f>'B.kriteria &amp; R.kecocokan'!$B$34</f>
        <v>Tinggi</v>
      </c>
      <c r="G370" s="8">
        <f>_xlfn.IFS(F370="Tinggi",'B.kriteria &amp; R.kecocokan'!$C$34,F370="Sangat Tinggi",'B.kriteria &amp; R.kecocokan'!$C$35)</f>
        <v>7.5</v>
      </c>
      <c r="H370" s="8" t="str">
        <f>'B.kriteria &amp; R.kecocokan'!$B$41</f>
        <v>Rendah</v>
      </c>
      <c r="I370" s="8">
        <f>_xlfn.IFS(H370="Rendah",'B.kriteria &amp; R.kecocokan'!$C$41,H370="Sedang",'B.kriteria &amp; R.kecocokan'!$C$42,H370="Tinggi",'B.kriteria &amp; R.kecocokan'!$C$43)</f>
        <v>2.5</v>
      </c>
      <c r="J370" s="8" t="str">
        <f>'B.kriteria &amp; R.kecocokan'!$B$72</f>
        <v>Rendah</v>
      </c>
      <c r="K370" s="8">
        <f>_xlfn.IFS(J370="Rendah",'B.kriteria &amp; R.kecocokan'!$C$72,J370="Sedang",'B.kriteria &amp; R.kecocokan'!$C$73,J370="Tinggi",'B.kriteria &amp; R.kecocokan'!$C$74)</f>
        <v>2.5</v>
      </c>
      <c r="L370" s="8" t="str">
        <f>'B.kriteria &amp; R.kecocokan'!$B$95</f>
        <v>Rendah</v>
      </c>
      <c r="M370" s="8">
        <f>_xlfn.IFS(L370="Rendah",'B.kriteria &amp; R.kecocokan'!$C$95,L370="Tinggi",'B.kriteria &amp; R.kecocokan'!$C$96)</f>
        <v>2.5</v>
      </c>
      <c r="N370" s="9" t="str">
        <f>'B.kriteria &amp; R.kecocokan'!$B$81</f>
        <v>Tinggi</v>
      </c>
      <c r="O370" s="8">
        <f>_xlfn.IFS(N370="Rendah",'B.kriteria &amp; R.kecocokan'!$C$80,N370="Tinggi",'B.kriteria &amp; R.kecocokan'!$C$81)</f>
        <v>7.5</v>
      </c>
      <c r="P370" s="9" t="str">
        <f>'B.kriteria &amp; R.kecocokan'!$B$90</f>
        <v>Sangat Sedikit</v>
      </c>
      <c r="Q370" s="8">
        <f>_xlfn.IFS(P370="Sedikit",'B.kriteria &amp; R.kecocokan'!$C$89,P370="Sedang",'B.kriteria &amp; R.kecocokan'!$C$88,P370="Sangat Sedikit",'B.kriteria &amp; R.kecocokan'!$C$90)</f>
        <v>1</v>
      </c>
      <c r="R370" s="8" t="str">
        <f>'B.kriteria &amp; R.kecocokan'!$B$49</f>
        <v>Rendah</v>
      </c>
      <c r="S370" s="8">
        <f>_xlfn.IFS(R370="Rendah",'B.kriteria &amp; R.kecocokan'!$C$49,R370="Sedang",'B.kriteria &amp; R.kecocokan'!$C$50,R370="Tinggi",'B.kriteria &amp; R.kecocokan'!$C$51)</f>
        <v>2.5</v>
      </c>
      <c r="T370" s="8" t="str">
        <f>'B.kriteria &amp; R.kecocokan'!$B$57</f>
        <v>Rendah</v>
      </c>
      <c r="U370" s="51">
        <f>_xlfn.IFS(T370="Rendah",'B.kriteria &amp; R.kecocokan'!$C$57,T370="Sedang",'B.kriteria &amp; R.kecocokan'!$C$58,T370="Tinggi",'B.kriteria &amp; R.kecocokan'!$C$59)</f>
        <v>2.5</v>
      </c>
      <c r="V370" s="51" t="str">
        <f>'B.kriteria &amp; R.kecocokan'!$B$65</f>
        <v>Rendah</v>
      </c>
      <c r="W370" s="9">
        <f>_xlfn.IFS(V370="Rendah",'B.kriteria &amp; R.kecocokan'!$C$65,V370="Sedang",'B.kriteria &amp; R.kecocokan'!$C$66,V370="Tinggi",'B.kriteria &amp; R.kecocokan'!$C$67)</f>
        <v>1</v>
      </c>
      <c r="X370" s="117">
        <f t="shared" si="34"/>
        <v>2.2484197094863263</v>
      </c>
      <c r="Y370" s="117">
        <f t="shared" si="35"/>
        <v>5.7178981024990652</v>
      </c>
      <c r="Z370" s="119">
        <f t="shared" si="36"/>
        <v>2.2484197094863263</v>
      </c>
      <c r="AA370" s="52" t="str">
        <f t="shared" si="37"/>
        <v>Layak</v>
      </c>
      <c r="AB370" s="55" t="s">
        <v>347</v>
      </c>
    </row>
    <row r="371" spans="1:28" x14ac:dyDescent="0.35">
      <c r="A371" s="5">
        <v>46</v>
      </c>
      <c r="B371" s="2" t="s">
        <v>100</v>
      </c>
      <c r="C371" s="11" t="s">
        <v>92</v>
      </c>
      <c r="D371" s="32" t="str">
        <f>'B.kriteria &amp; R.kecocokan'!$B$24</f>
        <v>Cukup</v>
      </c>
      <c r="E371" s="111">
        <f>_xlfn.IFS(D371="Banyak",'B.kriteria &amp; R.kecocokan'!$C$23,D371="Cukup",'B.kriteria &amp; R.kecocokan'!$C$24,D371="Sedikit",'B.kriteria &amp; R.kecocokan'!$C$25)</f>
        <v>5</v>
      </c>
      <c r="F371" s="9" t="str">
        <f>'B.kriteria &amp; R.kecocokan'!$B$34</f>
        <v>Tinggi</v>
      </c>
      <c r="G371" s="8">
        <f>_xlfn.IFS(F371="Tinggi",'B.kriteria &amp; R.kecocokan'!$C$34,F371="Sangat Tinggi",'B.kriteria &amp; R.kecocokan'!$C$35)</f>
        <v>7.5</v>
      </c>
      <c r="H371" s="8" t="str">
        <f>'B.kriteria &amp; R.kecocokan'!$B$41</f>
        <v>Rendah</v>
      </c>
      <c r="I371" s="8">
        <f>_xlfn.IFS(H371="Rendah",'B.kriteria &amp; R.kecocokan'!$C$41,H371="Sedang",'B.kriteria &amp; R.kecocokan'!$C$42,H371="Tinggi",'B.kriteria &amp; R.kecocokan'!$C$43)</f>
        <v>2.5</v>
      </c>
      <c r="J371" s="8" t="str">
        <f>'B.kriteria &amp; R.kecocokan'!$B$72</f>
        <v>Rendah</v>
      </c>
      <c r="K371" s="8">
        <f>_xlfn.IFS(J371="Rendah",'B.kriteria &amp; R.kecocokan'!$C$72,J371="Sedang",'B.kriteria &amp; R.kecocokan'!$C$73,J371="Tinggi",'B.kriteria &amp; R.kecocokan'!$C$74)</f>
        <v>2.5</v>
      </c>
      <c r="L371" s="8" t="str">
        <f>'B.kriteria &amp; R.kecocokan'!$B$95</f>
        <v>Rendah</v>
      </c>
      <c r="M371" s="8">
        <f>_xlfn.IFS(L371="Rendah",'B.kriteria &amp; R.kecocokan'!$C$95,L371="Tinggi",'B.kriteria &amp; R.kecocokan'!$C$96)</f>
        <v>2.5</v>
      </c>
      <c r="N371" s="8" t="str">
        <f>'B.kriteria &amp; R.kecocokan'!$B$80</f>
        <v>Rendah</v>
      </c>
      <c r="O371" s="8">
        <f>_xlfn.IFS(N371="Rendah",'B.kriteria &amp; R.kecocokan'!$C$80,N371="Tinggi",'B.kriteria &amp; R.kecocokan'!$C$81)</f>
        <v>2.5</v>
      </c>
      <c r="P371" s="9" t="str">
        <f>'B.kriteria &amp; R.kecocokan'!$B$88</f>
        <v>Sedang</v>
      </c>
      <c r="Q371" s="8">
        <f>_xlfn.IFS(P371="Sedikit",'B.kriteria &amp; R.kecocokan'!$C$89,P371="Sedang",'B.kriteria &amp; R.kecocokan'!$C$88,P371="Sangat Sedikit",'B.kriteria &amp; R.kecocokan'!$C$90)</f>
        <v>5</v>
      </c>
      <c r="R371" s="8" t="str">
        <f>'B.kriteria &amp; R.kecocokan'!$B$49</f>
        <v>Rendah</v>
      </c>
      <c r="S371" s="8">
        <f>_xlfn.IFS(R371="Rendah",'B.kriteria &amp; R.kecocokan'!$C$49,R371="Sedang",'B.kriteria &amp; R.kecocokan'!$C$50,R371="Tinggi",'B.kriteria &amp; R.kecocokan'!$C$51)</f>
        <v>2.5</v>
      </c>
      <c r="T371" s="8" t="str">
        <f>'B.kriteria &amp; R.kecocokan'!$B$57</f>
        <v>Rendah</v>
      </c>
      <c r="U371" s="51">
        <f>_xlfn.IFS(T371="Rendah",'B.kriteria &amp; R.kecocokan'!$C$57,T371="Sedang",'B.kriteria &amp; R.kecocokan'!$C$58,T371="Tinggi",'B.kriteria &amp; R.kecocokan'!$C$59)</f>
        <v>2.5</v>
      </c>
      <c r="V371" s="51" t="str">
        <f>'B.kriteria &amp; R.kecocokan'!$B$65</f>
        <v>Rendah</v>
      </c>
      <c r="W371" s="9">
        <f>_xlfn.IFS(V371="Rendah",'B.kriteria &amp; R.kecocokan'!$C$65,V371="Sedang",'B.kriteria &amp; R.kecocokan'!$C$66,V371="Tinggi",'B.kriteria &amp; R.kecocokan'!$C$67)</f>
        <v>1</v>
      </c>
      <c r="X371" s="117">
        <f t="shared" si="34"/>
        <v>6.5086929177599764</v>
      </c>
      <c r="Y371" s="117">
        <f t="shared" si="35"/>
        <v>1.8929468031223968</v>
      </c>
      <c r="Z371" s="119">
        <f t="shared" si="36"/>
        <v>1.8929468031223968</v>
      </c>
      <c r="AA371" s="52" t="str">
        <f t="shared" si="37"/>
        <v>Tidak Layak</v>
      </c>
      <c r="AB371" s="55" t="s">
        <v>347</v>
      </c>
    </row>
    <row r="372" spans="1:28" x14ac:dyDescent="0.35">
      <c r="A372" s="1">
        <v>47</v>
      </c>
      <c r="B372" s="2" t="s">
        <v>101</v>
      </c>
      <c r="C372" s="11" t="s">
        <v>92</v>
      </c>
      <c r="D372" s="28" t="str">
        <f>'B.kriteria &amp; R.kecocokan'!$B$25</f>
        <v>Sedikit</v>
      </c>
      <c r="E372" s="111">
        <f>_xlfn.IFS(D372="Banyak",'B.kriteria &amp; R.kecocokan'!$C$23,D372="Cukup",'B.kriteria &amp; R.kecocokan'!$C$24,D372="Sedikit",'B.kriteria &amp; R.kecocokan'!$C$25)</f>
        <v>7.5</v>
      </c>
      <c r="F372" s="9" t="str">
        <f>'B.kriteria &amp; R.kecocokan'!$B$34</f>
        <v>Tinggi</v>
      </c>
      <c r="G372" s="8">
        <f>_xlfn.IFS(F372="Tinggi",'B.kriteria &amp; R.kecocokan'!$C$34,F372="Sangat Tinggi",'B.kriteria &amp; R.kecocokan'!$C$35)</f>
        <v>7.5</v>
      </c>
      <c r="H372" s="8" t="str">
        <f>'B.kriteria &amp; R.kecocokan'!$B$41</f>
        <v>Rendah</v>
      </c>
      <c r="I372" s="8">
        <f>_xlfn.IFS(H372="Rendah",'B.kriteria &amp; R.kecocokan'!$C$41,H372="Sedang",'B.kriteria &amp; R.kecocokan'!$C$42,H372="Tinggi",'B.kriteria &amp; R.kecocokan'!$C$43)</f>
        <v>2.5</v>
      </c>
      <c r="J372" s="8" t="str">
        <f>'B.kriteria &amp; R.kecocokan'!$B$72</f>
        <v>Rendah</v>
      </c>
      <c r="K372" s="8">
        <f>_xlfn.IFS(J372="Rendah",'B.kriteria &amp; R.kecocokan'!$C$72,J372="Sedang",'B.kriteria &amp; R.kecocokan'!$C$73,J372="Tinggi",'B.kriteria &amp; R.kecocokan'!$C$74)</f>
        <v>2.5</v>
      </c>
      <c r="L372" s="8" t="str">
        <f>'B.kriteria &amp; R.kecocokan'!$B$95</f>
        <v>Rendah</v>
      </c>
      <c r="M372" s="8">
        <f>_xlfn.IFS(L372="Rendah",'B.kriteria &amp; R.kecocokan'!$C$95,L372="Tinggi",'B.kriteria &amp; R.kecocokan'!$C$96)</f>
        <v>2.5</v>
      </c>
      <c r="N372" s="9" t="str">
        <f>'B.kriteria &amp; R.kecocokan'!$B$81</f>
        <v>Tinggi</v>
      </c>
      <c r="O372" s="8">
        <f>_xlfn.IFS(N372="Rendah",'B.kriteria &amp; R.kecocokan'!$C$80,N372="Tinggi",'B.kriteria &amp; R.kecocokan'!$C$81)</f>
        <v>7.5</v>
      </c>
      <c r="P372" s="9" t="str">
        <f>'B.kriteria &amp; R.kecocokan'!$B$90</f>
        <v>Sangat Sedikit</v>
      </c>
      <c r="Q372" s="8">
        <f>_xlfn.IFS(P372="Sedikit",'B.kriteria &amp; R.kecocokan'!$C$89,P372="Sedang",'B.kriteria &amp; R.kecocokan'!$C$88,P372="Sangat Sedikit",'B.kriteria &amp; R.kecocokan'!$C$90)</f>
        <v>1</v>
      </c>
      <c r="R372" s="8" t="str">
        <f>'B.kriteria &amp; R.kecocokan'!$B$49</f>
        <v>Rendah</v>
      </c>
      <c r="S372" s="8">
        <f>_xlfn.IFS(R372="Rendah",'B.kriteria &amp; R.kecocokan'!$C$49,R372="Sedang",'B.kriteria &amp; R.kecocokan'!$C$50,R372="Tinggi",'B.kriteria &amp; R.kecocokan'!$C$51)</f>
        <v>2.5</v>
      </c>
      <c r="T372" s="8" t="str">
        <f>'B.kriteria &amp; R.kecocokan'!$B$57</f>
        <v>Rendah</v>
      </c>
      <c r="U372" s="51">
        <f>_xlfn.IFS(T372="Rendah",'B.kriteria &amp; R.kecocokan'!$C$57,T372="Sedang",'B.kriteria &amp; R.kecocokan'!$C$58,T372="Tinggi",'B.kriteria &amp; R.kecocokan'!$C$59)</f>
        <v>2.5</v>
      </c>
      <c r="V372" s="51" t="str">
        <f>'B.kriteria &amp; R.kecocokan'!$B$65</f>
        <v>Rendah</v>
      </c>
      <c r="W372" s="9">
        <f>_xlfn.IFS(V372="Rendah",'B.kriteria &amp; R.kecocokan'!$C$65,V372="Sedang",'B.kriteria &amp; R.kecocokan'!$C$66,V372="Tinggi",'B.kriteria &amp; R.kecocokan'!$C$67)</f>
        <v>1</v>
      </c>
      <c r="X372" s="117">
        <f t="shared" si="34"/>
        <v>2.0625491845588853</v>
      </c>
      <c r="Y372" s="117">
        <f t="shared" si="35"/>
        <v>6.4233304076138902</v>
      </c>
      <c r="Z372" s="119">
        <f t="shared" si="36"/>
        <v>2.0625491845588853</v>
      </c>
      <c r="AA372" s="52" t="str">
        <f t="shared" si="37"/>
        <v>Layak</v>
      </c>
      <c r="AB372" s="55" t="s">
        <v>347</v>
      </c>
    </row>
    <row r="373" spans="1:28" x14ac:dyDescent="0.35">
      <c r="A373" s="5">
        <v>48</v>
      </c>
      <c r="B373" s="2" t="s">
        <v>102</v>
      </c>
      <c r="C373" s="11" t="s">
        <v>95</v>
      </c>
      <c r="D373" s="32" t="str">
        <f>'B.kriteria &amp; R.kecocokan'!$B$24</f>
        <v>Cukup</v>
      </c>
      <c r="E373" s="111">
        <f>_xlfn.IFS(D373="Banyak",'B.kriteria &amp; R.kecocokan'!$C$23,D373="Cukup",'B.kriteria &amp; R.kecocokan'!$C$24,D373="Sedikit",'B.kriteria &amp; R.kecocokan'!$C$25)</f>
        <v>5</v>
      </c>
      <c r="F373" s="9" t="str">
        <f>'B.kriteria &amp; R.kecocokan'!$B$34</f>
        <v>Tinggi</v>
      </c>
      <c r="G373" s="8">
        <f>_xlfn.IFS(F373="Tinggi",'B.kriteria &amp; R.kecocokan'!$C$34,F373="Sangat Tinggi",'B.kriteria &amp; R.kecocokan'!$C$35)</f>
        <v>7.5</v>
      </c>
      <c r="H373" s="8" t="str">
        <f>'B.kriteria &amp; R.kecocokan'!$B$41</f>
        <v>Rendah</v>
      </c>
      <c r="I373" s="8">
        <f>_xlfn.IFS(H373="Rendah",'B.kriteria &amp; R.kecocokan'!$C$41,H373="Sedang",'B.kriteria &amp; R.kecocokan'!$C$42,H373="Tinggi",'B.kriteria &amp; R.kecocokan'!$C$43)</f>
        <v>2.5</v>
      </c>
      <c r="J373" s="8" t="str">
        <f>'B.kriteria &amp; R.kecocokan'!$B$72</f>
        <v>Rendah</v>
      </c>
      <c r="K373" s="8">
        <f>_xlfn.IFS(J373="Rendah",'B.kriteria &amp; R.kecocokan'!$C$72,J373="Sedang",'B.kriteria &amp; R.kecocokan'!$C$73,J373="Tinggi",'B.kriteria &amp; R.kecocokan'!$C$74)</f>
        <v>2.5</v>
      </c>
      <c r="L373" s="8" t="str">
        <f>'B.kriteria &amp; R.kecocokan'!$B$95</f>
        <v>Rendah</v>
      </c>
      <c r="M373" s="8">
        <f>_xlfn.IFS(L373="Rendah",'B.kriteria &amp; R.kecocokan'!$C$95,L373="Tinggi",'B.kriteria &amp; R.kecocokan'!$C$96)</f>
        <v>2.5</v>
      </c>
      <c r="N373" s="8" t="str">
        <f>'B.kriteria &amp; R.kecocokan'!$B$80</f>
        <v>Rendah</v>
      </c>
      <c r="O373" s="8">
        <f>_xlfn.IFS(N373="Rendah",'B.kriteria &amp; R.kecocokan'!$C$80,N373="Tinggi",'B.kriteria &amp; R.kecocokan'!$C$81)</f>
        <v>2.5</v>
      </c>
      <c r="P373" s="8" t="str">
        <f>'B.kriteria &amp; R.kecocokan'!$B$89</f>
        <v>Sedikit</v>
      </c>
      <c r="Q373" s="8">
        <f>_xlfn.IFS(P373="Sedikit",'B.kriteria &amp; R.kecocokan'!$C$89,P373="Sedang",'B.kriteria &amp; R.kecocokan'!$C$88,P373="Sangat Sedikit",'B.kriteria &amp; R.kecocokan'!$C$90)</f>
        <v>2.5</v>
      </c>
      <c r="R373" s="8" t="str">
        <f>'B.kriteria &amp; R.kecocokan'!$B$49</f>
        <v>Rendah</v>
      </c>
      <c r="S373" s="8">
        <f>_xlfn.IFS(R373="Rendah",'B.kriteria &amp; R.kecocokan'!$C$49,R373="Sedang",'B.kriteria &amp; R.kecocokan'!$C$50,R373="Tinggi",'B.kriteria &amp; R.kecocokan'!$C$51)</f>
        <v>2.5</v>
      </c>
      <c r="T373" s="8" t="str">
        <f>'B.kriteria &amp; R.kecocokan'!$B$57</f>
        <v>Rendah</v>
      </c>
      <c r="U373" s="51">
        <f>_xlfn.IFS(T373="Rendah",'B.kriteria &amp; R.kecocokan'!$C$57,T373="Sedang",'B.kriteria &amp; R.kecocokan'!$C$58,T373="Tinggi",'B.kriteria &amp; R.kecocokan'!$C$59)</f>
        <v>2.5</v>
      </c>
      <c r="V373" s="51" t="str">
        <f>'B.kriteria &amp; R.kecocokan'!$B$65</f>
        <v>Rendah</v>
      </c>
      <c r="W373" s="9">
        <f>_xlfn.IFS(V373="Rendah",'B.kriteria &amp; R.kecocokan'!$C$65,V373="Sedang",'B.kriteria &amp; R.kecocokan'!$C$66,V373="Tinggi",'B.kriteria &amp; R.kecocokan'!$C$67)</f>
        <v>1</v>
      </c>
      <c r="X373" s="117">
        <f t="shared" si="34"/>
        <v>5.5606452687967058</v>
      </c>
      <c r="Y373" s="117">
        <f t="shared" si="35"/>
        <v>1.3505511246124837</v>
      </c>
      <c r="Z373" s="119">
        <f t="shared" si="36"/>
        <v>1.3505511246124837</v>
      </c>
      <c r="AA373" s="52" t="str">
        <f t="shared" si="37"/>
        <v>Tidak Layak</v>
      </c>
      <c r="AB373" s="55" t="s">
        <v>347</v>
      </c>
    </row>
    <row r="374" spans="1:28" x14ac:dyDescent="0.35">
      <c r="A374" s="5">
        <v>49</v>
      </c>
      <c r="B374" s="2" t="s">
        <v>104</v>
      </c>
      <c r="C374" s="11" t="s">
        <v>92</v>
      </c>
      <c r="D374" s="28" t="str">
        <f>'B.kriteria &amp; R.kecocokan'!$B$25</f>
        <v>Sedikit</v>
      </c>
      <c r="E374" s="111">
        <f>_xlfn.IFS(D374="Banyak",'B.kriteria &amp; R.kecocokan'!$C$23,D374="Cukup",'B.kriteria &amp; R.kecocokan'!$C$24,D374="Sedikit",'B.kriteria &amp; R.kecocokan'!$C$25)</f>
        <v>7.5</v>
      </c>
      <c r="F374" s="9" t="str">
        <f>'B.kriteria &amp; R.kecocokan'!$B$35</f>
        <v>Sangat Tinggi</v>
      </c>
      <c r="G374" s="8">
        <f>_xlfn.IFS(F374="Tinggi",'B.kriteria &amp; R.kecocokan'!$C$34,F374="Sangat Tinggi",'B.kriteria &amp; R.kecocokan'!$C$35)</f>
        <v>10</v>
      </c>
      <c r="H374" s="8" t="str">
        <f>'B.kriteria &amp; R.kecocokan'!$B$41</f>
        <v>Rendah</v>
      </c>
      <c r="I374" s="8">
        <f>_xlfn.IFS(H374="Rendah",'B.kriteria &amp; R.kecocokan'!$C$41,H374="Sedang",'B.kriteria &amp; R.kecocokan'!$C$42,H374="Tinggi",'B.kriteria &amp; R.kecocokan'!$C$43)</f>
        <v>2.5</v>
      </c>
      <c r="J374" s="8" t="str">
        <f>'B.kriteria &amp; R.kecocokan'!$B$72</f>
        <v>Rendah</v>
      </c>
      <c r="K374" s="8">
        <f>_xlfn.IFS(J374="Rendah",'B.kriteria &amp; R.kecocokan'!$C$72,J374="Sedang",'B.kriteria &amp; R.kecocokan'!$C$73,J374="Tinggi",'B.kriteria &amp; R.kecocokan'!$C$74)</f>
        <v>2.5</v>
      </c>
      <c r="L374" s="8" t="str">
        <f>'B.kriteria &amp; R.kecocokan'!$B$95</f>
        <v>Rendah</v>
      </c>
      <c r="M374" s="8">
        <f>_xlfn.IFS(L374="Rendah",'B.kriteria &amp; R.kecocokan'!$C$95,L374="Tinggi",'B.kriteria &amp; R.kecocokan'!$C$96)</f>
        <v>2.5</v>
      </c>
      <c r="N374" s="9" t="str">
        <f>'B.kriteria &amp; R.kecocokan'!$B$81</f>
        <v>Tinggi</v>
      </c>
      <c r="O374" s="8">
        <f>_xlfn.IFS(N374="Rendah",'B.kriteria &amp; R.kecocokan'!$C$80,N374="Tinggi",'B.kriteria &amp; R.kecocokan'!$C$81)</f>
        <v>7.5</v>
      </c>
      <c r="P374" s="9" t="str">
        <f>'B.kriteria &amp; R.kecocokan'!$B$90</f>
        <v>Sangat Sedikit</v>
      </c>
      <c r="Q374" s="8">
        <f>_xlfn.IFS(P374="Sedikit",'B.kriteria &amp; R.kecocokan'!$C$89,P374="Sedang",'B.kriteria &amp; R.kecocokan'!$C$88,P374="Sangat Sedikit",'B.kriteria &amp; R.kecocokan'!$C$90)</f>
        <v>1</v>
      </c>
      <c r="R374" s="8" t="str">
        <f>'B.kriteria &amp; R.kecocokan'!$B$49</f>
        <v>Rendah</v>
      </c>
      <c r="S374" s="8">
        <f>_xlfn.IFS(R374="Rendah",'B.kriteria &amp; R.kecocokan'!$C$49,R374="Sedang",'B.kriteria &amp; R.kecocokan'!$C$50,R374="Tinggi",'B.kriteria &amp; R.kecocokan'!$C$51)</f>
        <v>2.5</v>
      </c>
      <c r="T374" s="8" t="str">
        <f>'B.kriteria &amp; R.kecocokan'!$B$57</f>
        <v>Rendah</v>
      </c>
      <c r="U374" s="51">
        <f>_xlfn.IFS(T374="Rendah",'B.kriteria &amp; R.kecocokan'!$C$57,T374="Sedang",'B.kriteria &amp; R.kecocokan'!$C$58,T374="Tinggi",'B.kriteria &amp; R.kecocokan'!$C$59)</f>
        <v>2.5</v>
      </c>
      <c r="V374" s="51" t="str">
        <f>'B.kriteria &amp; R.kecocokan'!$B$65</f>
        <v>Rendah</v>
      </c>
      <c r="W374" s="9">
        <f>_xlfn.IFS(V374="Rendah",'B.kriteria &amp; R.kecocokan'!$C$65,V374="Sedang",'B.kriteria &amp; R.kecocokan'!$C$66,V374="Tinggi",'B.kriteria &amp; R.kecocokan'!$C$67)</f>
        <v>1</v>
      </c>
      <c r="X374" s="117">
        <f t="shared" si="34"/>
        <v>2.5174277491236672</v>
      </c>
      <c r="Y374" s="117">
        <f t="shared" si="35"/>
        <v>6.8421289874521349</v>
      </c>
      <c r="Z374" s="119">
        <f t="shared" si="36"/>
        <v>2.5174277491236672</v>
      </c>
      <c r="AA374" s="52" t="str">
        <f t="shared" si="37"/>
        <v>Layak</v>
      </c>
      <c r="AB374" s="55" t="s">
        <v>349</v>
      </c>
    </row>
    <row r="375" spans="1:28" x14ac:dyDescent="0.35">
      <c r="A375" s="1">
        <v>50</v>
      </c>
      <c r="B375" s="2" t="s">
        <v>105</v>
      </c>
      <c r="C375" s="11" t="s">
        <v>92</v>
      </c>
      <c r="D375" s="28" t="str">
        <f>'B.kriteria &amp; R.kecocokan'!$B$25</f>
        <v>Sedikit</v>
      </c>
      <c r="E375" s="111">
        <f>_xlfn.IFS(D375="Banyak",'B.kriteria &amp; R.kecocokan'!$C$23,D375="Cukup",'B.kriteria &amp; R.kecocokan'!$C$24,D375="Sedikit",'B.kriteria &amp; R.kecocokan'!$C$25)</f>
        <v>7.5</v>
      </c>
      <c r="F375" s="9" t="str">
        <f>'B.kriteria &amp; R.kecocokan'!$B$34</f>
        <v>Tinggi</v>
      </c>
      <c r="G375" s="8">
        <f>_xlfn.IFS(F375="Tinggi",'B.kriteria &amp; R.kecocokan'!$C$34,F375="Sangat Tinggi",'B.kriteria &amp; R.kecocokan'!$C$35)</f>
        <v>7.5</v>
      </c>
      <c r="H375" s="8" t="str">
        <f>'B.kriteria &amp; R.kecocokan'!$B$41</f>
        <v>Rendah</v>
      </c>
      <c r="I375" s="8">
        <f>_xlfn.IFS(H375="Rendah",'B.kriteria &amp; R.kecocokan'!$C$41,H375="Sedang",'B.kriteria &amp; R.kecocokan'!$C$42,H375="Tinggi",'B.kriteria &amp; R.kecocokan'!$C$43)</f>
        <v>2.5</v>
      </c>
      <c r="J375" s="8" t="str">
        <f>'B.kriteria &amp; R.kecocokan'!$B$72</f>
        <v>Rendah</v>
      </c>
      <c r="K375" s="8">
        <f>_xlfn.IFS(J375="Rendah",'B.kriteria &amp; R.kecocokan'!$C$72,J375="Sedang",'B.kriteria &amp; R.kecocokan'!$C$73,J375="Tinggi",'B.kriteria &amp; R.kecocokan'!$C$74)</f>
        <v>2.5</v>
      </c>
      <c r="L375" s="8" t="str">
        <f>'B.kriteria &amp; R.kecocokan'!$B$95</f>
        <v>Rendah</v>
      </c>
      <c r="M375" s="8">
        <f>_xlfn.IFS(L375="Rendah",'B.kriteria &amp; R.kecocokan'!$C$95,L375="Tinggi",'B.kriteria &amp; R.kecocokan'!$C$96)</f>
        <v>2.5</v>
      </c>
      <c r="N375" s="8" t="str">
        <f>'B.kriteria &amp; R.kecocokan'!$B$80</f>
        <v>Rendah</v>
      </c>
      <c r="O375" s="8">
        <f>_xlfn.IFS(N375="Rendah",'B.kriteria &amp; R.kecocokan'!$C$80,N375="Tinggi",'B.kriteria &amp; R.kecocokan'!$C$81)</f>
        <v>2.5</v>
      </c>
      <c r="P375" s="9" t="str">
        <f>'B.kriteria &amp; R.kecocokan'!$B$88</f>
        <v>Sedang</v>
      </c>
      <c r="Q375" s="8">
        <f>_xlfn.IFS(P375="Sedikit",'B.kriteria &amp; R.kecocokan'!$C$89,P375="Sedang",'B.kriteria &amp; R.kecocokan'!$C$88,P375="Sangat Sedikit",'B.kriteria &amp; R.kecocokan'!$C$90)</f>
        <v>5</v>
      </c>
      <c r="R375" s="9" t="str">
        <f>'B.kriteria &amp; R.kecocokan'!$B$50</f>
        <v>Sedang</v>
      </c>
      <c r="S375" s="8">
        <f>_xlfn.IFS(R375="Rendah",'B.kriteria &amp; R.kecocokan'!$C$49,R375="Sedang",'B.kriteria &amp; R.kecocokan'!$C$50,R375="Tinggi",'B.kriteria &amp; R.kecocokan'!$C$51)</f>
        <v>5</v>
      </c>
      <c r="T375" s="9" t="str">
        <f>'B.kriteria &amp; R.kecocokan'!$B$59</f>
        <v>Tinggi</v>
      </c>
      <c r="U375" s="51">
        <f>_xlfn.IFS(T375="Rendah",'B.kriteria &amp; R.kecocokan'!$C$57,T375="Sedang",'B.kriteria &amp; R.kecocokan'!$C$58,T375="Tinggi",'B.kriteria &amp; R.kecocokan'!$C$59)</f>
        <v>7.5</v>
      </c>
      <c r="V375" s="51" t="str">
        <f>'B.kriteria &amp; R.kecocokan'!$B$65</f>
        <v>Rendah</v>
      </c>
      <c r="W375" s="9">
        <f>_xlfn.IFS(V375="Rendah",'B.kriteria &amp; R.kecocokan'!$C$65,V375="Sedang",'B.kriteria &amp; R.kecocokan'!$C$66,V375="Tinggi",'B.kriteria &amp; R.kecocokan'!$C$67)</f>
        <v>1</v>
      </c>
      <c r="X375" s="117">
        <f t="shared" si="34"/>
        <v>7.5780727142065247</v>
      </c>
      <c r="Y375" s="117">
        <f t="shared" si="35"/>
        <v>6.1891412830596719</v>
      </c>
      <c r="Z375" s="119">
        <f t="shared" si="36"/>
        <v>6.1891412830596719</v>
      </c>
      <c r="AA375" s="52" t="str">
        <f t="shared" si="37"/>
        <v>Tidak Layak</v>
      </c>
      <c r="AB375" s="55" t="s">
        <v>349</v>
      </c>
    </row>
    <row r="376" spans="1:28" x14ac:dyDescent="0.35">
      <c r="A376" s="5">
        <v>51</v>
      </c>
      <c r="B376" s="2" t="s">
        <v>106</v>
      </c>
      <c r="C376" s="11" t="s">
        <v>92</v>
      </c>
      <c r="D376" s="28" t="str">
        <f>'B.kriteria &amp; R.kecocokan'!$B$25</f>
        <v>Sedikit</v>
      </c>
      <c r="E376" s="111">
        <f>_xlfn.IFS(D376="Banyak",'B.kriteria &amp; R.kecocokan'!$C$23,D376="Cukup",'B.kriteria &amp; R.kecocokan'!$C$24,D376="Sedikit",'B.kriteria &amp; R.kecocokan'!$C$25)</f>
        <v>7.5</v>
      </c>
      <c r="F376" s="9" t="str">
        <f>'B.kriteria &amp; R.kecocokan'!$B$34</f>
        <v>Tinggi</v>
      </c>
      <c r="G376" s="8">
        <f>_xlfn.IFS(F376="Tinggi",'B.kriteria &amp; R.kecocokan'!$C$34,F376="Sangat Tinggi",'B.kriteria &amp; R.kecocokan'!$C$35)</f>
        <v>7.5</v>
      </c>
      <c r="H376" s="8" t="str">
        <f>'B.kriteria &amp; R.kecocokan'!$B$41</f>
        <v>Rendah</v>
      </c>
      <c r="I376" s="8">
        <f>_xlfn.IFS(H376="Rendah",'B.kriteria &amp; R.kecocokan'!$C$41,H376="Sedang",'B.kriteria &amp; R.kecocokan'!$C$42,H376="Tinggi",'B.kriteria &amp; R.kecocokan'!$C$43)</f>
        <v>2.5</v>
      </c>
      <c r="J376" s="8" t="str">
        <f>'B.kriteria &amp; R.kecocokan'!$B$72</f>
        <v>Rendah</v>
      </c>
      <c r="K376" s="8">
        <f>_xlfn.IFS(J376="Rendah",'B.kriteria &amp; R.kecocokan'!$C$72,J376="Sedang",'B.kriteria &amp; R.kecocokan'!$C$73,J376="Tinggi",'B.kriteria &amp; R.kecocokan'!$C$74)</f>
        <v>2.5</v>
      </c>
      <c r="L376" s="8" t="str">
        <f>'B.kriteria &amp; R.kecocokan'!$B$95</f>
        <v>Rendah</v>
      </c>
      <c r="M376" s="8">
        <f>_xlfn.IFS(L376="Rendah",'B.kriteria &amp; R.kecocokan'!$C$95,L376="Tinggi",'B.kriteria &amp; R.kecocokan'!$C$96)</f>
        <v>2.5</v>
      </c>
      <c r="N376" s="8" t="str">
        <f>'B.kriteria &amp; R.kecocokan'!$B$80</f>
        <v>Rendah</v>
      </c>
      <c r="O376" s="8">
        <f>_xlfn.IFS(N376="Rendah",'B.kriteria &amp; R.kecocokan'!$C$80,N376="Tinggi",'B.kriteria &amp; R.kecocokan'!$C$81)</f>
        <v>2.5</v>
      </c>
      <c r="P376" s="9" t="str">
        <f>'B.kriteria &amp; R.kecocokan'!$B$88</f>
        <v>Sedang</v>
      </c>
      <c r="Q376" s="8">
        <f>_xlfn.IFS(P376="Sedikit",'B.kriteria &amp; R.kecocokan'!$C$89,P376="Sedang",'B.kriteria &amp; R.kecocokan'!$C$88,P376="Sangat Sedikit",'B.kriteria &amp; R.kecocokan'!$C$90)</f>
        <v>5</v>
      </c>
      <c r="R376" s="8" t="str">
        <f>'B.kriteria &amp; R.kecocokan'!$B$49</f>
        <v>Rendah</v>
      </c>
      <c r="S376" s="8">
        <f>_xlfn.IFS(R376="Rendah",'B.kriteria &amp; R.kecocokan'!$C$49,R376="Sedang",'B.kriteria &amp; R.kecocokan'!$C$50,R376="Tinggi",'B.kriteria &amp; R.kecocokan'!$C$51)</f>
        <v>2.5</v>
      </c>
      <c r="T376" s="9" t="str">
        <f>'B.kriteria &amp; R.kecocokan'!$B$58</f>
        <v>Sedang</v>
      </c>
      <c r="U376" s="51">
        <f>_xlfn.IFS(T376="Rendah",'B.kriteria &amp; R.kecocokan'!$C$57,T376="Sedang",'B.kriteria &amp; R.kecocokan'!$C$58,T376="Tinggi",'B.kriteria &amp; R.kecocokan'!$C$59)</f>
        <v>5</v>
      </c>
      <c r="V376" s="51" t="str">
        <f>'B.kriteria &amp; R.kecocokan'!$B$65</f>
        <v>Rendah</v>
      </c>
      <c r="W376" s="9">
        <f>_xlfn.IFS(V376="Rendah",'B.kriteria &amp; R.kecocokan'!$C$65,V376="Sedang",'B.kriteria &amp; R.kecocokan'!$C$66,V376="Tinggi",'B.kriteria &amp; R.kecocokan'!$C$67)</f>
        <v>1</v>
      </c>
      <c r="X376" s="117">
        <f t="shared" si="34"/>
        <v>6.4840242656228586</v>
      </c>
      <c r="Y376" s="117">
        <f t="shared" si="35"/>
        <v>4.0391495492161198</v>
      </c>
      <c r="Z376" s="119">
        <f t="shared" si="36"/>
        <v>4.0391495492161198</v>
      </c>
      <c r="AA376" s="52" t="str">
        <f t="shared" si="37"/>
        <v>Tidak Layak</v>
      </c>
      <c r="AB376" s="55" t="s">
        <v>347</v>
      </c>
    </row>
    <row r="377" spans="1:28" x14ac:dyDescent="0.35">
      <c r="A377" s="5">
        <v>52</v>
      </c>
      <c r="B377" s="2" t="s">
        <v>107</v>
      </c>
      <c r="C377" s="11" t="s">
        <v>92</v>
      </c>
      <c r="D377" s="28" t="str">
        <f>'B.kriteria &amp; R.kecocokan'!$B$25</f>
        <v>Sedikit</v>
      </c>
      <c r="E377" s="111">
        <f>_xlfn.IFS(D377="Banyak",'B.kriteria &amp; R.kecocokan'!$C$23,D377="Cukup",'B.kriteria &amp; R.kecocokan'!$C$24,D377="Sedikit",'B.kriteria &amp; R.kecocokan'!$C$25)</f>
        <v>7.5</v>
      </c>
      <c r="F377" s="9" t="str">
        <f>'B.kriteria &amp; R.kecocokan'!$B$34</f>
        <v>Tinggi</v>
      </c>
      <c r="G377" s="8">
        <f>_xlfn.IFS(F377="Tinggi",'B.kriteria &amp; R.kecocokan'!$C$34,F377="Sangat Tinggi",'B.kriteria &amp; R.kecocokan'!$C$35)</f>
        <v>7.5</v>
      </c>
      <c r="H377" s="8" t="str">
        <f>'B.kriteria &amp; R.kecocokan'!$B$41</f>
        <v>Rendah</v>
      </c>
      <c r="I377" s="8">
        <f>_xlfn.IFS(H377="Rendah",'B.kriteria &amp; R.kecocokan'!$C$41,H377="Sedang",'B.kriteria &amp; R.kecocokan'!$C$42,H377="Tinggi",'B.kriteria &amp; R.kecocokan'!$C$43)</f>
        <v>2.5</v>
      </c>
      <c r="J377" s="8" t="str">
        <f>'B.kriteria &amp; R.kecocokan'!$B$72</f>
        <v>Rendah</v>
      </c>
      <c r="K377" s="8">
        <f>_xlfn.IFS(J377="Rendah",'B.kriteria &amp; R.kecocokan'!$C$72,J377="Sedang",'B.kriteria &amp; R.kecocokan'!$C$73,J377="Tinggi",'B.kriteria &amp; R.kecocokan'!$C$74)</f>
        <v>2.5</v>
      </c>
      <c r="L377" s="8" t="str">
        <f>'B.kriteria &amp; R.kecocokan'!$B$95</f>
        <v>Rendah</v>
      </c>
      <c r="M377" s="8">
        <f>_xlfn.IFS(L377="Rendah",'B.kriteria &amp; R.kecocokan'!$C$95,L377="Tinggi",'B.kriteria &amp; R.kecocokan'!$C$96)</f>
        <v>2.5</v>
      </c>
      <c r="N377" s="8" t="str">
        <f>'B.kriteria &amp; R.kecocokan'!$B$80</f>
        <v>Rendah</v>
      </c>
      <c r="O377" s="8">
        <f>_xlfn.IFS(N377="Rendah",'B.kriteria &amp; R.kecocokan'!$C$80,N377="Tinggi",'B.kriteria &amp; R.kecocokan'!$C$81)</f>
        <v>2.5</v>
      </c>
      <c r="P377" s="8" t="str">
        <f>'B.kriteria &amp; R.kecocokan'!$B$89</f>
        <v>Sedikit</v>
      </c>
      <c r="Q377" s="8">
        <f>_xlfn.IFS(P377="Sedikit",'B.kriteria &amp; R.kecocokan'!$C$89,P377="Sedang",'B.kriteria &amp; R.kecocokan'!$C$88,P377="Sangat Sedikit",'B.kriteria &amp; R.kecocokan'!$C$90)</f>
        <v>2.5</v>
      </c>
      <c r="R377" s="8" t="str">
        <f>'B.kriteria &amp; R.kecocokan'!$B$49</f>
        <v>Rendah</v>
      </c>
      <c r="S377" s="8">
        <f>_xlfn.IFS(R377="Rendah",'B.kriteria &amp; R.kecocokan'!$C$49,R377="Sedang",'B.kriteria &amp; R.kecocokan'!$C$50,R377="Tinggi",'B.kriteria &amp; R.kecocokan'!$C$51)</f>
        <v>2.5</v>
      </c>
      <c r="T377" s="8" t="str">
        <f>'B.kriteria &amp; R.kecocokan'!$B$57</f>
        <v>Rendah</v>
      </c>
      <c r="U377" s="51">
        <f>_xlfn.IFS(T377="Rendah",'B.kriteria &amp; R.kecocokan'!$C$57,T377="Sedang",'B.kriteria &amp; R.kecocokan'!$C$58,T377="Tinggi",'B.kriteria &amp; R.kecocokan'!$C$59)</f>
        <v>2.5</v>
      </c>
      <c r="V377" s="51" t="str">
        <f>'B.kriteria &amp; R.kecocokan'!$B$65</f>
        <v>Rendah</v>
      </c>
      <c r="W377" s="9">
        <f>_xlfn.IFS(V377="Rendah",'B.kriteria &amp; R.kecocokan'!$C$65,V377="Sedang",'B.kriteria &amp; R.kecocokan'!$C$66,V377="Tinggi",'B.kriteria &amp; R.kecocokan'!$C$67)</f>
        <v>1</v>
      </c>
      <c r="X377" s="117">
        <f t="shared" si="34"/>
        <v>5.4881229718464892</v>
      </c>
      <c r="Y377" s="117">
        <f t="shared" si="35"/>
        <v>3.2231666346943433</v>
      </c>
      <c r="Z377" s="119">
        <f t="shared" si="36"/>
        <v>3.2231666346943433</v>
      </c>
      <c r="AA377" s="52" t="str">
        <f t="shared" si="37"/>
        <v>Tidak Layak</v>
      </c>
      <c r="AB377" s="55" t="s">
        <v>347</v>
      </c>
    </row>
    <row r="378" spans="1:28" x14ac:dyDescent="0.35">
      <c r="A378" s="1">
        <v>53</v>
      </c>
      <c r="B378" s="2" t="s">
        <v>109</v>
      </c>
      <c r="C378" s="11" t="s">
        <v>95</v>
      </c>
      <c r="D378" s="9" t="str">
        <f>'B.kriteria &amp; R.kecocokan'!$B$23</f>
        <v>Banyak</v>
      </c>
      <c r="E378" s="111">
        <f>_xlfn.IFS(D378="Banyak",'B.kriteria &amp; R.kecocokan'!$C$23,D378="Cukup",'B.kriteria &amp; R.kecocokan'!$C$24,D378="Sedikit",'B.kriteria &amp; R.kecocokan'!$C$25)</f>
        <v>2.5</v>
      </c>
      <c r="F378" s="9" t="str">
        <f>'B.kriteria &amp; R.kecocokan'!$B$34</f>
        <v>Tinggi</v>
      </c>
      <c r="G378" s="8">
        <f>_xlfn.IFS(F378="Tinggi",'B.kriteria &amp; R.kecocokan'!$C$34,F378="Sangat Tinggi",'B.kriteria &amp; R.kecocokan'!$C$35)</f>
        <v>7.5</v>
      </c>
      <c r="H378" s="8" t="str">
        <f>'B.kriteria &amp; R.kecocokan'!$B$41</f>
        <v>Rendah</v>
      </c>
      <c r="I378" s="8">
        <f>_xlfn.IFS(H378="Rendah",'B.kriteria &amp; R.kecocokan'!$C$41,H378="Sedang",'B.kriteria &amp; R.kecocokan'!$C$42,H378="Tinggi",'B.kriteria &amp; R.kecocokan'!$C$43)</f>
        <v>2.5</v>
      </c>
      <c r="J378" s="8" t="str">
        <f>'B.kriteria &amp; R.kecocokan'!$B$72</f>
        <v>Rendah</v>
      </c>
      <c r="K378" s="8">
        <f>_xlfn.IFS(J378="Rendah",'B.kriteria &amp; R.kecocokan'!$C$72,J378="Sedang",'B.kriteria &amp; R.kecocokan'!$C$73,J378="Tinggi",'B.kriteria &amp; R.kecocokan'!$C$74)</f>
        <v>2.5</v>
      </c>
      <c r="L378" s="8" t="str">
        <f>'B.kriteria &amp; R.kecocokan'!$B$95</f>
        <v>Rendah</v>
      </c>
      <c r="M378" s="8">
        <f>_xlfn.IFS(L378="Rendah",'B.kriteria &amp; R.kecocokan'!$C$95,L378="Tinggi",'B.kriteria &amp; R.kecocokan'!$C$96)</f>
        <v>2.5</v>
      </c>
      <c r="N378" s="8" t="str">
        <f>'B.kriteria &amp; R.kecocokan'!$B$80</f>
        <v>Rendah</v>
      </c>
      <c r="O378" s="8">
        <f>_xlfn.IFS(N378="Rendah",'B.kriteria &amp; R.kecocokan'!$C$80,N378="Tinggi",'B.kriteria &amp; R.kecocokan'!$C$81)</f>
        <v>2.5</v>
      </c>
      <c r="P378" s="9" t="str">
        <f>'B.kriteria &amp; R.kecocokan'!$B$88</f>
        <v>Sedang</v>
      </c>
      <c r="Q378" s="8">
        <f>_xlfn.IFS(P378="Sedikit",'B.kriteria &amp; R.kecocokan'!$C$89,P378="Sedang",'B.kriteria &amp; R.kecocokan'!$C$88,P378="Sangat Sedikit",'B.kriteria &amp; R.kecocokan'!$C$90)</f>
        <v>5</v>
      </c>
      <c r="R378" s="8" t="str">
        <f>'B.kriteria &amp; R.kecocokan'!$B$49</f>
        <v>Rendah</v>
      </c>
      <c r="S378" s="8">
        <f>_xlfn.IFS(R378="Rendah",'B.kriteria &amp; R.kecocokan'!$C$49,R378="Sedang",'B.kriteria &amp; R.kecocokan'!$C$50,R378="Tinggi",'B.kriteria &amp; R.kecocokan'!$C$51)</f>
        <v>2.5</v>
      </c>
      <c r="T378" s="8" t="str">
        <f>'B.kriteria &amp; R.kecocokan'!$B$57</f>
        <v>Rendah</v>
      </c>
      <c r="U378" s="51">
        <f>_xlfn.IFS(T378="Rendah",'B.kriteria &amp; R.kecocokan'!$C$57,T378="Sedang",'B.kriteria &amp; R.kecocokan'!$C$58,T378="Tinggi",'B.kriteria &amp; R.kecocokan'!$C$59)</f>
        <v>2.5</v>
      </c>
      <c r="V378" s="51" t="str">
        <f>'B.kriteria &amp; R.kecocokan'!$B$65</f>
        <v>Rendah</v>
      </c>
      <c r="W378" s="9">
        <f>_xlfn.IFS(V378="Rendah",'B.kriteria &amp; R.kecocokan'!$C$65,V378="Sedang",'B.kriteria &amp; R.kecocokan'!$C$66,V378="Tinggi",'B.kriteria &amp; R.kecocokan'!$C$67)</f>
        <v>1</v>
      </c>
      <c r="X378" s="117">
        <f t="shared" si="34"/>
        <v>7.4608555507381942</v>
      </c>
      <c r="Y378" s="117">
        <f t="shared" si="35"/>
        <v>2.741976072951128</v>
      </c>
      <c r="Z378" s="119">
        <f t="shared" si="36"/>
        <v>2.741976072951128</v>
      </c>
      <c r="AA378" s="52" t="str">
        <f t="shared" si="37"/>
        <v>Tidak Layak</v>
      </c>
      <c r="AB378" s="55" t="s">
        <v>347</v>
      </c>
    </row>
    <row r="379" spans="1:28" x14ac:dyDescent="0.35">
      <c r="A379" s="5">
        <v>54</v>
      </c>
      <c r="B379" s="2" t="s">
        <v>111</v>
      </c>
      <c r="C379" s="11" t="s">
        <v>92</v>
      </c>
      <c r="D379" s="9" t="str">
        <f>'B.kriteria &amp; R.kecocokan'!$B$23</f>
        <v>Banyak</v>
      </c>
      <c r="E379" s="111">
        <f>_xlfn.IFS(D379="Banyak",'B.kriteria &amp; R.kecocokan'!$C$23,D379="Cukup",'B.kriteria &amp; R.kecocokan'!$C$24,D379="Sedikit",'B.kriteria &amp; R.kecocokan'!$C$25)</f>
        <v>2.5</v>
      </c>
      <c r="F379" s="9" t="str">
        <f>'B.kriteria &amp; R.kecocokan'!$B$34</f>
        <v>Tinggi</v>
      </c>
      <c r="G379" s="8">
        <f>_xlfn.IFS(F379="Tinggi",'B.kriteria &amp; R.kecocokan'!$C$34,F379="Sangat Tinggi",'B.kriteria &amp; R.kecocokan'!$C$35)</f>
        <v>7.5</v>
      </c>
      <c r="H379" s="8" t="str">
        <f>'B.kriteria &amp; R.kecocokan'!$B$41</f>
        <v>Rendah</v>
      </c>
      <c r="I379" s="8">
        <f>_xlfn.IFS(H379="Rendah",'B.kriteria &amp; R.kecocokan'!$C$41,H379="Sedang",'B.kriteria &amp; R.kecocokan'!$C$42,H379="Tinggi",'B.kriteria &amp; R.kecocokan'!$C$43)</f>
        <v>2.5</v>
      </c>
      <c r="J379" s="8" t="str">
        <f>'B.kriteria &amp; R.kecocokan'!$B$72</f>
        <v>Rendah</v>
      </c>
      <c r="K379" s="8">
        <f>_xlfn.IFS(J379="Rendah",'B.kriteria &amp; R.kecocokan'!$C$72,J379="Sedang",'B.kriteria &amp; R.kecocokan'!$C$73,J379="Tinggi",'B.kriteria &amp; R.kecocokan'!$C$74)</f>
        <v>2.5</v>
      </c>
      <c r="L379" s="8" t="str">
        <f>'B.kriteria &amp; R.kecocokan'!$B$95</f>
        <v>Rendah</v>
      </c>
      <c r="M379" s="8">
        <f>_xlfn.IFS(L379="Rendah",'B.kriteria &amp; R.kecocokan'!$C$95,L379="Tinggi",'B.kriteria &amp; R.kecocokan'!$C$96)</f>
        <v>2.5</v>
      </c>
      <c r="N379" s="8" t="str">
        <f>'B.kriteria &amp; R.kecocokan'!$B$80</f>
        <v>Rendah</v>
      </c>
      <c r="O379" s="8">
        <f>_xlfn.IFS(N379="Rendah",'B.kriteria &amp; R.kecocokan'!$C$80,N379="Tinggi",'B.kriteria &amp; R.kecocokan'!$C$81)</f>
        <v>2.5</v>
      </c>
      <c r="P379" s="8" t="str">
        <f>'B.kriteria &amp; R.kecocokan'!$B$89</f>
        <v>Sedikit</v>
      </c>
      <c r="Q379" s="8">
        <f>_xlfn.IFS(P379="Sedikit",'B.kriteria &amp; R.kecocokan'!$C$89,P379="Sedang",'B.kriteria &amp; R.kecocokan'!$C$88,P379="Sangat Sedikit",'B.kriteria &amp; R.kecocokan'!$C$90)</f>
        <v>2.5</v>
      </c>
      <c r="R379" s="8" t="str">
        <f>'B.kriteria &amp; R.kecocokan'!$B$49</f>
        <v>Rendah</v>
      </c>
      <c r="S379" s="8">
        <f>_xlfn.IFS(R379="Rendah",'B.kriteria &amp; R.kecocokan'!$C$49,R379="Sedang",'B.kriteria &amp; R.kecocokan'!$C$50,R379="Tinggi",'B.kriteria &amp; R.kecocokan'!$C$51)</f>
        <v>2.5</v>
      </c>
      <c r="T379" s="8" t="str">
        <f>'B.kriteria &amp; R.kecocokan'!$B$57</f>
        <v>Rendah</v>
      </c>
      <c r="U379" s="51">
        <f>_xlfn.IFS(T379="Rendah",'B.kriteria &amp; R.kecocokan'!$C$57,T379="Sedang",'B.kriteria &amp; R.kecocokan'!$C$58,T379="Tinggi",'B.kriteria &amp; R.kecocokan'!$C$59)</f>
        <v>2.5</v>
      </c>
      <c r="V379" s="51" t="str">
        <f>'B.kriteria &amp; R.kecocokan'!$B$65</f>
        <v>Rendah</v>
      </c>
      <c r="W379" s="9">
        <f>_xlfn.IFS(V379="Rendah",'B.kriteria &amp; R.kecocokan'!$C$65,V379="Sedang",'B.kriteria &amp; R.kecocokan'!$C$66,V379="Tinggi",'B.kriteria &amp; R.kecocokan'!$C$67)</f>
        <v>1</v>
      </c>
      <c r="X379" s="117">
        <f t="shared" si="34"/>
        <v>6.6499667560577507</v>
      </c>
      <c r="Y379" s="117">
        <f t="shared" si="35"/>
        <v>2.3998278116100811</v>
      </c>
      <c r="Z379" s="119">
        <f t="shared" si="36"/>
        <v>2.3998278116100811</v>
      </c>
      <c r="AA379" s="52" t="str">
        <f t="shared" si="37"/>
        <v>Tidak Layak</v>
      </c>
      <c r="AB379" s="55" t="s">
        <v>347</v>
      </c>
    </row>
    <row r="380" spans="1:28" x14ac:dyDescent="0.35">
      <c r="A380" s="5">
        <v>55</v>
      </c>
      <c r="B380" s="2" t="s">
        <v>113</v>
      </c>
      <c r="C380" s="11" t="s">
        <v>92</v>
      </c>
      <c r="D380" s="28" t="str">
        <f>'B.kriteria &amp; R.kecocokan'!$B$25</f>
        <v>Sedikit</v>
      </c>
      <c r="E380" s="111">
        <f>_xlfn.IFS(D380="Banyak",'B.kriteria &amp; R.kecocokan'!$C$23,D380="Cukup",'B.kriteria &amp; R.kecocokan'!$C$24,D380="Sedikit",'B.kriteria &amp; R.kecocokan'!$C$25)</f>
        <v>7.5</v>
      </c>
      <c r="F380" s="9" t="str">
        <f>'B.kriteria &amp; R.kecocokan'!$B$34</f>
        <v>Tinggi</v>
      </c>
      <c r="G380" s="8">
        <f>_xlfn.IFS(F380="Tinggi",'B.kriteria &amp; R.kecocokan'!$C$34,F380="Sangat Tinggi",'B.kriteria &amp; R.kecocokan'!$C$35)</f>
        <v>7.5</v>
      </c>
      <c r="H380" s="9" t="str">
        <f>'B.kriteria &amp; R.kecocokan'!$B$43</f>
        <v>Tinggi</v>
      </c>
      <c r="I380" s="8">
        <f>_xlfn.IFS(H380="Rendah",'B.kriteria &amp; R.kecocokan'!$C$41,H380="Sedang",'B.kriteria &amp; R.kecocokan'!$C$42,H380="Tinggi",'B.kriteria &amp; R.kecocokan'!$C$43)</f>
        <v>7.5</v>
      </c>
      <c r="J380" s="8" t="str">
        <f>'B.kriteria &amp; R.kecocokan'!$B$72</f>
        <v>Rendah</v>
      </c>
      <c r="K380" s="8">
        <f>_xlfn.IFS(J380="Rendah",'B.kriteria &amp; R.kecocokan'!$C$72,J380="Sedang",'B.kriteria &amp; R.kecocokan'!$C$73,J380="Tinggi",'B.kriteria &amp; R.kecocokan'!$C$74)</f>
        <v>2.5</v>
      </c>
      <c r="L380" s="8" t="str">
        <f>'B.kriteria &amp; R.kecocokan'!$B$95</f>
        <v>Rendah</v>
      </c>
      <c r="M380" s="8">
        <f>_xlfn.IFS(L380="Rendah",'B.kriteria &amp; R.kecocokan'!$C$95,L380="Tinggi",'B.kriteria &amp; R.kecocokan'!$C$96)</f>
        <v>2.5</v>
      </c>
      <c r="N380" s="8" t="str">
        <f>'B.kriteria &amp; R.kecocokan'!$B$80</f>
        <v>Rendah</v>
      </c>
      <c r="O380" s="8">
        <f>_xlfn.IFS(N380="Rendah",'B.kriteria &amp; R.kecocokan'!$C$80,N380="Tinggi",'B.kriteria &amp; R.kecocokan'!$C$81)</f>
        <v>2.5</v>
      </c>
      <c r="P380" s="8" t="str">
        <f>'B.kriteria &amp; R.kecocokan'!$B$89</f>
        <v>Sedikit</v>
      </c>
      <c r="Q380" s="8">
        <f>_xlfn.IFS(P380="Sedikit",'B.kriteria &amp; R.kecocokan'!$C$89,P380="Sedang",'B.kriteria &amp; R.kecocokan'!$C$88,P380="Sangat Sedikit",'B.kriteria &amp; R.kecocokan'!$C$90)</f>
        <v>2.5</v>
      </c>
      <c r="R380" s="8" t="str">
        <f>'B.kriteria &amp; R.kecocokan'!$B$49</f>
        <v>Rendah</v>
      </c>
      <c r="S380" s="8">
        <f>_xlfn.IFS(R380="Rendah",'B.kriteria &amp; R.kecocokan'!$C$49,R380="Sedang",'B.kriteria &amp; R.kecocokan'!$C$50,R380="Tinggi",'B.kriteria &amp; R.kecocokan'!$C$51)</f>
        <v>2.5</v>
      </c>
      <c r="T380" s="8" t="str">
        <f>'B.kriteria &amp; R.kecocokan'!$B$57</f>
        <v>Rendah</v>
      </c>
      <c r="U380" s="51">
        <f>_xlfn.IFS(T380="Rendah",'B.kriteria &amp; R.kecocokan'!$C$57,T380="Sedang",'B.kriteria &amp; R.kecocokan'!$C$58,T380="Tinggi",'B.kriteria &amp; R.kecocokan'!$C$59)</f>
        <v>2.5</v>
      </c>
      <c r="V380" s="51" t="str">
        <f>'B.kriteria &amp; R.kecocokan'!$B$65</f>
        <v>Rendah</v>
      </c>
      <c r="W380" s="9">
        <f>_xlfn.IFS(V380="Rendah",'B.kriteria &amp; R.kecocokan'!$C$65,V380="Sedang",'B.kriteria &amp; R.kecocokan'!$C$66,V380="Tinggi",'B.kriteria &amp; R.kecocokan'!$C$67)</f>
        <v>1</v>
      </c>
      <c r="X380" s="117">
        <f t="shared" si="34"/>
        <v>7.1605404759665507</v>
      </c>
      <c r="Y380" s="117">
        <f t="shared" si="35"/>
        <v>5.289744393408764</v>
      </c>
      <c r="Z380" s="119">
        <f t="shared" si="36"/>
        <v>5.289744393408764</v>
      </c>
      <c r="AA380" s="52" t="str">
        <f t="shared" si="37"/>
        <v>Tidak Layak</v>
      </c>
      <c r="AB380" s="55" t="s">
        <v>347</v>
      </c>
    </row>
    <row r="381" spans="1:28" x14ac:dyDescent="0.35">
      <c r="A381" s="1">
        <v>56</v>
      </c>
      <c r="B381" s="2" t="s">
        <v>114</v>
      </c>
      <c r="C381" s="11" t="s">
        <v>95</v>
      </c>
      <c r="D381" s="9" t="str">
        <f>'B.kriteria &amp; R.kecocokan'!$B$23</f>
        <v>Banyak</v>
      </c>
      <c r="E381" s="111">
        <f>_xlfn.IFS(D381="Banyak",'B.kriteria &amp; R.kecocokan'!$C$23,D381="Cukup",'B.kriteria &amp; R.kecocokan'!$C$24,D381="Sedikit",'B.kriteria &amp; R.kecocokan'!$C$25)</f>
        <v>2.5</v>
      </c>
      <c r="F381" s="9" t="str">
        <f>'B.kriteria &amp; R.kecocokan'!$B$34</f>
        <v>Tinggi</v>
      </c>
      <c r="G381" s="8">
        <f>_xlfn.IFS(F381="Tinggi",'B.kriteria &amp; R.kecocokan'!$C$34,F381="Sangat Tinggi",'B.kriteria &amp; R.kecocokan'!$C$35)</f>
        <v>7.5</v>
      </c>
      <c r="H381" s="8" t="str">
        <f>'B.kriteria &amp; R.kecocokan'!$B$41</f>
        <v>Rendah</v>
      </c>
      <c r="I381" s="8">
        <f>_xlfn.IFS(H381="Rendah",'B.kriteria &amp; R.kecocokan'!$C$41,H381="Sedang",'B.kriteria &amp; R.kecocokan'!$C$42,H381="Tinggi",'B.kriteria &amp; R.kecocokan'!$C$43)</f>
        <v>2.5</v>
      </c>
      <c r="J381" s="8" t="str">
        <f>'B.kriteria &amp; R.kecocokan'!$B$72</f>
        <v>Rendah</v>
      </c>
      <c r="K381" s="8">
        <f>_xlfn.IFS(J381="Rendah",'B.kriteria &amp; R.kecocokan'!$C$72,J381="Sedang",'B.kriteria &amp; R.kecocokan'!$C$73,J381="Tinggi",'B.kriteria &amp; R.kecocokan'!$C$74)</f>
        <v>2.5</v>
      </c>
      <c r="L381" s="8" t="str">
        <f>'B.kriteria &amp; R.kecocokan'!$B$95</f>
        <v>Rendah</v>
      </c>
      <c r="M381" s="8">
        <f>_xlfn.IFS(L381="Rendah",'B.kriteria &amp; R.kecocokan'!$C$95,L381="Tinggi",'B.kriteria &amp; R.kecocokan'!$C$96)</f>
        <v>2.5</v>
      </c>
      <c r="N381" s="9" t="str">
        <f>'B.kriteria &amp; R.kecocokan'!$B$81</f>
        <v>Tinggi</v>
      </c>
      <c r="O381" s="8">
        <f>_xlfn.IFS(N381="Rendah",'B.kriteria &amp; R.kecocokan'!$C$80,N381="Tinggi",'B.kriteria &amp; R.kecocokan'!$C$81)</f>
        <v>7.5</v>
      </c>
      <c r="P381" s="9" t="str">
        <f>'B.kriteria &amp; R.kecocokan'!$B$90</f>
        <v>Sangat Sedikit</v>
      </c>
      <c r="Q381" s="8">
        <f>_xlfn.IFS(P381="Sedikit",'B.kriteria &amp; R.kecocokan'!$C$89,P381="Sedang",'B.kriteria &amp; R.kecocokan'!$C$88,P381="Sangat Sedikit",'B.kriteria &amp; R.kecocokan'!$C$90)</f>
        <v>1</v>
      </c>
      <c r="R381" s="8" t="str">
        <f>'B.kriteria &amp; R.kecocokan'!$B$49</f>
        <v>Rendah</v>
      </c>
      <c r="S381" s="8">
        <f>_xlfn.IFS(R381="Rendah",'B.kriteria &amp; R.kecocokan'!$C$49,R381="Sedang",'B.kriteria &amp; R.kecocokan'!$C$50,R381="Tinggi",'B.kriteria &amp; R.kecocokan'!$C$51)</f>
        <v>2.5</v>
      </c>
      <c r="T381" s="8" t="str">
        <f>'B.kriteria &amp; R.kecocokan'!$B$57</f>
        <v>Rendah</v>
      </c>
      <c r="U381" s="51">
        <f>_xlfn.IFS(T381="Rendah",'B.kriteria &amp; R.kecocokan'!$C$57,T381="Sedang",'B.kriteria &amp; R.kecocokan'!$C$58,T381="Tinggi",'B.kriteria &amp; R.kecocokan'!$C$59)</f>
        <v>2.5</v>
      </c>
      <c r="V381" s="51" t="str">
        <f>'B.kriteria &amp; R.kecocokan'!$B$65</f>
        <v>Rendah</v>
      </c>
      <c r="W381" s="9">
        <f>_xlfn.IFS(V381="Rendah",'B.kriteria &amp; R.kecocokan'!$C$65,V381="Sedang",'B.kriteria &amp; R.kecocokan'!$C$66,V381="Tinggi",'B.kriteria &amp; R.kecocokan'!$C$67)</f>
        <v>1</v>
      </c>
      <c r="X381" s="117">
        <f t="shared" si="34"/>
        <v>4.2844688400417414</v>
      </c>
      <c r="Y381" s="117">
        <f t="shared" si="35"/>
        <v>6.052234620018262</v>
      </c>
      <c r="Z381" s="119">
        <f t="shared" si="36"/>
        <v>4.2844688400417414</v>
      </c>
      <c r="AA381" s="52" t="str">
        <f t="shared" si="37"/>
        <v>Layak</v>
      </c>
      <c r="AB381" s="55" t="s">
        <v>347</v>
      </c>
    </row>
    <row r="382" spans="1:28" x14ac:dyDescent="0.35">
      <c r="A382" s="5">
        <v>57</v>
      </c>
      <c r="B382" s="2" t="s">
        <v>116</v>
      </c>
      <c r="C382" s="11" t="s">
        <v>92</v>
      </c>
      <c r="D382" s="9" t="str">
        <f>'B.kriteria &amp; R.kecocokan'!$B$23</f>
        <v>Banyak</v>
      </c>
      <c r="E382" s="111">
        <f>_xlfn.IFS(D382="Banyak",'B.kriteria &amp; R.kecocokan'!$C$23,D382="Cukup",'B.kriteria &amp; R.kecocokan'!$C$24,D382="Sedikit",'B.kriteria &amp; R.kecocokan'!$C$25)</f>
        <v>2.5</v>
      </c>
      <c r="F382" s="9" t="str">
        <f>'B.kriteria &amp; R.kecocokan'!$B$34</f>
        <v>Tinggi</v>
      </c>
      <c r="G382" s="8">
        <f>_xlfn.IFS(F382="Tinggi",'B.kriteria &amp; R.kecocokan'!$C$34,F382="Sangat Tinggi",'B.kriteria &amp; R.kecocokan'!$C$35)</f>
        <v>7.5</v>
      </c>
      <c r="H382" s="8" t="str">
        <f>'B.kriteria &amp; R.kecocokan'!$B$41</f>
        <v>Rendah</v>
      </c>
      <c r="I382" s="8">
        <f>_xlfn.IFS(H382="Rendah",'B.kriteria &amp; R.kecocokan'!$C$41,H382="Sedang",'B.kriteria &amp; R.kecocokan'!$C$42,H382="Tinggi",'B.kriteria &amp; R.kecocokan'!$C$43)</f>
        <v>2.5</v>
      </c>
      <c r="J382" s="8" t="str">
        <f>'B.kriteria &amp; R.kecocokan'!$B$72</f>
        <v>Rendah</v>
      </c>
      <c r="K382" s="8">
        <f>_xlfn.IFS(J382="Rendah",'B.kriteria &amp; R.kecocokan'!$C$72,J382="Sedang",'B.kriteria &amp; R.kecocokan'!$C$73,J382="Tinggi",'B.kriteria &amp; R.kecocokan'!$C$74)</f>
        <v>2.5</v>
      </c>
      <c r="L382" s="8" t="str">
        <f>'B.kriteria &amp; R.kecocokan'!$B$95</f>
        <v>Rendah</v>
      </c>
      <c r="M382" s="8">
        <f>_xlfn.IFS(L382="Rendah",'B.kriteria &amp; R.kecocokan'!$C$95,L382="Tinggi",'B.kriteria &amp; R.kecocokan'!$C$96)</f>
        <v>2.5</v>
      </c>
      <c r="N382" s="8" t="str">
        <f>'B.kriteria &amp; R.kecocokan'!$B$80</f>
        <v>Rendah</v>
      </c>
      <c r="O382" s="8">
        <f>_xlfn.IFS(N382="Rendah",'B.kriteria &amp; R.kecocokan'!$C$80,N382="Tinggi",'B.kriteria &amp; R.kecocokan'!$C$81)</f>
        <v>2.5</v>
      </c>
      <c r="P382" s="9" t="str">
        <f>'B.kriteria &amp; R.kecocokan'!$B$88</f>
        <v>Sedang</v>
      </c>
      <c r="Q382" s="8">
        <f>_xlfn.IFS(P382="Sedikit",'B.kriteria &amp; R.kecocokan'!$C$89,P382="Sedang",'B.kriteria &amp; R.kecocokan'!$C$88,P382="Sangat Sedikit",'B.kriteria &amp; R.kecocokan'!$C$90)</f>
        <v>5</v>
      </c>
      <c r="R382" s="8" t="str">
        <f>'B.kriteria &amp; R.kecocokan'!$B$49</f>
        <v>Rendah</v>
      </c>
      <c r="S382" s="8">
        <f>_xlfn.IFS(R382="Rendah",'B.kriteria &amp; R.kecocokan'!$C$49,R382="Sedang",'B.kriteria &amp; R.kecocokan'!$C$50,R382="Tinggi",'B.kriteria &amp; R.kecocokan'!$C$51)</f>
        <v>2.5</v>
      </c>
      <c r="T382" s="8" t="str">
        <f>'B.kriteria &amp; R.kecocokan'!$B$57</f>
        <v>Rendah</v>
      </c>
      <c r="U382" s="51">
        <f>_xlfn.IFS(T382="Rendah",'B.kriteria &amp; R.kecocokan'!$C$57,T382="Sedang",'B.kriteria &amp; R.kecocokan'!$C$58,T382="Tinggi",'B.kriteria &amp; R.kecocokan'!$C$59)</f>
        <v>2.5</v>
      </c>
      <c r="V382" s="51" t="str">
        <f>'B.kriteria &amp; R.kecocokan'!$B$65</f>
        <v>Rendah</v>
      </c>
      <c r="W382" s="9">
        <f>_xlfn.IFS(V382="Rendah",'B.kriteria &amp; R.kecocokan'!$C$65,V382="Sedang",'B.kriteria &amp; R.kecocokan'!$C$66,V382="Tinggi",'B.kriteria &amp; R.kecocokan'!$C$67)</f>
        <v>1</v>
      </c>
      <c r="X382" s="117">
        <f t="shared" si="34"/>
        <v>7.4608555507381942</v>
      </c>
      <c r="Y382" s="117">
        <f t="shared" si="35"/>
        <v>2.741976072951128</v>
      </c>
      <c r="Z382" s="119">
        <f t="shared" si="36"/>
        <v>2.741976072951128</v>
      </c>
      <c r="AA382" s="52" t="str">
        <f t="shared" si="37"/>
        <v>Tidak Layak</v>
      </c>
      <c r="AB382" s="55" t="s">
        <v>347</v>
      </c>
    </row>
    <row r="383" spans="1:28" x14ac:dyDescent="0.35">
      <c r="A383" s="5">
        <v>58</v>
      </c>
      <c r="B383" s="2" t="s">
        <v>230</v>
      </c>
      <c r="C383" s="11" t="s">
        <v>92</v>
      </c>
      <c r="D383" s="28" t="str">
        <f>'B.kriteria &amp; R.kecocokan'!$B$25</f>
        <v>Sedikit</v>
      </c>
      <c r="E383" s="111">
        <f>_xlfn.IFS(D383="Banyak",'B.kriteria &amp; R.kecocokan'!$C$23,D383="Cukup",'B.kriteria &amp; R.kecocokan'!$C$24,D383="Sedikit",'B.kriteria &amp; R.kecocokan'!$C$25)</f>
        <v>7.5</v>
      </c>
      <c r="F383" s="9" t="str">
        <f>'B.kriteria &amp; R.kecocokan'!$B$34</f>
        <v>Tinggi</v>
      </c>
      <c r="G383" s="8">
        <f>_xlfn.IFS(F383="Tinggi",'B.kriteria &amp; R.kecocokan'!$C$34,F383="Sangat Tinggi",'B.kriteria &amp; R.kecocokan'!$C$35)</f>
        <v>7.5</v>
      </c>
      <c r="H383" s="8" t="str">
        <f>'B.kriteria &amp; R.kecocokan'!$B$41</f>
        <v>Rendah</v>
      </c>
      <c r="I383" s="8">
        <f>_xlfn.IFS(H383="Rendah",'B.kriteria &amp; R.kecocokan'!$C$41,H383="Sedang",'B.kriteria &amp; R.kecocokan'!$C$42,H383="Tinggi",'B.kriteria &amp; R.kecocokan'!$C$43)</f>
        <v>2.5</v>
      </c>
      <c r="J383" s="8" t="str">
        <f>'B.kriteria &amp; R.kecocokan'!$B$72</f>
        <v>Rendah</v>
      </c>
      <c r="K383" s="8">
        <f>_xlfn.IFS(J383="Rendah",'B.kriteria &amp; R.kecocokan'!$C$72,J383="Sedang",'B.kriteria &amp; R.kecocokan'!$C$73,J383="Tinggi",'B.kriteria &amp; R.kecocokan'!$C$74)</f>
        <v>2.5</v>
      </c>
      <c r="L383" s="8" t="str">
        <f>'B.kriteria &amp; R.kecocokan'!$B$95</f>
        <v>Rendah</v>
      </c>
      <c r="M383" s="8">
        <f>_xlfn.IFS(L383="Rendah",'B.kriteria &amp; R.kecocokan'!$C$95,L383="Tinggi",'B.kriteria &amp; R.kecocokan'!$C$96)</f>
        <v>2.5</v>
      </c>
      <c r="N383" s="8" t="str">
        <f>'B.kriteria &amp; R.kecocokan'!$B$80</f>
        <v>Rendah</v>
      </c>
      <c r="O383" s="8">
        <f>_xlfn.IFS(N383="Rendah",'B.kriteria &amp; R.kecocokan'!$C$80,N383="Tinggi",'B.kriteria &amp; R.kecocokan'!$C$81)</f>
        <v>2.5</v>
      </c>
      <c r="P383" s="9" t="str">
        <f>'B.kriteria &amp; R.kecocokan'!$B$88</f>
        <v>Sedang</v>
      </c>
      <c r="Q383" s="8">
        <f>_xlfn.IFS(P383="Sedikit",'B.kriteria &amp; R.kecocokan'!$C$89,P383="Sedang",'B.kriteria &amp; R.kecocokan'!$C$88,P383="Sangat Sedikit",'B.kriteria &amp; R.kecocokan'!$C$90)</f>
        <v>5</v>
      </c>
      <c r="R383" s="8" t="str">
        <f>'B.kriteria &amp; R.kecocokan'!$B$49</f>
        <v>Rendah</v>
      </c>
      <c r="S383" s="8">
        <f>_xlfn.IFS(R383="Rendah",'B.kriteria &amp; R.kecocokan'!$C$49,R383="Sedang",'B.kriteria &amp; R.kecocokan'!$C$50,R383="Tinggi",'B.kriteria &amp; R.kecocokan'!$C$51)</f>
        <v>2.5</v>
      </c>
      <c r="T383" s="8" t="str">
        <f>'B.kriteria &amp; R.kecocokan'!$B$57</f>
        <v>Rendah</v>
      </c>
      <c r="U383" s="51">
        <f>_xlfn.IFS(T383="Rendah",'B.kriteria &amp; R.kecocokan'!$C$57,T383="Sedang",'B.kriteria &amp; R.kecocokan'!$C$58,T383="Tinggi",'B.kriteria &amp; R.kecocokan'!$C$59)</f>
        <v>2.5</v>
      </c>
      <c r="V383" s="51" t="str">
        <f>'B.kriteria &amp; R.kecocokan'!$B$65</f>
        <v>Rendah</v>
      </c>
      <c r="W383" s="9">
        <f>_xlfn.IFS(V383="Rendah",'B.kriteria &amp; R.kecocokan'!$C$65,V383="Sedang",'B.kriteria &amp; R.kecocokan'!$C$66,V383="Tinggi",'B.kriteria &amp; R.kecocokan'!$C$67)</f>
        <v>1</v>
      </c>
      <c r="X383" s="117">
        <f t="shared" si="34"/>
        <v>6.4468443013940409</v>
      </c>
      <c r="Y383" s="117">
        <f t="shared" si="35"/>
        <v>3.4854070657910414</v>
      </c>
      <c r="Z383" s="119">
        <f t="shared" si="36"/>
        <v>3.4854070657910414</v>
      </c>
      <c r="AA383" s="52" t="str">
        <f t="shared" si="37"/>
        <v>Tidak Layak</v>
      </c>
      <c r="AB383" s="55" t="s">
        <v>347</v>
      </c>
    </row>
    <row r="384" spans="1:28" x14ac:dyDescent="0.35">
      <c r="A384" s="1">
        <v>59</v>
      </c>
      <c r="B384" s="2" t="s">
        <v>118</v>
      </c>
      <c r="C384" s="11" t="s">
        <v>92</v>
      </c>
      <c r="D384" s="9" t="str">
        <f>'B.kriteria &amp; R.kecocokan'!$B$23</f>
        <v>Banyak</v>
      </c>
      <c r="E384" s="111">
        <f>_xlfn.IFS(D384="Banyak",'B.kriteria &amp; R.kecocokan'!$C$23,D384="Cukup",'B.kriteria &amp; R.kecocokan'!$C$24,D384="Sedikit",'B.kriteria &amp; R.kecocokan'!$C$25)</f>
        <v>2.5</v>
      </c>
      <c r="F384" s="9" t="str">
        <f>'B.kriteria &amp; R.kecocokan'!$B$34</f>
        <v>Tinggi</v>
      </c>
      <c r="G384" s="8">
        <f>_xlfn.IFS(F384="Tinggi",'B.kriteria &amp; R.kecocokan'!$C$34,F384="Sangat Tinggi",'B.kriteria &amp; R.kecocokan'!$C$35)</f>
        <v>7.5</v>
      </c>
      <c r="H384" s="8" t="str">
        <f>'B.kriteria &amp; R.kecocokan'!$B$41</f>
        <v>Rendah</v>
      </c>
      <c r="I384" s="8">
        <f>_xlfn.IFS(H384="Rendah",'B.kriteria &amp; R.kecocokan'!$C$41,H384="Sedang",'B.kriteria &amp; R.kecocokan'!$C$42,H384="Tinggi",'B.kriteria &amp; R.kecocokan'!$C$43)</f>
        <v>2.5</v>
      </c>
      <c r="J384" s="8" t="str">
        <f>'B.kriteria &amp; R.kecocokan'!$B$72</f>
        <v>Rendah</v>
      </c>
      <c r="K384" s="8">
        <f>_xlfn.IFS(J384="Rendah",'B.kriteria &amp; R.kecocokan'!$C$72,J384="Sedang",'B.kriteria &amp; R.kecocokan'!$C$73,J384="Tinggi",'B.kriteria &amp; R.kecocokan'!$C$74)</f>
        <v>2.5</v>
      </c>
      <c r="L384" s="8" t="str">
        <f>'B.kriteria &amp; R.kecocokan'!$B$95</f>
        <v>Rendah</v>
      </c>
      <c r="M384" s="8">
        <f>_xlfn.IFS(L384="Rendah",'B.kriteria &amp; R.kecocokan'!$C$95,L384="Tinggi",'B.kriteria &amp; R.kecocokan'!$C$96)</f>
        <v>2.5</v>
      </c>
      <c r="N384" s="8" t="str">
        <f>'B.kriteria &amp; R.kecocokan'!$B$80</f>
        <v>Rendah</v>
      </c>
      <c r="O384" s="8">
        <f>_xlfn.IFS(N384="Rendah",'B.kriteria &amp; R.kecocokan'!$C$80,N384="Tinggi",'B.kriteria &amp; R.kecocokan'!$C$81)</f>
        <v>2.5</v>
      </c>
      <c r="P384" s="9" t="str">
        <f>'B.kriteria &amp; R.kecocokan'!$B$90</f>
        <v>Sangat Sedikit</v>
      </c>
      <c r="Q384" s="8">
        <f>_xlfn.IFS(P384="Sedikit",'B.kriteria &amp; R.kecocokan'!$C$89,P384="Sedang",'B.kriteria &amp; R.kecocokan'!$C$88,P384="Sangat Sedikit",'B.kriteria &amp; R.kecocokan'!$C$90)</f>
        <v>1</v>
      </c>
      <c r="R384" s="8" t="str">
        <f>'B.kriteria &amp; R.kecocokan'!$B$49</f>
        <v>Rendah</v>
      </c>
      <c r="S384" s="8">
        <f>_xlfn.IFS(R384="Rendah",'B.kriteria &amp; R.kecocokan'!$C$49,R384="Sedang",'B.kriteria &amp; R.kecocokan'!$C$50,R384="Tinggi",'B.kriteria &amp; R.kecocokan'!$C$51)</f>
        <v>2.5</v>
      </c>
      <c r="T384" s="8" t="str">
        <f>'B.kriteria &amp; R.kecocokan'!$B$57</f>
        <v>Rendah</v>
      </c>
      <c r="U384" s="51">
        <f>_xlfn.IFS(T384="Rendah",'B.kriteria &amp; R.kecocokan'!$C$57,T384="Sedang",'B.kriteria &amp; R.kecocokan'!$C$58,T384="Tinggi",'B.kriteria &amp; R.kecocokan'!$C$59)</f>
        <v>2.5</v>
      </c>
      <c r="V384" s="51" t="str">
        <f>'B.kriteria &amp; R.kecocokan'!$B$65</f>
        <v>Rendah</v>
      </c>
      <c r="W384" s="9">
        <f>_xlfn.IFS(V384="Rendah",'B.kriteria &amp; R.kecocokan'!$C$65,V384="Sedang",'B.kriteria &amp; R.kecocokan'!$C$66,V384="Tinggi",'B.kriteria &amp; R.kecocokan'!$C$67)</f>
        <v>1</v>
      </c>
      <c r="X384" s="117">
        <f t="shared" si="34"/>
        <v>6.5845784406663901</v>
      </c>
      <c r="Y384" s="117">
        <f t="shared" si="35"/>
        <v>3.2716384228428539</v>
      </c>
      <c r="Z384" s="119">
        <f t="shared" si="36"/>
        <v>3.2716384228428539</v>
      </c>
      <c r="AA384" s="52" t="str">
        <f t="shared" si="37"/>
        <v>Tidak Layak</v>
      </c>
      <c r="AB384" s="55" t="s">
        <v>347</v>
      </c>
    </row>
    <row r="385" spans="1:28" x14ac:dyDescent="0.35">
      <c r="A385" s="5">
        <v>60</v>
      </c>
      <c r="B385" s="2" t="s">
        <v>203</v>
      </c>
      <c r="C385" s="11" t="s">
        <v>95</v>
      </c>
      <c r="D385" s="28" t="str">
        <f>'B.kriteria &amp; R.kecocokan'!$B$25</f>
        <v>Sedikit</v>
      </c>
      <c r="E385" s="111">
        <f>_xlfn.IFS(D385="Banyak",'B.kriteria &amp; R.kecocokan'!$C$23,D385="Cukup",'B.kriteria &amp; R.kecocokan'!$C$24,D385="Sedikit",'B.kriteria &amp; R.kecocokan'!$C$25)</f>
        <v>7.5</v>
      </c>
      <c r="F385" s="9" t="str">
        <f>'B.kriteria &amp; R.kecocokan'!$B$34</f>
        <v>Tinggi</v>
      </c>
      <c r="G385" s="8">
        <f>_xlfn.IFS(F385="Tinggi",'B.kriteria &amp; R.kecocokan'!$C$34,F385="Sangat Tinggi",'B.kriteria &amp; R.kecocokan'!$C$35)</f>
        <v>7.5</v>
      </c>
      <c r="H385" s="8" t="str">
        <f>'B.kriteria &amp; R.kecocokan'!$B$41</f>
        <v>Rendah</v>
      </c>
      <c r="I385" s="8">
        <f>_xlfn.IFS(H385="Rendah",'B.kriteria &amp; R.kecocokan'!$C$41,H385="Sedang",'B.kriteria &amp; R.kecocokan'!$C$42,H385="Tinggi",'B.kriteria &amp; R.kecocokan'!$C$43)</f>
        <v>2.5</v>
      </c>
      <c r="J385" s="8" t="str">
        <f>'B.kriteria &amp; R.kecocokan'!$B$72</f>
        <v>Rendah</v>
      </c>
      <c r="K385" s="8">
        <f>_xlfn.IFS(J385="Rendah",'B.kriteria &amp; R.kecocokan'!$C$72,J385="Sedang",'B.kriteria &amp; R.kecocokan'!$C$73,J385="Tinggi",'B.kriteria &amp; R.kecocokan'!$C$74)</f>
        <v>2.5</v>
      </c>
      <c r="L385" s="8" t="str">
        <f>'B.kriteria &amp; R.kecocokan'!$B$95</f>
        <v>Rendah</v>
      </c>
      <c r="M385" s="8">
        <f>_xlfn.IFS(L385="Rendah",'B.kriteria &amp; R.kecocokan'!$C$95,L385="Tinggi",'B.kriteria &amp; R.kecocokan'!$C$96)</f>
        <v>2.5</v>
      </c>
      <c r="N385" s="9" t="str">
        <f>'B.kriteria &amp; R.kecocokan'!$B$81</f>
        <v>Tinggi</v>
      </c>
      <c r="O385" s="8">
        <f>_xlfn.IFS(N385="Rendah",'B.kriteria &amp; R.kecocokan'!$C$80,N385="Tinggi",'B.kriteria &amp; R.kecocokan'!$C$81)</f>
        <v>7.5</v>
      </c>
      <c r="P385" s="9" t="str">
        <f>'B.kriteria &amp; R.kecocokan'!$B$90</f>
        <v>Sangat Sedikit</v>
      </c>
      <c r="Q385" s="8">
        <f>_xlfn.IFS(P385="Sedikit",'B.kriteria &amp; R.kecocokan'!$C$89,P385="Sedang",'B.kriteria &amp; R.kecocokan'!$C$88,P385="Sangat Sedikit",'B.kriteria &amp; R.kecocokan'!$C$90)</f>
        <v>1</v>
      </c>
      <c r="R385" s="8" t="str">
        <f>'B.kriteria &amp; R.kecocokan'!$B$49</f>
        <v>Rendah</v>
      </c>
      <c r="S385" s="8">
        <f>_xlfn.IFS(R385="Rendah",'B.kriteria &amp; R.kecocokan'!$C$49,R385="Sedang",'B.kriteria &amp; R.kecocokan'!$C$50,R385="Tinggi",'B.kriteria &amp; R.kecocokan'!$C$51)</f>
        <v>2.5</v>
      </c>
      <c r="T385" s="8" t="str">
        <f>'B.kriteria &amp; R.kecocokan'!$B$57</f>
        <v>Rendah</v>
      </c>
      <c r="U385" s="51">
        <f>_xlfn.IFS(T385="Rendah",'B.kriteria &amp; R.kecocokan'!$C$57,T385="Sedang",'B.kriteria &amp; R.kecocokan'!$C$58,T385="Tinggi",'B.kriteria &amp; R.kecocokan'!$C$59)</f>
        <v>2.5</v>
      </c>
      <c r="V385" s="51" t="str">
        <f>'B.kriteria &amp; R.kecocokan'!$B$65</f>
        <v>Rendah</v>
      </c>
      <c r="W385" s="9">
        <f>_xlfn.IFS(V385="Rendah",'B.kriteria &amp; R.kecocokan'!$C$65,V385="Sedang",'B.kriteria &amp; R.kecocokan'!$C$66,V385="Tinggi",'B.kriteria &amp; R.kecocokan'!$C$67)</f>
        <v>1</v>
      </c>
      <c r="X385" s="117">
        <f t="shared" si="34"/>
        <v>2.0625491845588853</v>
      </c>
      <c r="Y385" s="117">
        <f t="shared" si="35"/>
        <v>6.4233304076138902</v>
      </c>
      <c r="Z385" s="119">
        <f t="shared" si="36"/>
        <v>2.0625491845588853</v>
      </c>
      <c r="AA385" s="52" t="str">
        <f t="shared" si="37"/>
        <v>Layak</v>
      </c>
      <c r="AB385" s="55" t="s">
        <v>347</v>
      </c>
    </row>
    <row r="386" spans="1:28" x14ac:dyDescent="0.35">
      <c r="A386" s="5">
        <v>61</v>
      </c>
      <c r="B386" s="2" t="s">
        <v>123</v>
      </c>
      <c r="C386" s="11" t="s">
        <v>95</v>
      </c>
      <c r="D386" s="28" t="str">
        <f>'B.kriteria &amp; R.kecocokan'!$B$25</f>
        <v>Sedikit</v>
      </c>
      <c r="E386" s="111">
        <f>_xlfn.IFS(D386="Banyak",'B.kriteria &amp; R.kecocokan'!$C$23,D386="Cukup",'B.kriteria &amp; R.kecocokan'!$C$24,D386="Sedikit",'B.kriteria &amp; R.kecocokan'!$C$25)</f>
        <v>7.5</v>
      </c>
      <c r="F386" s="9" t="str">
        <f>'B.kriteria &amp; R.kecocokan'!$B$34</f>
        <v>Tinggi</v>
      </c>
      <c r="G386" s="8">
        <f>_xlfn.IFS(F386="Tinggi",'B.kriteria &amp; R.kecocokan'!$C$34,F386="Sangat Tinggi",'B.kriteria &amp; R.kecocokan'!$C$35)</f>
        <v>7.5</v>
      </c>
      <c r="H386" s="8" t="str">
        <f>'B.kriteria &amp; R.kecocokan'!$B$41</f>
        <v>Rendah</v>
      </c>
      <c r="I386" s="8">
        <f>_xlfn.IFS(H386="Rendah",'B.kriteria &amp; R.kecocokan'!$C$41,H386="Sedang",'B.kriteria &amp; R.kecocokan'!$C$42,H386="Tinggi",'B.kriteria &amp; R.kecocokan'!$C$43)</f>
        <v>2.5</v>
      </c>
      <c r="J386" s="8" t="str">
        <f>'B.kriteria &amp; R.kecocokan'!$B$72</f>
        <v>Rendah</v>
      </c>
      <c r="K386" s="8">
        <f>_xlfn.IFS(J386="Rendah",'B.kriteria &amp; R.kecocokan'!$C$72,J386="Sedang",'B.kriteria &amp; R.kecocokan'!$C$73,J386="Tinggi",'B.kriteria &amp; R.kecocokan'!$C$74)</f>
        <v>2.5</v>
      </c>
      <c r="L386" s="8" t="str">
        <f>'B.kriteria &amp; R.kecocokan'!$B$95</f>
        <v>Rendah</v>
      </c>
      <c r="M386" s="8">
        <f>_xlfn.IFS(L386="Rendah",'B.kriteria &amp; R.kecocokan'!$C$95,L386="Tinggi",'B.kriteria &amp; R.kecocokan'!$C$96)</f>
        <v>2.5</v>
      </c>
      <c r="N386" s="8" t="str">
        <f>'B.kriteria &amp; R.kecocokan'!$B$80</f>
        <v>Rendah</v>
      </c>
      <c r="O386" s="8">
        <f>_xlfn.IFS(N386="Rendah",'B.kriteria &amp; R.kecocokan'!$C$80,N386="Tinggi",'B.kriteria &amp; R.kecocokan'!$C$81)</f>
        <v>2.5</v>
      </c>
      <c r="P386" s="8" t="str">
        <f>'B.kriteria &amp; R.kecocokan'!$B$89</f>
        <v>Sedikit</v>
      </c>
      <c r="Q386" s="8">
        <f>_xlfn.IFS(P386="Sedikit",'B.kriteria &amp; R.kecocokan'!$C$89,P386="Sedang",'B.kriteria &amp; R.kecocokan'!$C$88,P386="Sangat Sedikit",'B.kriteria &amp; R.kecocokan'!$C$90)</f>
        <v>2.5</v>
      </c>
      <c r="R386" s="8" t="str">
        <f>'B.kriteria &amp; R.kecocokan'!$B$49</f>
        <v>Rendah</v>
      </c>
      <c r="S386" s="8">
        <f>_xlfn.IFS(R386="Rendah",'B.kriteria &amp; R.kecocokan'!$C$49,R386="Sedang",'B.kriteria &amp; R.kecocokan'!$C$50,R386="Tinggi",'B.kriteria &amp; R.kecocokan'!$C$51)</f>
        <v>2.5</v>
      </c>
      <c r="T386" s="8" t="str">
        <f>'B.kriteria &amp; R.kecocokan'!$B$57</f>
        <v>Rendah</v>
      </c>
      <c r="U386" s="51">
        <f>_xlfn.IFS(T386="Rendah",'B.kriteria &amp; R.kecocokan'!$C$57,T386="Sedang",'B.kriteria &amp; R.kecocokan'!$C$58,T386="Tinggi",'B.kriteria &amp; R.kecocokan'!$C$59)</f>
        <v>2.5</v>
      </c>
      <c r="V386" s="51" t="str">
        <f>'B.kriteria &amp; R.kecocokan'!$B$65</f>
        <v>Rendah</v>
      </c>
      <c r="W386" s="9">
        <f>_xlfn.IFS(V386="Rendah",'B.kriteria &amp; R.kecocokan'!$C$65,V386="Sedang",'B.kriteria &amp; R.kecocokan'!$C$66,V386="Tinggi",'B.kriteria &amp; R.kecocokan'!$C$67)</f>
        <v>1</v>
      </c>
      <c r="X386" s="117">
        <f t="shared" si="34"/>
        <v>5.4881229718464892</v>
      </c>
      <c r="Y386" s="117">
        <f t="shared" si="35"/>
        <v>3.2231666346943433</v>
      </c>
      <c r="Z386" s="119">
        <f t="shared" si="36"/>
        <v>3.2231666346943433</v>
      </c>
      <c r="AA386" s="52" t="str">
        <f t="shared" si="37"/>
        <v>Tidak Layak</v>
      </c>
      <c r="AB386" s="55" t="s">
        <v>347</v>
      </c>
    </row>
    <row r="387" spans="1:28" x14ac:dyDescent="0.35">
      <c r="A387" s="1">
        <v>62</v>
      </c>
      <c r="B387" s="2" t="s">
        <v>233</v>
      </c>
      <c r="C387" s="11" t="s">
        <v>95</v>
      </c>
      <c r="D387" s="28" t="str">
        <f>'B.kriteria &amp; R.kecocokan'!$B$25</f>
        <v>Sedikit</v>
      </c>
      <c r="E387" s="111">
        <f>_xlfn.IFS(D387="Banyak",'B.kriteria &amp; R.kecocokan'!$C$23,D387="Cukup",'B.kriteria &amp; R.kecocokan'!$C$24,D387="Sedikit",'B.kriteria &amp; R.kecocokan'!$C$25)</f>
        <v>7.5</v>
      </c>
      <c r="F387" s="9" t="str">
        <f>'B.kriteria &amp; R.kecocokan'!$B$34</f>
        <v>Tinggi</v>
      </c>
      <c r="G387" s="8">
        <f>_xlfn.IFS(F387="Tinggi",'B.kriteria &amp; R.kecocokan'!$C$34,F387="Sangat Tinggi",'B.kriteria &amp; R.kecocokan'!$C$35)</f>
        <v>7.5</v>
      </c>
      <c r="H387" s="8" t="str">
        <f>'B.kriteria &amp; R.kecocokan'!$B$41</f>
        <v>Rendah</v>
      </c>
      <c r="I387" s="8">
        <f>_xlfn.IFS(H387="Rendah",'B.kriteria &amp; R.kecocokan'!$C$41,H387="Sedang",'B.kriteria &amp; R.kecocokan'!$C$42,H387="Tinggi",'B.kriteria &amp; R.kecocokan'!$C$43)</f>
        <v>2.5</v>
      </c>
      <c r="J387" s="8" t="str">
        <f>'B.kriteria &amp; R.kecocokan'!$B$72</f>
        <v>Rendah</v>
      </c>
      <c r="K387" s="8">
        <f>_xlfn.IFS(J387="Rendah",'B.kriteria &amp; R.kecocokan'!$C$72,J387="Sedang",'B.kriteria &amp; R.kecocokan'!$C$73,J387="Tinggi",'B.kriteria &amp; R.kecocokan'!$C$74)</f>
        <v>2.5</v>
      </c>
      <c r="L387" s="8" t="str">
        <f>'B.kriteria &amp; R.kecocokan'!$B$95</f>
        <v>Rendah</v>
      </c>
      <c r="M387" s="8">
        <f>_xlfn.IFS(L387="Rendah",'B.kriteria &amp; R.kecocokan'!$C$95,L387="Tinggi",'B.kriteria &amp; R.kecocokan'!$C$96)</f>
        <v>2.5</v>
      </c>
      <c r="N387" s="9" t="str">
        <f>'B.kriteria &amp; R.kecocokan'!$B$81</f>
        <v>Tinggi</v>
      </c>
      <c r="O387" s="8">
        <f>_xlfn.IFS(N387="Rendah",'B.kriteria &amp; R.kecocokan'!$C$80,N387="Tinggi",'B.kriteria &amp; R.kecocokan'!$C$81)</f>
        <v>7.5</v>
      </c>
      <c r="P387" s="9" t="str">
        <f>'B.kriteria &amp; R.kecocokan'!$B$90</f>
        <v>Sangat Sedikit</v>
      </c>
      <c r="Q387" s="8">
        <f>_xlfn.IFS(P387="Sedikit",'B.kriteria &amp; R.kecocokan'!$C$89,P387="Sedang",'B.kriteria &amp; R.kecocokan'!$C$88,P387="Sangat Sedikit",'B.kriteria &amp; R.kecocokan'!$C$90)</f>
        <v>1</v>
      </c>
      <c r="R387" s="8" t="str">
        <f>'B.kriteria &amp; R.kecocokan'!$B$49</f>
        <v>Rendah</v>
      </c>
      <c r="S387" s="8">
        <f>_xlfn.IFS(R387="Rendah",'B.kriteria &amp; R.kecocokan'!$C$49,R387="Sedang",'B.kriteria &amp; R.kecocokan'!$C$50,R387="Tinggi",'B.kriteria &amp; R.kecocokan'!$C$51)</f>
        <v>2.5</v>
      </c>
      <c r="T387" s="8" t="str">
        <f>'B.kriteria &amp; R.kecocokan'!$B$57</f>
        <v>Rendah</v>
      </c>
      <c r="U387" s="51">
        <f>_xlfn.IFS(T387="Rendah",'B.kriteria &amp; R.kecocokan'!$C$57,T387="Sedang",'B.kriteria &amp; R.kecocokan'!$C$58,T387="Tinggi",'B.kriteria &amp; R.kecocokan'!$C$59)</f>
        <v>2.5</v>
      </c>
      <c r="V387" s="51" t="str">
        <f>'B.kriteria &amp; R.kecocokan'!$B$65</f>
        <v>Rendah</v>
      </c>
      <c r="W387" s="9">
        <f>_xlfn.IFS(V387="Rendah",'B.kriteria &amp; R.kecocokan'!$C$65,V387="Sedang",'B.kriteria &amp; R.kecocokan'!$C$66,V387="Tinggi",'B.kriteria &amp; R.kecocokan'!$C$67)</f>
        <v>1</v>
      </c>
      <c r="X387" s="117">
        <f t="shared" si="34"/>
        <v>2.0625491845588853</v>
      </c>
      <c r="Y387" s="117">
        <f t="shared" si="35"/>
        <v>6.4233304076138902</v>
      </c>
      <c r="Z387" s="119">
        <f t="shared" si="36"/>
        <v>2.0625491845588853</v>
      </c>
      <c r="AA387" s="52" t="str">
        <f t="shared" si="37"/>
        <v>Layak</v>
      </c>
      <c r="AB387" s="55" t="s">
        <v>349</v>
      </c>
    </row>
    <row r="388" spans="1:28" x14ac:dyDescent="0.35">
      <c r="A388" s="5">
        <v>63</v>
      </c>
      <c r="B388" s="2" t="s">
        <v>211</v>
      </c>
      <c r="C388" s="11" t="s">
        <v>95</v>
      </c>
      <c r="D388" s="9" t="str">
        <f>'B.kriteria &amp; R.kecocokan'!$B$23</f>
        <v>Banyak</v>
      </c>
      <c r="E388" s="111">
        <f>_xlfn.IFS(D388="Banyak",'B.kriteria &amp; R.kecocokan'!$C$23,D388="Cukup",'B.kriteria &amp; R.kecocokan'!$C$24,D388="Sedikit",'B.kriteria &amp; R.kecocokan'!$C$25)</f>
        <v>2.5</v>
      </c>
      <c r="F388" s="9" t="str">
        <f>'B.kriteria &amp; R.kecocokan'!$B$34</f>
        <v>Tinggi</v>
      </c>
      <c r="G388" s="8">
        <f>_xlfn.IFS(F388="Tinggi",'B.kriteria &amp; R.kecocokan'!$C$34,F388="Sangat Tinggi",'B.kriteria &amp; R.kecocokan'!$C$35)</f>
        <v>7.5</v>
      </c>
      <c r="H388" s="8" t="str">
        <f>'B.kriteria &amp; R.kecocokan'!$B$41</f>
        <v>Rendah</v>
      </c>
      <c r="I388" s="8">
        <f>_xlfn.IFS(H388="Rendah",'B.kriteria &amp; R.kecocokan'!$C$41,H388="Sedang",'B.kriteria &amp; R.kecocokan'!$C$42,H388="Tinggi",'B.kriteria &amp; R.kecocokan'!$C$43)</f>
        <v>2.5</v>
      </c>
      <c r="J388" s="8" t="str">
        <f>'B.kriteria &amp; R.kecocokan'!$B$72</f>
        <v>Rendah</v>
      </c>
      <c r="K388" s="8">
        <f>_xlfn.IFS(J388="Rendah",'B.kriteria &amp; R.kecocokan'!$C$72,J388="Sedang",'B.kriteria &amp; R.kecocokan'!$C$73,J388="Tinggi",'B.kriteria &amp; R.kecocokan'!$C$74)</f>
        <v>2.5</v>
      </c>
      <c r="L388" s="8" t="str">
        <f>'B.kriteria &amp; R.kecocokan'!$B$95</f>
        <v>Rendah</v>
      </c>
      <c r="M388" s="8">
        <f>_xlfn.IFS(L388="Rendah",'B.kriteria &amp; R.kecocokan'!$C$95,L388="Tinggi",'B.kriteria &amp; R.kecocokan'!$C$96)</f>
        <v>2.5</v>
      </c>
      <c r="N388" s="9" t="str">
        <f>'B.kriteria &amp; R.kecocokan'!$B$81</f>
        <v>Tinggi</v>
      </c>
      <c r="O388" s="8">
        <f>_xlfn.IFS(N388="Rendah",'B.kriteria &amp; R.kecocokan'!$C$80,N388="Tinggi",'B.kriteria &amp; R.kecocokan'!$C$81)</f>
        <v>7.5</v>
      </c>
      <c r="P388" s="9" t="str">
        <f>'B.kriteria &amp; R.kecocokan'!$B$90</f>
        <v>Sangat Sedikit</v>
      </c>
      <c r="Q388" s="8">
        <f>_xlfn.IFS(P388="Sedikit",'B.kriteria &amp; R.kecocokan'!$C$89,P388="Sedang",'B.kriteria &amp; R.kecocokan'!$C$88,P388="Sangat Sedikit",'B.kriteria &amp; R.kecocokan'!$C$90)</f>
        <v>1</v>
      </c>
      <c r="R388" s="8" t="str">
        <f>'B.kriteria &amp; R.kecocokan'!$B$49</f>
        <v>Rendah</v>
      </c>
      <c r="S388" s="8">
        <f>_xlfn.IFS(R388="Rendah",'B.kriteria &amp; R.kecocokan'!$C$49,R388="Sedang",'B.kriteria &amp; R.kecocokan'!$C$50,R388="Tinggi",'B.kriteria &amp; R.kecocokan'!$C$51)</f>
        <v>2.5</v>
      </c>
      <c r="T388" s="8" t="str">
        <f>'B.kriteria &amp; R.kecocokan'!$B$57</f>
        <v>Rendah</v>
      </c>
      <c r="U388" s="51">
        <f>_xlfn.IFS(T388="Rendah",'B.kriteria &amp; R.kecocokan'!$C$57,T388="Sedang",'B.kriteria &amp; R.kecocokan'!$C$58,T388="Tinggi",'B.kriteria &amp; R.kecocokan'!$C$59)</f>
        <v>2.5</v>
      </c>
      <c r="V388" s="51" t="str">
        <f>'B.kriteria &amp; R.kecocokan'!$B$65</f>
        <v>Rendah</v>
      </c>
      <c r="W388" s="9">
        <f>_xlfn.IFS(V388="Rendah",'B.kriteria &amp; R.kecocokan'!$C$65,V388="Sedang",'B.kriteria &amp; R.kecocokan'!$C$66,V388="Tinggi",'B.kriteria &amp; R.kecocokan'!$C$67)</f>
        <v>1</v>
      </c>
      <c r="X388" s="117">
        <f t="shared" si="34"/>
        <v>4.2844688400417414</v>
      </c>
      <c r="Y388" s="117">
        <f t="shared" si="35"/>
        <v>6.052234620018262</v>
      </c>
      <c r="Z388" s="119">
        <f t="shared" si="36"/>
        <v>4.2844688400417414</v>
      </c>
      <c r="AA388" s="52" t="str">
        <f t="shared" si="37"/>
        <v>Layak</v>
      </c>
      <c r="AB388" s="55" t="s">
        <v>347</v>
      </c>
    </row>
    <row r="389" spans="1:28" x14ac:dyDescent="0.35">
      <c r="A389" s="5">
        <v>64</v>
      </c>
      <c r="B389" s="2" t="s">
        <v>207</v>
      </c>
      <c r="C389" s="11" t="s">
        <v>235</v>
      </c>
      <c r="D389" s="28" t="str">
        <f>'B.kriteria &amp; R.kecocokan'!$B$25</f>
        <v>Sedikit</v>
      </c>
      <c r="E389" s="111">
        <f>_xlfn.IFS(D389="Banyak",'B.kriteria &amp; R.kecocokan'!$C$23,D389="Cukup",'B.kriteria &amp; R.kecocokan'!$C$24,D389="Sedikit",'B.kriteria &amp; R.kecocokan'!$C$25)</f>
        <v>7.5</v>
      </c>
      <c r="F389" s="9" t="str">
        <f>'B.kriteria &amp; R.kecocokan'!$B$34</f>
        <v>Tinggi</v>
      </c>
      <c r="G389" s="8">
        <f>_xlfn.IFS(F389="Tinggi",'B.kriteria &amp; R.kecocokan'!$C$34,F389="Sangat Tinggi",'B.kriteria &amp; R.kecocokan'!$C$35)</f>
        <v>7.5</v>
      </c>
      <c r="H389" s="8" t="str">
        <f>'B.kriteria &amp; R.kecocokan'!$B$41</f>
        <v>Rendah</v>
      </c>
      <c r="I389" s="8">
        <f>_xlfn.IFS(H389="Rendah",'B.kriteria &amp; R.kecocokan'!$C$41,H389="Sedang",'B.kriteria &amp; R.kecocokan'!$C$42,H389="Tinggi",'B.kriteria &amp; R.kecocokan'!$C$43)</f>
        <v>2.5</v>
      </c>
      <c r="J389" s="8" t="str">
        <f>'B.kriteria &amp; R.kecocokan'!$B$72</f>
        <v>Rendah</v>
      </c>
      <c r="K389" s="8">
        <f>_xlfn.IFS(J389="Rendah",'B.kriteria &amp; R.kecocokan'!$C$72,J389="Sedang",'B.kriteria &amp; R.kecocokan'!$C$73,J389="Tinggi",'B.kriteria &amp; R.kecocokan'!$C$74)</f>
        <v>2.5</v>
      </c>
      <c r="L389" s="8" t="str">
        <f>'B.kriteria &amp; R.kecocokan'!$B$95</f>
        <v>Rendah</v>
      </c>
      <c r="M389" s="8">
        <f>_xlfn.IFS(L389="Rendah",'B.kriteria &amp; R.kecocokan'!$C$95,L389="Tinggi",'B.kriteria &amp; R.kecocokan'!$C$96)</f>
        <v>2.5</v>
      </c>
      <c r="N389" s="9" t="str">
        <f>'B.kriteria &amp; R.kecocokan'!$B$81</f>
        <v>Tinggi</v>
      </c>
      <c r="O389" s="8">
        <f>_xlfn.IFS(N389="Rendah",'B.kriteria &amp; R.kecocokan'!$C$80,N389="Tinggi",'B.kriteria &amp; R.kecocokan'!$C$81)</f>
        <v>7.5</v>
      </c>
      <c r="P389" s="9" t="str">
        <f>'B.kriteria &amp; R.kecocokan'!$B$90</f>
        <v>Sangat Sedikit</v>
      </c>
      <c r="Q389" s="8">
        <f>_xlfn.IFS(P389="Sedikit",'B.kriteria &amp; R.kecocokan'!$C$89,P389="Sedang",'B.kriteria &amp; R.kecocokan'!$C$88,P389="Sangat Sedikit",'B.kriteria &amp; R.kecocokan'!$C$90)</f>
        <v>1</v>
      </c>
      <c r="R389" s="8" t="str">
        <f>'B.kriteria &amp; R.kecocokan'!$B$49</f>
        <v>Rendah</v>
      </c>
      <c r="S389" s="8">
        <f>_xlfn.IFS(R389="Rendah",'B.kriteria &amp; R.kecocokan'!$C$49,R389="Sedang",'B.kriteria &amp; R.kecocokan'!$C$50,R389="Tinggi",'B.kriteria &amp; R.kecocokan'!$C$51)</f>
        <v>2.5</v>
      </c>
      <c r="T389" s="8" t="str">
        <f>'B.kriteria &amp; R.kecocokan'!$B$57</f>
        <v>Rendah</v>
      </c>
      <c r="U389" s="51">
        <f>_xlfn.IFS(T389="Rendah",'B.kriteria &amp; R.kecocokan'!$C$57,T389="Sedang",'B.kriteria &amp; R.kecocokan'!$C$58,T389="Tinggi",'B.kriteria &amp; R.kecocokan'!$C$59)</f>
        <v>2.5</v>
      </c>
      <c r="V389" s="51" t="str">
        <f>'B.kriteria &amp; R.kecocokan'!$B$65</f>
        <v>Rendah</v>
      </c>
      <c r="W389" s="9">
        <f>_xlfn.IFS(V389="Rendah",'B.kriteria &amp; R.kecocokan'!$C$65,V389="Sedang",'B.kriteria &amp; R.kecocokan'!$C$66,V389="Tinggi",'B.kriteria &amp; R.kecocokan'!$C$67)</f>
        <v>1</v>
      </c>
      <c r="X389" s="117">
        <f t="shared" si="34"/>
        <v>2.0625491845588853</v>
      </c>
      <c r="Y389" s="117">
        <f t="shared" si="35"/>
        <v>6.4233304076138902</v>
      </c>
      <c r="Z389" s="119">
        <f t="shared" si="36"/>
        <v>2.0625491845588853</v>
      </c>
      <c r="AA389" s="52" t="str">
        <f t="shared" si="37"/>
        <v>Layak</v>
      </c>
      <c r="AB389" s="55" t="s">
        <v>347</v>
      </c>
    </row>
    <row r="390" spans="1:28" x14ac:dyDescent="0.35">
      <c r="A390" s="1">
        <v>65</v>
      </c>
      <c r="B390" s="2" t="s">
        <v>209</v>
      </c>
      <c r="C390" s="11" t="s">
        <v>95</v>
      </c>
      <c r="D390" s="9" t="str">
        <f>'B.kriteria &amp; R.kecocokan'!$B$23</f>
        <v>Banyak</v>
      </c>
      <c r="E390" s="111">
        <f>_xlfn.IFS(D390="Banyak",'B.kriteria &amp; R.kecocokan'!$C$23,D390="Cukup",'B.kriteria &amp; R.kecocokan'!$C$24,D390="Sedikit",'B.kriteria &amp; R.kecocokan'!$C$25)</f>
        <v>2.5</v>
      </c>
      <c r="F390" s="9" t="str">
        <f>'B.kriteria &amp; R.kecocokan'!$B$34</f>
        <v>Tinggi</v>
      </c>
      <c r="G390" s="8">
        <f>_xlfn.IFS(F390="Tinggi",'B.kriteria &amp; R.kecocokan'!$C$34,F390="Sangat Tinggi",'B.kriteria &amp; R.kecocokan'!$C$35)</f>
        <v>7.5</v>
      </c>
      <c r="H390" s="8" t="str">
        <f>'B.kriteria &amp; R.kecocokan'!$B$41</f>
        <v>Rendah</v>
      </c>
      <c r="I390" s="8">
        <f>_xlfn.IFS(H390="Rendah",'B.kriteria &amp; R.kecocokan'!$C$41,H390="Sedang",'B.kriteria &amp; R.kecocokan'!$C$42,H390="Tinggi",'B.kriteria &amp; R.kecocokan'!$C$43)</f>
        <v>2.5</v>
      </c>
      <c r="J390" s="8" t="str">
        <f>'B.kriteria &amp; R.kecocokan'!$B$72</f>
        <v>Rendah</v>
      </c>
      <c r="K390" s="8">
        <f>_xlfn.IFS(J390="Rendah",'B.kriteria &amp; R.kecocokan'!$C$72,J390="Sedang",'B.kriteria &amp; R.kecocokan'!$C$73,J390="Tinggi",'B.kriteria &amp; R.kecocokan'!$C$74)</f>
        <v>2.5</v>
      </c>
      <c r="L390" s="8" t="str">
        <f>'B.kriteria &amp; R.kecocokan'!$B$95</f>
        <v>Rendah</v>
      </c>
      <c r="M390" s="8">
        <f>_xlfn.IFS(L390="Rendah",'B.kriteria &amp; R.kecocokan'!$C$95,L390="Tinggi",'B.kriteria &amp; R.kecocokan'!$C$96)</f>
        <v>2.5</v>
      </c>
      <c r="N390" s="8" t="str">
        <f>'B.kriteria &amp; R.kecocokan'!$B$80</f>
        <v>Rendah</v>
      </c>
      <c r="O390" s="8">
        <f>_xlfn.IFS(N390="Rendah",'B.kriteria &amp; R.kecocokan'!$C$80,N390="Tinggi",'B.kriteria &amp; R.kecocokan'!$C$81)</f>
        <v>2.5</v>
      </c>
      <c r="P390" s="8" t="str">
        <f>'B.kriteria &amp; R.kecocokan'!$B$89</f>
        <v>Sedikit</v>
      </c>
      <c r="Q390" s="8">
        <f>_xlfn.IFS(P390="Sedikit",'B.kriteria &amp; R.kecocokan'!$C$89,P390="Sedang",'B.kriteria &amp; R.kecocokan'!$C$88,P390="Sangat Sedikit",'B.kriteria &amp; R.kecocokan'!$C$90)</f>
        <v>2.5</v>
      </c>
      <c r="R390" s="8" t="str">
        <f>'B.kriteria &amp; R.kecocokan'!$B$49</f>
        <v>Rendah</v>
      </c>
      <c r="S390" s="8">
        <f>_xlfn.IFS(R390="Rendah",'B.kriteria &amp; R.kecocokan'!$C$49,R390="Sedang",'B.kriteria &amp; R.kecocokan'!$C$50,R390="Tinggi",'B.kriteria &amp; R.kecocokan'!$C$51)</f>
        <v>2.5</v>
      </c>
      <c r="T390" s="8" t="str">
        <f>'B.kriteria &amp; R.kecocokan'!$B$57</f>
        <v>Rendah</v>
      </c>
      <c r="U390" s="51">
        <f>_xlfn.IFS(T390="Rendah",'B.kriteria &amp; R.kecocokan'!$C$57,T390="Sedang",'B.kriteria &amp; R.kecocokan'!$C$58,T390="Tinggi",'B.kriteria &amp; R.kecocokan'!$C$59)</f>
        <v>2.5</v>
      </c>
      <c r="V390" s="51" t="str">
        <f>'B.kriteria &amp; R.kecocokan'!$B$65</f>
        <v>Rendah</v>
      </c>
      <c r="W390" s="9">
        <f>_xlfn.IFS(V390="Rendah",'B.kriteria &amp; R.kecocokan'!$C$65,V390="Sedang",'B.kriteria &amp; R.kecocokan'!$C$66,V390="Tinggi",'B.kriteria &amp; R.kecocokan'!$C$67)</f>
        <v>1</v>
      </c>
      <c r="X390" s="117">
        <f t="shared" si="34"/>
        <v>6.6499667560577507</v>
      </c>
      <c r="Y390" s="117">
        <f t="shared" si="35"/>
        <v>2.3998278116100811</v>
      </c>
      <c r="Z390" s="119">
        <f t="shared" si="36"/>
        <v>2.3998278116100811</v>
      </c>
      <c r="AA390" s="52" t="str">
        <f t="shared" si="37"/>
        <v>Tidak Layak</v>
      </c>
      <c r="AB390" s="55" t="s">
        <v>347</v>
      </c>
    </row>
    <row r="391" spans="1:28" x14ac:dyDescent="0.35">
      <c r="A391" s="5">
        <v>66</v>
      </c>
      <c r="B391" s="2" t="s">
        <v>213</v>
      </c>
      <c r="C391" s="11" t="s">
        <v>95</v>
      </c>
      <c r="D391" s="9" t="str">
        <f>'B.kriteria &amp; R.kecocokan'!$B$23</f>
        <v>Banyak</v>
      </c>
      <c r="E391" s="111">
        <f>_xlfn.IFS(D391="Banyak",'B.kriteria &amp; R.kecocokan'!$C$23,D391="Cukup",'B.kriteria &amp; R.kecocokan'!$C$24,D391="Sedikit",'B.kriteria &amp; R.kecocokan'!$C$25)</f>
        <v>2.5</v>
      </c>
      <c r="F391" s="9" t="str">
        <f>'B.kriteria &amp; R.kecocokan'!$B$34</f>
        <v>Tinggi</v>
      </c>
      <c r="G391" s="8">
        <f>_xlfn.IFS(F391="Tinggi",'B.kriteria &amp; R.kecocokan'!$C$34,F391="Sangat Tinggi",'B.kriteria &amp; R.kecocokan'!$C$35)</f>
        <v>7.5</v>
      </c>
      <c r="H391" s="8" t="str">
        <f>'B.kriteria &amp; R.kecocokan'!$B$41</f>
        <v>Rendah</v>
      </c>
      <c r="I391" s="8">
        <f>_xlfn.IFS(H391="Rendah",'B.kriteria &amp; R.kecocokan'!$C$41,H391="Sedang",'B.kriteria &amp; R.kecocokan'!$C$42,H391="Tinggi",'B.kriteria &amp; R.kecocokan'!$C$43)</f>
        <v>2.5</v>
      </c>
      <c r="J391" s="8" t="str">
        <f>'B.kriteria &amp; R.kecocokan'!$B$72</f>
        <v>Rendah</v>
      </c>
      <c r="K391" s="8">
        <f>_xlfn.IFS(J391="Rendah",'B.kriteria &amp; R.kecocokan'!$C$72,J391="Sedang",'B.kriteria &amp; R.kecocokan'!$C$73,J391="Tinggi",'B.kriteria &amp; R.kecocokan'!$C$74)</f>
        <v>2.5</v>
      </c>
      <c r="L391" s="8" t="str">
        <f>'B.kriteria &amp; R.kecocokan'!$B$95</f>
        <v>Rendah</v>
      </c>
      <c r="M391" s="8">
        <f>_xlfn.IFS(L391="Rendah",'B.kriteria &amp; R.kecocokan'!$C$95,L391="Tinggi",'B.kriteria &amp; R.kecocokan'!$C$96)</f>
        <v>2.5</v>
      </c>
      <c r="N391" s="8" t="str">
        <f>'B.kriteria &amp; R.kecocokan'!$B$80</f>
        <v>Rendah</v>
      </c>
      <c r="O391" s="8">
        <f>_xlfn.IFS(N391="Rendah",'B.kriteria &amp; R.kecocokan'!$C$80,N391="Tinggi",'B.kriteria &amp; R.kecocokan'!$C$81)</f>
        <v>2.5</v>
      </c>
      <c r="P391" s="8" t="str">
        <f>'B.kriteria &amp; R.kecocokan'!$B$89</f>
        <v>Sedikit</v>
      </c>
      <c r="Q391" s="8">
        <f>_xlfn.IFS(P391="Sedikit",'B.kriteria &amp; R.kecocokan'!$C$89,P391="Sedang",'B.kriteria &amp; R.kecocokan'!$C$88,P391="Sangat Sedikit",'B.kriteria &amp; R.kecocokan'!$C$90)</f>
        <v>2.5</v>
      </c>
      <c r="R391" s="8" t="str">
        <f>'B.kriteria &amp; R.kecocokan'!$B$49</f>
        <v>Rendah</v>
      </c>
      <c r="S391" s="8">
        <f>_xlfn.IFS(R391="Rendah",'B.kriteria &amp; R.kecocokan'!$C$49,R391="Sedang",'B.kriteria &amp; R.kecocokan'!$C$50,R391="Tinggi",'B.kriteria &amp; R.kecocokan'!$C$51)</f>
        <v>2.5</v>
      </c>
      <c r="T391" s="8" t="str">
        <f>'B.kriteria &amp; R.kecocokan'!$B$57</f>
        <v>Rendah</v>
      </c>
      <c r="U391" s="51">
        <f>_xlfn.IFS(T391="Rendah",'B.kriteria &amp; R.kecocokan'!$C$57,T391="Sedang",'B.kriteria &amp; R.kecocokan'!$C$58,T391="Tinggi",'B.kriteria &amp; R.kecocokan'!$C$59)</f>
        <v>2.5</v>
      </c>
      <c r="V391" s="51" t="str">
        <f>'B.kriteria &amp; R.kecocokan'!$B$65</f>
        <v>Rendah</v>
      </c>
      <c r="W391" s="9">
        <f>_xlfn.IFS(V391="Rendah",'B.kriteria &amp; R.kecocokan'!$C$65,V391="Sedang",'B.kriteria &amp; R.kecocokan'!$C$66,V391="Tinggi",'B.kriteria &amp; R.kecocokan'!$C$67)</f>
        <v>1</v>
      </c>
      <c r="X391" s="117">
        <f t="shared" si="34"/>
        <v>6.6499667560577507</v>
      </c>
      <c r="Y391" s="117">
        <f t="shared" si="35"/>
        <v>2.3998278116100811</v>
      </c>
      <c r="Z391" s="119">
        <f t="shared" si="36"/>
        <v>2.3998278116100811</v>
      </c>
      <c r="AA391" s="52" t="str">
        <f t="shared" si="37"/>
        <v>Tidak Layak</v>
      </c>
      <c r="AB391" s="55" t="s">
        <v>347</v>
      </c>
    </row>
    <row r="392" spans="1:28" x14ac:dyDescent="0.35">
      <c r="A392" s="5">
        <v>67</v>
      </c>
      <c r="B392" s="2" t="s">
        <v>215</v>
      </c>
      <c r="C392" s="11" t="s">
        <v>95</v>
      </c>
      <c r="D392" s="32" t="str">
        <f>'B.kriteria &amp; R.kecocokan'!$B$24</f>
        <v>Cukup</v>
      </c>
      <c r="E392" s="111">
        <f>_xlfn.IFS(D392="Banyak",'B.kriteria &amp; R.kecocokan'!$C$23,D392="Cukup",'B.kriteria &amp; R.kecocokan'!$C$24,D392="Sedikit",'B.kriteria &amp; R.kecocokan'!$C$25)</f>
        <v>5</v>
      </c>
      <c r="F392" s="9" t="str">
        <f>'B.kriteria &amp; R.kecocokan'!$B$34</f>
        <v>Tinggi</v>
      </c>
      <c r="G392" s="8">
        <f>_xlfn.IFS(F392="Tinggi",'B.kriteria &amp; R.kecocokan'!$C$34,F392="Sangat Tinggi",'B.kriteria &amp; R.kecocokan'!$C$35)</f>
        <v>7.5</v>
      </c>
      <c r="H392" s="8" t="str">
        <f>'B.kriteria &amp; R.kecocokan'!$B$41</f>
        <v>Rendah</v>
      </c>
      <c r="I392" s="8">
        <f>_xlfn.IFS(H392="Rendah",'B.kriteria &amp; R.kecocokan'!$C$41,H392="Sedang",'B.kriteria &amp; R.kecocokan'!$C$42,H392="Tinggi",'B.kriteria &amp; R.kecocokan'!$C$43)</f>
        <v>2.5</v>
      </c>
      <c r="J392" s="8" t="str">
        <f>'B.kriteria &amp; R.kecocokan'!$B$72</f>
        <v>Rendah</v>
      </c>
      <c r="K392" s="8">
        <f>_xlfn.IFS(J392="Rendah",'B.kriteria &amp; R.kecocokan'!$C$72,J392="Sedang",'B.kriteria &amp; R.kecocokan'!$C$73,J392="Tinggi",'B.kriteria &amp; R.kecocokan'!$C$74)</f>
        <v>2.5</v>
      </c>
      <c r="L392" s="8" t="str">
        <f>'B.kriteria &amp; R.kecocokan'!$B$95</f>
        <v>Rendah</v>
      </c>
      <c r="M392" s="8">
        <f>_xlfn.IFS(L392="Rendah",'B.kriteria &amp; R.kecocokan'!$C$95,L392="Tinggi",'B.kriteria &amp; R.kecocokan'!$C$96)</f>
        <v>2.5</v>
      </c>
      <c r="N392" s="8" t="str">
        <f>'B.kriteria &amp; R.kecocokan'!$B$80</f>
        <v>Rendah</v>
      </c>
      <c r="O392" s="8">
        <f>_xlfn.IFS(N392="Rendah",'B.kriteria &amp; R.kecocokan'!$C$80,N392="Tinggi",'B.kriteria &amp; R.kecocokan'!$C$81)</f>
        <v>2.5</v>
      </c>
      <c r="P392" s="8" t="str">
        <f>'B.kriteria &amp; R.kecocokan'!$B$89</f>
        <v>Sedikit</v>
      </c>
      <c r="Q392" s="8">
        <f>_xlfn.IFS(P392="Sedikit",'B.kriteria &amp; R.kecocokan'!$C$89,P392="Sedang",'B.kriteria &amp; R.kecocokan'!$C$88,P392="Sangat Sedikit",'B.kriteria &amp; R.kecocokan'!$C$90)</f>
        <v>2.5</v>
      </c>
      <c r="R392" s="8" t="str">
        <f>'B.kriteria &amp; R.kecocokan'!$B$49</f>
        <v>Rendah</v>
      </c>
      <c r="S392" s="8">
        <f>_xlfn.IFS(R392="Rendah",'B.kriteria &amp; R.kecocokan'!$C$49,R392="Sedang",'B.kriteria &amp; R.kecocokan'!$C$50,R392="Tinggi",'B.kriteria &amp; R.kecocokan'!$C$51)</f>
        <v>2.5</v>
      </c>
      <c r="T392" s="8" t="str">
        <f>'B.kriteria &amp; R.kecocokan'!$B$57</f>
        <v>Rendah</v>
      </c>
      <c r="U392" s="51">
        <f>_xlfn.IFS(T392="Rendah",'B.kriteria &amp; R.kecocokan'!$C$57,T392="Sedang",'B.kriteria &amp; R.kecocokan'!$C$58,T392="Tinggi",'B.kriteria &amp; R.kecocokan'!$C$59)</f>
        <v>2.5</v>
      </c>
      <c r="V392" s="51" t="str">
        <f>'B.kriteria &amp; R.kecocokan'!$B$65</f>
        <v>Rendah</v>
      </c>
      <c r="W392" s="9">
        <f>_xlfn.IFS(V392="Rendah",'B.kriteria &amp; R.kecocokan'!$C$65,V392="Sedang",'B.kriteria &amp; R.kecocokan'!$C$66,V392="Tinggi",'B.kriteria &amp; R.kecocokan'!$C$67)</f>
        <v>1</v>
      </c>
      <c r="X392" s="117">
        <f t="shared" ref="X392:X418" si="38">SQRT(((E392-$E$322)^2)+((G392-$G$322)^2)+((I392-$I$322)^2+((K392-$K$322)^2)+((M392-$M$322)^2)+((O392-$O$322)^2)+((Q392-$Q$322)^2)+((S392-$S$322)^2)+((U392-$U$322)^2)+((W392-$W$322)^2)))</f>
        <v>5.5606452687967058</v>
      </c>
      <c r="Y392" s="117">
        <f t="shared" ref="Y392:Y418" si="39">SQRT(((E392-$E$323)^2)+((G392-$G$323)^2)+((I392-$I$323)^2)+((K392-$K$323)^2)+((M392-$M$323)^2+((O392-$O$323)^2)+((Q392-$Q$323)^2)+((S392-$S$323)^2)+((U392-$U$323)^2)+((W392-$W$323)^2)))</f>
        <v>1.3505511246124837</v>
      </c>
      <c r="Z392" s="119">
        <f t="shared" ref="Z392:Z418" si="40">MIN(X392:Y392)</f>
        <v>1.3505511246124837</v>
      </c>
      <c r="AA392" s="52" t="str">
        <f t="shared" ref="AA392:AA418" si="41">IF(X392&lt;Y392,"Layak","Tidak Layak")</f>
        <v>Tidak Layak</v>
      </c>
      <c r="AB392" s="55" t="s">
        <v>347</v>
      </c>
    </row>
    <row r="393" spans="1:28" x14ac:dyDescent="0.35">
      <c r="A393" s="1">
        <v>68</v>
      </c>
      <c r="B393" s="2" t="s">
        <v>239</v>
      </c>
      <c r="C393" s="11" t="s">
        <v>92</v>
      </c>
      <c r="D393" s="32" t="str">
        <f>'B.kriteria &amp; R.kecocokan'!$B$24</f>
        <v>Cukup</v>
      </c>
      <c r="E393" s="111">
        <f>_xlfn.IFS(D393="Banyak",'B.kriteria &amp; R.kecocokan'!$C$23,D393="Cukup",'B.kriteria &amp; R.kecocokan'!$C$24,D393="Sedikit",'B.kriteria &amp; R.kecocokan'!$C$25)</f>
        <v>5</v>
      </c>
      <c r="F393" s="9" t="str">
        <f>'B.kriteria &amp; R.kecocokan'!$B$34</f>
        <v>Tinggi</v>
      </c>
      <c r="G393" s="8">
        <f>_xlfn.IFS(F393="Tinggi",'B.kriteria &amp; R.kecocokan'!$C$34,F393="Sangat Tinggi",'B.kriteria &amp; R.kecocokan'!$C$35)</f>
        <v>7.5</v>
      </c>
      <c r="H393" s="8" t="str">
        <f>'B.kriteria &amp; R.kecocokan'!$B$41</f>
        <v>Rendah</v>
      </c>
      <c r="I393" s="8">
        <f>_xlfn.IFS(H393="Rendah",'B.kriteria &amp; R.kecocokan'!$C$41,H393="Sedang",'B.kriteria &amp; R.kecocokan'!$C$42,H393="Tinggi",'B.kriteria &amp; R.kecocokan'!$C$43)</f>
        <v>2.5</v>
      </c>
      <c r="J393" s="8" t="str">
        <f>'B.kriteria &amp; R.kecocokan'!$B$72</f>
        <v>Rendah</v>
      </c>
      <c r="K393" s="8">
        <f>_xlfn.IFS(J393="Rendah",'B.kriteria &amp; R.kecocokan'!$C$72,J393="Sedang",'B.kriteria &amp; R.kecocokan'!$C$73,J393="Tinggi",'B.kriteria &amp; R.kecocokan'!$C$74)</f>
        <v>2.5</v>
      </c>
      <c r="L393" s="8" t="str">
        <f>'B.kriteria &amp; R.kecocokan'!$B$95</f>
        <v>Rendah</v>
      </c>
      <c r="M393" s="8">
        <f>_xlfn.IFS(L393="Rendah",'B.kriteria &amp; R.kecocokan'!$C$95,L393="Tinggi",'B.kriteria &amp; R.kecocokan'!$C$96)</f>
        <v>2.5</v>
      </c>
      <c r="N393" s="8" t="str">
        <f>'B.kriteria &amp; R.kecocokan'!$B$80</f>
        <v>Rendah</v>
      </c>
      <c r="O393" s="8">
        <f>_xlfn.IFS(N393="Rendah",'B.kriteria &amp; R.kecocokan'!$C$80,N393="Tinggi",'B.kriteria &amp; R.kecocokan'!$C$81)</f>
        <v>2.5</v>
      </c>
      <c r="P393" s="8" t="str">
        <f>'B.kriteria &amp; R.kecocokan'!$B$89</f>
        <v>Sedikit</v>
      </c>
      <c r="Q393" s="8">
        <f>_xlfn.IFS(P393="Sedikit",'B.kriteria &amp; R.kecocokan'!$C$89,P393="Sedang",'B.kriteria &amp; R.kecocokan'!$C$88,P393="Sangat Sedikit",'B.kriteria &amp; R.kecocokan'!$C$90)</f>
        <v>2.5</v>
      </c>
      <c r="R393" s="8" t="str">
        <f>'B.kriteria &amp; R.kecocokan'!$B$49</f>
        <v>Rendah</v>
      </c>
      <c r="S393" s="8">
        <f>_xlfn.IFS(R393="Rendah",'B.kriteria &amp; R.kecocokan'!$C$49,R393="Sedang",'B.kriteria &amp; R.kecocokan'!$C$50,R393="Tinggi",'B.kriteria &amp; R.kecocokan'!$C$51)</f>
        <v>2.5</v>
      </c>
      <c r="T393" s="8" t="str">
        <f>'B.kriteria &amp; R.kecocokan'!$B$57</f>
        <v>Rendah</v>
      </c>
      <c r="U393" s="51">
        <f>_xlfn.IFS(T393="Rendah",'B.kriteria &amp; R.kecocokan'!$C$57,T393="Sedang",'B.kriteria &amp; R.kecocokan'!$C$58,T393="Tinggi",'B.kriteria &amp; R.kecocokan'!$C$59)</f>
        <v>2.5</v>
      </c>
      <c r="V393" s="51" t="str">
        <f>'B.kriteria &amp; R.kecocokan'!$B$65</f>
        <v>Rendah</v>
      </c>
      <c r="W393" s="9">
        <f>_xlfn.IFS(V393="Rendah",'B.kriteria &amp; R.kecocokan'!$C$65,V393="Sedang",'B.kriteria &amp; R.kecocokan'!$C$66,V393="Tinggi",'B.kriteria &amp; R.kecocokan'!$C$67)</f>
        <v>1</v>
      </c>
      <c r="X393" s="117">
        <f t="shared" si="38"/>
        <v>5.5606452687967058</v>
      </c>
      <c r="Y393" s="117">
        <f t="shared" si="39"/>
        <v>1.3505511246124837</v>
      </c>
      <c r="Z393" s="119">
        <f t="shared" si="40"/>
        <v>1.3505511246124837</v>
      </c>
      <c r="AA393" s="52" t="str">
        <f t="shared" si="41"/>
        <v>Tidak Layak</v>
      </c>
      <c r="AB393" s="55" t="s">
        <v>347</v>
      </c>
    </row>
    <row r="394" spans="1:28" x14ac:dyDescent="0.35">
      <c r="A394" s="5">
        <v>69</v>
      </c>
      <c r="B394" s="2" t="s">
        <v>221</v>
      </c>
      <c r="C394" s="11" t="s">
        <v>240</v>
      </c>
      <c r="D394" s="28" t="str">
        <f>'B.kriteria &amp; R.kecocokan'!$B$25</f>
        <v>Sedikit</v>
      </c>
      <c r="E394" s="111">
        <f>_xlfn.IFS(D394="Banyak",'B.kriteria &amp; R.kecocokan'!$C$23,D394="Cukup",'B.kriteria &amp; R.kecocokan'!$C$24,D394="Sedikit",'B.kriteria &amp; R.kecocokan'!$C$25)</f>
        <v>7.5</v>
      </c>
      <c r="F394" s="9" t="str">
        <f>'B.kriteria &amp; R.kecocokan'!$B$34</f>
        <v>Tinggi</v>
      </c>
      <c r="G394" s="8">
        <f>_xlfn.IFS(F394="Tinggi",'B.kriteria &amp; R.kecocokan'!$C$34,F394="Sangat Tinggi",'B.kriteria &amp; R.kecocokan'!$C$35)</f>
        <v>7.5</v>
      </c>
      <c r="H394" s="8" t="str">
        <f>'B.kriteria &amp; R.kecocokan'!$B$41</f>
        <v>Rendah</v>
      </c>
      <c r="I394" s="8">
        <f>_xlfn.IFS(H394="Rendah",'B.kriteria &amp; R.kecocokan'!$C$41,H394="Sedang",'B.kriteria &amp; R.kecocokan'!$C$42,H394="Tinggi",'B.kriteria &amp; R.kecocokan'!$C$43)</f>
        <v>2.5</v>
      </c>
      <c r="J394" s="8" t="str">
        <f>'B.kriteria &amp; R.kecocokan'!$B$72</f>
        <v>Rendah</v>
      </c>
      <c r="K394" s="8">
        <f>_xlfn.IFS(J394="Rendah",'B.kriteria &amp; R.kecocokan'!$C$72,J394="Sedang",'B.kriteria &amp; R.kecocokan'!$C$73,J394="Tinggi",'B.kriteria &amp; R.kecocokan'!$C$74)</f>
        <v>2.5</v>
      </c>
      <c r="L394" s="8" t="str">
        <f>'B.kriteria &amp; R.kecocokan'!$B$95</f>
        <v>Rendah</v>
      </c>
      <c r="M394" s="8">
        <f>_xlfn.IFS(L394="Rendah",'B.kriteria &amp; R.kecocokan'!$C$95,L394="Tinggi",'B.kriteria &amp; R.kecocokan'!$C$96)</f>
        <v>2.5</v>
      </c>
      <c r="N394" s="9" t="str">
        <f>'B.kriteria &amp; R.kecocokan'!$B$81</f>
        <v>Tinggi</v>
      </c>
      <c r="O394" s="8">
        <f>_xlfn.IFS(N394="Rendah",'B.kriteria &amp; R.kecocokan'!$C$80,N394="Tinggi",'B.kriteria &amp; R.kecocokan'!$C$81)</f>
        <v>7.5</v>
      </c>
      <c r="P394" s="9" t="str">
        <f>'B.kriteria &amp; R.kecocokan'!$B$90</f>
        <v>Sangat Sedikit</v>
      </c>
      <c r="Q394" s="8">
        <f>_xlfn.IFS(P394="Sedikit",'B.kriteria &amp; R.kecocokan'!$C$89,P394="Sedang",'B.kriteria &amp; R.kecocokan'!$C$88,P394="Sangat Sedikit",'B.kriteria &amp; R.kecocokan'!$C$90)</f>
        <v>1</v>
      </c>
      <c r="R394" s="8" t="str">
        <f>'B.kriteria &amp; R.kecocokan'!$B$49</f>
        <v>Rendah</v>
      </c>
      <c r="S394" s="8">
        <f>_xlfn.IFS(R394="Rendah",'B.kriteria &amp; R.kecocokan'!$C$49,R394="Sedang",'B.kriteria &amp; R.kecocokan'!$C$50,R394="Tinggi",'B.kriteria &amp; R.kecocokan'!$C$51)</f>
        <v>2.5</v>
      </c>
      <c r="T394" s="8" t="str">
        <f>'B.kriteria &amp; R.kecocokan'!$B$57</f>
        <v>Rendah</v>
      </c>
      <c r="U394" s="51">
        <f>_xlfn.IFS(T394="Rendah",'B.kriteria &amp; R.kecocokan'!$C$57,T394="Sedang",'B.kriteria &amp; R.kecocokan'!$C$58,T394="Tinggi",'B.kriteria &amp; R.kecocokan'!$C$59)</f>
        <v>2.5</v>
      </c>
      <c r="V394" s="51" t="str">
        <f>'B.kriteria &amp; R.kecocokan'!$B$65</f>
        <v>Rendah</v>
      </c>
      <c r="W394" s="9">
        <f>_xlfn.IFS(V394="Rendah",'B.kriteria &amp; R.kecocokan'!$C$65,V394="Sedang",'B.kriteria &amp; R.kecocokan'!$C$66,V394="Tinggi",'B.kriteria &amp; R.kecocokan'!$C$67)</f>
        <v>1</v>
      </c>
      <c r="X394" s="117">
        <f t="shared" si="38"/>
        <v>2.0625491845588853</v>
      </c>
      <c r="Y394" s="117">
        <f t="shared" si="39"/>
        <v>6.4233304076138902</v>
      </c>
      <c r="Z394" s="119">
        <f t="shared" si="40"/>
        <v>2.0625491845588853</v>
      </c>
      <c r="AA394" s="52" t="str">
        <f t="shared" si="41"/>
        <v>Layak</v>
      </c>
      <c r="AB394" s="55" t="s">
        <v>347</v>
      </c>
    </row>
    <row r="395" spans="1:28" x14ac:dyDescent="0.35">
      <c r="A395" s="5">
        <v>70</v>
      </c>
      <c r="B395" s="2" t="s">
        <v>219</v>
      </c>
      <c r="C395" s="11" t="s">
        <v>95</v>
      </c>
      <c r="D395" s="9" t="str">
        <f>'B.kriteria &amp; R.kecocokan'!$B$23</f>
        <v>Banyak</v>
      </c>
      <c r="E395" s="111">
        <f>_xlfn.IFS(D395="Banyak",'B.kriteria &amp; R.kecocokan'!$C$23,D395="Cukup",'B.kriteria &amp; R.kecocokan'!$C$24,D395="Sedikit",'B.kriteria &amp; R.kecocokan'!$C$25)</f>
        <v>2.5</v>
      </c>
      <c r="F395" s="9" t="str">
        <f>'B.kriteria &amp; R.kecocokan'!$B$34</f>
        <v>Tinggi</v>
      </c>
      <c r="G395" s="8">
        <f>_xlfn.IFS(F395="Tinggi",'B.kriteria &amp; R.kecocokan'!$C$34,F395="Sangat Tinggi",'B.kriteria &amp; R.kecocokan'!$C$35)</f>
        <v>7.5</v>
      </c>
      <c r="H395" s="8" t="str">
        <f>'B.kriteria &amp; R.kecocokan'!$B$41</f>
        <v>Rendah</v>
      </c>
      <c r="I395" s="8">
        <f>_xlfn.IFS(H395="Rendah",'B.kriteria &amp; R.kecocokan'!$C$41,H395="Sedang",'B.kriteria &amp; R.kecocokan'!$C$42,H395="Tinggi",'B.kriteria &amp; R.kecocokan'!$C$43)</f>
        <v>2.5</v>
      </c>
      <c r="J395" s="8" t="str">
        <f>'B.kriteria &amp; R.kecocokan'!$B$72</f>
        <v>Rendah</v>
      </c>
      <c r="K395" s="8">
        <f>_xlfn.IFS(J395="Rendah",'B.kriteria &amp; R.kecocokan'!$C$72,J395="Sedang",'B.kriteria &amp; R.kecocokan'!$C$73,J395="Tinggi",'B.kriteria &amp; R.kecocokan'!$C$74)</f>
        <v>2.5</v>
      </c>
      <c r="L395" s="8" t="str">
        <f>'B.kriteria &amp; R.kecocokan'!$B$95</f>
        <v>Rendah</v>
      </c>
      <c r="M395" s="8">
        <f>_xlfn.IFS(L395="Rendah",'B.kriteria &amp; R.kecocokan'!$C$95,L395="Tinggi",'B.kriteria &amp; R.kecocokan'!$C$96)</f>
        <v>2.5</v>
      </c>
      <c r="N395" s="8" t="str">
        <f>'B.kriteria &amp; R.kecocokan'!$B$80</f>
        <v>Rendah</v>
      </c>
      <c r="O395" s="8">
        <f>_xlfn.IFS(N395="Rendah",'B.kriteria &amp; R.kecocokan'!$C$80,N395="Tinggi",'B.kriteria &amp; R.kecocokan'!$C$81)</f>
        <v>2.5</v>
      </c>
      <c r="P395" s="9" t="str">
        <f>'B.kriteria &amp; R.kecocokan'!$B$88</f>
        <v>Sedang</v>
      </c>
      <c r="Q395" s="8">
        <f>_xlfn.IFS(P395="Sedikit",'B.kriteria &amp; R.kecocokan'!$C$89,P395="Sedang",'B.kriteria &amp; R.kecocokan'!$C$88,P395="Sangat Sedikit",'B.kriteria &amp; R.kecocokan'!$C$90)</f>
        <v>5</v>
      </c>
      <c r="R395" s="8" t="str">
        <f>'B.kriteria &amp; R.kecocokan'!$B$49</f>
        <v>Rendah</v>
      </c>
      <c r="S395" s="8">
        <f>_xlfn.IFS(R395="Rendah",'B.kriteria &amp; R.kecocokan'!$C$49,R395="Sedang",'B.kriteria &amp; R.kecocokan'!$C$50,R395="Tinggi",'B.kriteria &amp; R.kecocokan'!$C$51)</f>
        <v>2.5</v>
      </c>
      <c r="T395" s="8" t="str">
        <f>'B.kriteria &amp; R.kecocokan'!$B$57</f>
        <v>Rendah</v>
      </c>
      <c r="U395" s="51">
        <f>_xlfn.IFS(T395="Rendah",'B.kriteria &amp; R.kecocokan'!$C$57,T395="Sedang",'B.kriteria &amp; R.kecocokan'!$C$58,T395="Tinggi",'B.kriteria &amp; R.kecocokan'!$C$59)</f>
        <v>2.5</v>
      </c>
      <c r="V395" s="51" t="str">
        <f>'B.kriteria &amp; R.kecocokan'!$B$65</f>
        <v>Rendah</v>
      </c>
      <c r="W395" s="9">
        <f>_xlfn.IFS(V395="Rendah",'B.kriteria &amp; R.kecocokan'!$C$65,V395="Sedang",'B.kriteria &amp; R.kecocokan'!$C$66,V395="Tinggi",'B.kriteria &amp; R.kecocokan'!$C$67)</f>
        <v>1</v>
      </c>
      <c r="X395" s="117">
        <f t="shared" si="38"/>
        <v>7.4608555507381942</v>
      </c>
      <c r="Y395" s="117">
        <f t="shared" si="39"/>
        <v>2.741976072951128</v>
      </c>
      <c r="Z395" s="119">
        <f t="shared" si="40"/>
        <v>2.741976072951128</v>
      </c>
      <c r="AA395" s="52" t="str">
        <f t="shared" si="41"/>
        <v>Tidak Layak</v>
      </c>
      <c r="AB395" s="55" t="s">
        <v>347</v>
      </c>
    </row>
    <row r="396" spans="1:28" x14ac:dyDescent="0.35">
      <c r="A396" s="1">
        <v>71</v>
      </c>
      <c r="B396" s="2" t="s">
        <v>241</v>
      </c>
      <c r="C396" s="11" t="s">
        <v>95</v>
      </c>
      <c r="D396" s="9" t="str">
        <f>'B.kriteria &amp; R.kecocokan'!$B$23</f>
        <v>Banyak</v>
      </c>
      <c r="E396" s="111">
        <f>_xlfn.IFS(D396="Banyak",'B.kriteria &amp; R.kecocokan'!$C$23,D396="Cukup",'B.kriteria &amp; R.kecocokan'!$C$24,D396="Sedikit",'B.kriteria &amp; R.kecocokan'!$C$25)</f>
        <v>2.5</v>
      </c>
      <c r="F396" s="9" t="str">
        <f>'B.kriteria &amp; R.kecocokan'!$B$34</f>
        <v>Tinggi</v>
      </c>
      <c r="G396" s="8">
        <f>_xlfn.IFS(F396="Tinggi",'B.kriteria &amp; R.kecocokan'!$C$34,F396="Sangat Tinggi",'B.kriteria &amp; R.kecocokan'!$C$35)</f>
        <v>7.5</v>
      </c>
      <c r="H396" s="8" t="str">
        <f>'B.kriteria &amp; R.kecocokan'!$B$41</f>
        <v>Rendah</v>
      </c>
      <c r="I396" s="8">
        <f>_xlfn.IFS(H396="Rendah",'B.kriteria &amp; R.kecocokan'!$C$41,H396="Sedang",'B.kriteria &amp; R.kecocokan'!$C$42,H396="Tinggi",'B.kriteria &amp; R.kecocokan'!$C$43)</f>
        <v>2.5</v>
      </c>
      <c r="J396" s="8" t="str">
        <f>'B.kriteria &amp; R.kecocokan'!$B$72</f>
        <v>Rendah</v>
      </c>
      <c r="K396" s="8">
        <f>_xlfn.IFS(J396="Rendah",'B.kriteria &amp; R.kecocokan'!$C$72,J396="Sedang",'B.kriteria &amp; R.kecocokan'!$C$73,J396="Tinggi",'B.kriteria &amp; R.kecocokan'!$C$74)</f>
        <v>2.5</v>
      </c>
      <c r="L396" s="8" t="str">
        <f>'B.kriteria &amp; R.kecocokan'!$B$95</f>
        <v>Rendah</v>
      </c>
      <c r="M396" s="8">
        <f>_xlfn.IFS(L396="Rendah",'B.kriteria &amp; R.kecocokan'!$C$95,L396="Tinggi",'B.kriteria &amp; R.kecocokan'!$C$96)</f>
        <v>2.5</v>
      </c>
      <c r="N396" s="8" t="str">
        <f>'B.kriteria &amp; R.kecocokan'!$B$80</f>
        <v>Rendah</v>
      </c>
      <c r="O396" s="8">
        <f>_xlfn.IFS(N396="Rendah",'B.kriteria &amp; R.kecocokan'!$C$80,N396="Tinggi",'B.kriteria &amp; R.kecocokan'!$C$81)</f>
        <v>2.5</v>
      </c>
      <c r="P396" s="9" t="str">
        <f>'B.kriteria &amp; R.kecocokan'!$B$88</f>
        <v>Sedang</v>
      </c>
      <c r="Q396" s="8">
        <f>_xlfn.IFS(P396="Sedikit",'B.kriteria &amp; R.kecocokan'!$C$89,P396="Sedang",'B.kriteria &amp; R.kecocokan'!$C$88,P396="Sangat Sedikit",'B.kriteria &amp; R.kecocokan'!$C$90)</f>
        <v>5</v>
      </c>
      <c r="R396" s="8" t="str">
        <f>'B.kriteria &amp; R.kecocokan'!$B$49</f>
        <v>Rendah</v>
      </c>
      <c r="S396" s="8">
        <f>_xlfn.IFS(R396="Rendah",'B.kriteria &amp; R.kecocokan'!$C$49,R396="Sedang",'B.kriteria &amp; R.kecocokan'!$C$50,R396="Tinggi",'B.kriteria &amp; R.kecocokan'!$C$51)</f>
        <v>2.5</v>
      </c>
      <c r="T396" s="8" t="str">
        <f>'B.kriteria &amp; R.kecocokan'!$B$57</f>
        <v>Rendah</v>
      </c>
      <c r="U396" s="51">
        <f>_xlfn.IFS(T396="Rendah",'B.kriteria &amp; R.kecocokan'!$C$57,T396="Sedang",'B.kriteria &amp; R.kecocokan'!$C$58,T396="Tinggi",'B.kriteria &amp; R.kecocokan'!$C$59)</f>
        <v>2.5</v>
      </c>
      <c r="V396" s="51" t="str">
        <f>'B.kriteria &amp; R.kecocokan'!$B$65</f>
        <v>Rendah</v>
      </c>
      <c r="W396" s="9">
        <f>_xlfn.IFS(V396="Rendah",'B.kriteria &amp; R.kecocokan'!$C$65,V396="Sedang",'B.kriteria &amp; R.kecocokan'!$C$66,V396="Tinggi",'B.kriteria &amp; R.kecocokan'!$C$67)</f>
        <v>1</v>
      </c>
      <c r="X396" s="117">
        <f t="shared" si="38"/>
        <v>7.4608555507381942</v>
      </c>
      <c r="Y396" s="117">
        <f t="shared" si="39"/>
        <v>2.741976072951128</v>
      </c>
      <c r="Z396" s="119">
        <f t="shared" si="40"/>
        <v>2.741976072951128</v>
      </c>
      <c r="AA396" s="52" t="str">
        <f t="shared" si="41"/>
        <v>Tidak Layak</v>
      </c>
      <c r="AB396" s="55" t="s">
        <v>347</v>
      </c>
    </row>
    <row r="397" spans="1:28" x14ac:dyDescent="0.35">
      <c r="A397" s="5">
        <v>72</v>
      </c>
      <c r="B397" s="2" t="s">
        <v>225</v>
      </c>
      <c r="C397" s="11" t="s">
        <v>95</v>
      </c>
      <c r="D397" s="9" t="str">
        <f>'B.kriteria &amp; R.kecocokan'!$B$23</f>
        <v>Banyak</v>
      </c>
      <c r="E397" s="111">
        <f>_xlfn.IFS(D397="Banyak",'B.kriteria &amp; R.kecocokan'!$C$23,D397="Cukup",'B.kriteria &amp; R.kecocokan'!$C$24,D397="Sedikit",'B.kriteria &amp; R.kecocokan'!$C$25)</f>
        <v>2.5</v>
      </c>
      <c r="F397" s="9" t="str">
        <f>'B.kriteria &amp; R.kecocokan'!$B$34</f>
        <v>Tinggi</v>
      </c>
      <c r="G397" s="8">
        <f>_xlfn.IFS(F397="Tinggi",'B.kriteria &amp; R.kecocokan'!$C$34,F397="Sangat Tinggi",'B.kriteria &amp; R.kecocokan'!$C$35)</f>
        <v>7.5</v>
      </c>
      <c r="H397" s="8" t="str">
        <f>'B.kriteria &amp; R.kecocokan'!$B$41</f>
        <v>Rendah</v>
      </c>
      <c r="I397" s="8">
        <f>_xlfn.IFS(H397="Rendah",'B.kriteria &amp; R.kecocokan'!$C$41,H397="Sedang",'B.kriteria &amp; R.kecocokan'!$C$42,H397="Tinggi",'B.kriteria &amp; R.kecocokan'!$C$43)</f>
        <v>2.5</v>
      </c>
      <c r="J397" s="8" t="str">
        <f>'B.kriteria &amp; R.kecocokan'!$B$72</f>
        <v>Rendah</v>
      </c>
      <c r="K397" s="8">
        <f>_xlfn.IFS(J397="Rendah",'B.kriteria &amp; R.kecocokan'!$C$72,J397="Sedang",'B.kriteria &amp; R.kecocokan'!$C$73,J397="Tinggi",'B.kriteria &amp; R.kecocokan'!$C$74)</f>
        <v>2.5</v>
      </c>
      <c r="L397" s="8" t="str">
        <f>'B.kriteria &amp; R.kecocokan'!$B$95</f>
        <v>Rendah</v>
      </c>
      <c r="M397" s="8">
        <f>_xlfn.IFS(L397="Rendah",'B.kriteria &amp; R.kecocokan'!$C$95,L397="Tinggi",'B.kriteria &amp; R.kecocokan'!$C$96)</f>
        <v>2.5</v>
      </c>
      <c r="N397" s="9" t="str">
        <f>'B.kriteria &amp; R.kecocokan'!$B$81</f>
        <v>Tinggi</v>
      </c>
      <c r="O397" s="8">
        <f>_xlfn.IFS(N397="Rendah",'B.kriteria &amp; R.kecocokan'!$C$80,N397="Tinggi",'B.kriteria &amp; R.kecocokan'!$C$81)</f>
        <v>7.5</v>
      </c>
      <c r="P397" s="9" t="str">
        <f>'B.kriteria &amp; R.kecocokan'!$B$90</f>
        <v>Sangat Sedikit</v>
      </c>
      <c r="Q397" s="8">
        <f>_xlfn.IFS(P397="Sedikit",'B.kriteria &amp; R.kecocokan'!$C$89,P397="Sedang",'B.kriteria &amp; R.kecocokan'!$C$88,P397="Sangat Sedikit",'B.kriteria &amp; R.kecocokan'!$C$90)</f>
        <v>1</v>
      </c>
      <c r="R397" s="8" t="str">
        <f>'B.kriteria &amp; R.kecocokan'!$B$49</f>
        <v>Rendah</v>
      </c>
      <c r="S397" s="8">
        <f>_xlfn.IFS(R397="Rendah",'B.kriteria &amp; R.kecocokan'!$C$49,R397="Sedang",'B.kriteria &amp; R.kecocokan'!$C$50,R397="Tinggi",'B.kriteria &amp; R.kecocokan'!$C$51)</f>
        <v>2.5</v>
      </c>
      <c r="T397" s="8" t="str">
        <f>'B.kriteria &amp; R.kecocokan'!$B$57</f>
        <v>Rendah</v>
      </c>
      <c r="U397" s="51">
        <f>_xlfn.IFS(T397="Rendah",'B.kriteria &amp; R.kecocokan'!$C$57,T397="Sedang",'B.kriteria &amp; R.kecocokan'!$C$58,T397="Tinggi",'B.kriteria &amp; R.kecocokan'!$C$59)</f>
        <v>2.5</v>
      </c>
      <c r="V397" s="51" t="str">
        <f>'B.kriteria &amp; R.kecocokan'!$B$65</f>
        <v>Rendah</v>
      </c>
      <c r="W397" s="9">
        <f>_xlfn.IFS(V397="Rendah",'B.kriteria &amp; R.kecocokan'!$C$65,V397="Sedang",'B.kriteria &amp; R.kecocokan'!$C$66,V397="Tinggi",'B.kriteria &amp; R.kecocokan'!$C$67)</f>
        <v>1</v>
      </c>
      <c r="X397" s="117">
        <f t="shared" si="38"/>
        <v>4.2844688400417414</v>
      </c>
      <c r="Y397" s="117">
        <f t="shared" si="39"/>
        <v>6.052234620018262</v>
      </c>
      <c r="Z397" s="119">
        <f t="shared" si="40"/>
        <v>4.2844688400417414</v>
      </c>
      <c r="AA397" s="52" t="str">
        <f t="shared" si="41"/>
        <v>Layak</v>
      </c>
      <c r="AB397" s="55" t="s">
        <v>347</v>
      </c>
    </row>
    <row r="398" spans="1:28" x14ac:dyDescent="0.35">
      <c r="A398" s="5">
        <v>73</v>
      </c>
      <c r="B398" s="2" t="s">
        <v>227</v>
      </c>
      <c r="C398" s="11" t="s">
        <v>95</v>
      </c>
      <c r="D398" s="9" t="str">
        <f>'B.kriteria &amp; R.kecocokan'!$B$23</f>
        <v>Banyak</v>
      </c>
      <c r="E398" s="111">
        <f>_xlfn.IFS(D398="Banyak",'B.kriteria &amp; R.kecocokan'!$C$23,D398="Cukup",'B.kriteria &amp; R.kecocokan'!$C$24,D398="Sedikit",'B.kriteria &amp; R.kecocokan'!$C$25)</f>
        <v>2.5</v>
      </c>
      <c r="F398" s="9" t="str">
        <f>'B.kriteria &amp; R.kecocokan'!$B$35</f>
        <v>Sangat Tinggi</v>
      </c>
      <c r="G398" s="8">
        <f>_xlfn.IFS(F398="Tinggi",'B.kriteria &amp; R.kecocokan'!$C$34,F398="Sangat Tinggi",'B.kriteria &amp; R.kecocokan'!$C$35)</f>
        <v>10</v>
      </c>
      <c r="H398" s="8" t="str">
        <f>'B.kriteria &amp; R.kecocokan'!$B$41</f>
        <v>Rendah</v>
      </c>
      <c r="I398" s="8">
        <f>_xlfn.IFS(H398="Rendah",'B.kriteria &amp; R.kecocokan'!$C$41,H398="Sedang",'B.kriteria &amp; R.kecocokan'!$C$42,H398="Tinggi",'B.kriteria &amp; R.kecocokan'!$C$43)</f>
        <v>2.5</v>
      </c>
      <c r="J398" s="8" t="str">
        <f>'B.kriteria &amp; R.kecocokan'!$B$72</f>
        <v>Rendah</v>
      </c>
      <c r="K398" s="8">
        <f>_xlfn.IFS(J398="Rendah",'B.kriteria &amp; R.kecocokan'!$C$72,J398="Sedang",'B.kriteria &amp; R.kecocokan'!$C$73,J398="Tinggi",'B.kriteria &amp; R.kecocokan'!$C$74)</f>
        <v>2.5</v>
      </c>
      <c r="L398" s="8" t="str">
        <f>'B.kriteria &amp; R.kecocokan'!$B$95</f>
        <v>Rendah</v>
      </c>
      <c r="M398" s="8">
        <f>_xlfn.IFS(L398="Rendah",'B.kriteria &amp; R.kecocokan'!$C$95,L398="Tinggi",'B.kriteria &amp; R.kecocokan'!$C$96)</f>
        <v>2.5</v>
      </c>
      <c r="N398" s="8" t="str">
        <f>'B.kriteria &amp; R.kecocokan'!$B$80</f>
        <v>Rendah</v>
      </c>
      <c r="O398" s="8">
        <f>_xlfn.IFS(N398="Rendah",'B.kriteria &amp; R.kecocokan'!$C$80,N398="Tinggi",'B.kriteria &amp; R.kecocokan'!$C$81)</f>
        <v>2.5</v>
      </c>
      <c r="P398" s="9" t="str">
        <f>'B.kriteria &amp; R.kecocokan'!$B$90</f>
        <v>Sangat Sedikit</v>
      </c>
      <c r="Q398" s="8">
        <f>_xlfn.IFS(P398="Sedikit",'B.kriteria &amp; R.kecocokan'!$C$89,P398="Sedang",'B.kriteria &amp; R.kecocokan'!$C$88,P398="Sangat Sedikit",'B.kriteria &amp; R.kecocokan'!$C$90)</f>
        <v>1</v>
      </c>
      <c r="R398" s="9" t="str">
        <f>'B.kriteria &amp; R.kecocokan'!$B$51</f>
        <v>Tinggi</v>
      </c>
      <c r="S398" s="8">
        <f>_xlfn.IFS(R398="Rendah",'B.kriteria &amp; R.kecocokan'!$C$49,R398="Sedang",'B.kriteria &amp; R.kecocokan'!$C$50,R398="Tinggi",'B.kriteria &amp; R.kecocokan'!$C$51)</f>
        <v>7.5</v>
      </c>
      <c r="T398" s="8" t="str">
        <f>'B.kriteria &amp; R.kecocokan'!$B$57</f>
        <v>Rendah</v>
      </c>
      <c r="U398" s="51">
        <f>_xlfn.IFS(T398="Rendah",'B.kriteria &amp; R.kecocokan'!$C$57,T398="Sedang",'B.kriteria &amp; R.kecocokan'!$C$58,T398="Tinggi",'B.kriteria &amp; R.kecocokan'!$C$59)</f>
        <v>2.5</v>
      </c>
      <c r="V398" s="51" t="str">
        <f>'B.kriteria &amp; R.kecocokan'!$B$65</f>
        <v>Rendah</v>
      </c>
      <c r="W398" s="9">
        <f>_xlfn.IFS(V398="Rendah",'B.kriteria &amp; R.kecocokan'!$C$65,V398="Sedang",'B.kriteria &amp; R.kecocokan'!$C$66,V398="Tinggi",'B.kriteria &amp; R.kecocokan'!$C$67)</f>
        <v>1</v>
      </c>
      <c r="X398" s="117">
        <f t="shared" si="38"/>
        <v>7.9213445122854154</v>
      </c>
      <c r="Y398" s="117">
        <f t="shared" si="39"/>
        <v>6.2775251232890641</v>
      </c>
      <c r="Z398" s="119">
        <f t="shared" si="40"/>
        <v>6.2775251232890641</v>
      </c>
      <c r="AA398" s="52" t="str">
        <f t="shared" si="41"/>
        <v>Tidak Layak</v>
      </c>
      <c r="AB398" s="55" t="s">
        <v>347</v>
      </c>
    </row>
    <row r="399" spans="1:28" x14ac:dyDescent="0.35">
      <c r="A399" s="1">
        <v>74</v>
      </c>
      <c r="B399" s="2" t="s">
        <v>245</v>
      </c>
      <c r="C399" s="11" t="s">
        <v>95</v>
      </c>
      <c r="D399" s="32" t="str">
        <f>'B.kriteria &amp; R.kecocokan'!$B$24</f>
        <v>Cukup</v>
      </c>
      <c r="E399" s="111">
        <f>_xlfn.IFS(D399="Banyak",'B.kriteria &amp; R.kecocokan'!$C$23,D399="Cukup",'B.kriteria &amp; R.kecocokan'!$C$24,D399="Sedikit",'B.kriteria &amp; R.kecocokan'!$C$25)</f>
        <v>5</v>
      </c>
      <c r="F399" s="9" t="str">
        <f>'B.kriteria &amp; R.kecocokan'!$B$34</f>
        <v>Tinggi</v>
      </c>
      <c r="G399" s="8">
        <f>_xlfn.IFS(F399="Tinggi",'B.kriteria &amp; R.kecocokan'!$C$34,F399="Sangat Tinggi",'B.kriteria &amp; R.kecocokan'!$C$35)</f>
        <v>7.5</v>
      </c>
      <c r="H399" s="8" t="str">
        <f>'B.kriteria &amp; R.kecocokan'!$B$41</f>
        <v>Rendah</v>
      </c>
      <c r="I399" s="8">
        <f>_xlfn.IFS(H399="Rendah",'B.kriteria &amp; R.kecocokan'!$C$41,H399="Sedang",'B.kriteria &amp; R.kecocokan'!$C$42,H399="Tinggi",'B.kriteria &amp; R.kecocokan'!$C$43)</f>
        <v>2.5</v>
      </c>
      <c r="J399" s="8" t="str">
        <f>'B.kriteria &amp; R.kecocokan'!$B$72</f>
        <v>Rendah</v>
      </c>
      <c r="K399" s="8">
        <f>_xlfn.IFS(J399="Rendah",'B.kriteria &amp; R.kecocokan'!$C$72,J399="Sedang",'B.kriteria &amp; R.kecocokan'!$C$73,J399="Tinggi",'B.kriteria &amp; R.kecocokan'!$C$74)</f>
        <v>2.5</v>
      </c>
      <c r="L399" s="8" t="str">
        <f>'B.kriteria &amp; R.kecocokan'!$B$95</f>
        <v>Rendah</v>
      </c>
      <c r="M399" s="8">
        <f>_xlfn.IFS(L399="Rendah",'B.kriteria &amp; R.kecocokan'!$C$95,L399="Tinggi",'B.kriteria &amp; R.kecocokan'!$C$96)</f>
        <v>2.5</v>
      </c>
      <c r="N399" s="8" t="str">
        <f>'B.kriteria &amp; R.kecocokan'!$B$80</f>
        <v>Rendah</v>
      </c>
      <c r="O399" s="8">
        <f>_xlfn.IFS(N399="Rendah",'B.kriteria &amp; R.kecocokan'!$C$80,N399="Tinggi",'B.kriteria &amp; R.kecocokan'!$C$81)</f>
        <v>2.5</v>
      </c>
      <c r="P399" s="8" t="str">
        <f>'B.kriteria &amp; R.kecocokan'!$B$89</f>
        <v>Sedikit</v>
      </c>
      <c r="Q399" s="8">
        <f>_xlfn.IFS(P399="Sedikit",'B.kriteria &amp; R.kecocokan'!$C$89,P399="Sedang",'B.kriteria &amp; R.kecocokan'!$C$88,P399="Sangat Sedikit",'B.kriteria &amp; R.kecocokan'!$C$90)</f>
        <v>2.5</v>
      </c>
      <c r="R399" s="8" t="str">
        <f>'B.kriteria &amp; R.kecocokan'!$B$49</f>
        <v>Rendah</v>
      </c>
      <c r="S399" s="8">
        <f>_xlfn.IFS(R399="Rendah",'B.kriteria &amp; R.kecocokan'!$C$49,R399="Sedang",'B.kriteria &amp; R.kecocokan'!$C$50,R399="Tinggi",'B.kriteria &amp; R.kecocokan'!$C$51)</f>
        <v>2.5</v>
      </c>
      <c r="T399" s="8" t="str">
        <f>'B.kriteria &amp; R.kecocokan'!$B$57</f>
        <v>Rendah</v>
      </c>
      <c r="U399" s="51">
        <f>_xlfn.IFS(T399="Rendah",'B.kriteria &amp; R.kecocokan'!$C$57,T399="Sedang",'B.kriteria &amp; R.kecocokan'!$C$58,T399="Tinggi",'B.kriteria &amp; R.kecocokan'!$C$59)</f>
        <v>2.5</v>
      </c>
      <c r="V399" s="51" t="str">
        <f>'B.kriteria &amp; R.kecocokan'!$B$65</f>
        <v>Rendah</v>
      </c>
      <c r="W399" s="9">
        <f>_xlfn.IFS(V399="Rendah",'B.kriteria &amp; R.kecocokan'!$C$65,V399="Sedang",'B.kriteria &amp; R.kecocokan'!$C$66,V399="Tinggi",'B.kriteria &amp; R.kecocokan'!$C$67)</f>
        <v>1</v>
      </c>
      <c r="X399" s="117">
        <f t="shared" si="38"/>
        <v>5.5606452687967058</v>
      </c>
      <c r="Y399" s="117">
        <f t="shared" si="39"/>
        <v>1.3505511246124837</v>
      </c>
      <c r="Z399" s="119">
        <f t="shared" si="40"/>
        <v>1.3505511246124837</v>
      </c>
      <c r="AA399" s="52" t="str">
        <f t="shared" si="41"/>
        <v>Tidak Layak</v>
      </c>
      <c r="AB399" s="55" t="s">
        <v>347</v>
      </c>
    </row>
    <row r="400" spans="1:28" x14ac:dyDescent="0.35">
      <c r="A400" s="5">
        <v>75</v>
      </c>
      <c r="B400" s="2" t="s">
        <v>155</v>
      </c>
      <c r="C400" s="11" t="s">
        <v>95</v>
      </c>
      <c r="D400" s="32" t="str">
        <f>'B.kriteria &amp; R.kecocokan'!$B$24</f>
        <v>Cukup</v>
      </c>
      <c r="E400" s="111">
        <f>_xlfn.IFS(D400="Banyak",'B.kriteria &amp; R.kecocokan'!$C$23,D400="Cukup",'B.kriteria &amp; R.kecocokan'!$C$24,D400="Sedikit",'B.kriteria &amp; R.kecocokan'!$C$25)</f>
        <v>5</v>
      </c>
      <c r="F400" s="9" t="str">
        <f>'B.kriteria &amp; R.kecocokan'!$B$34</f>
        <v>Tinggi</v>
      </c>
      <c r="G400" s="8">
        <f>_xlfn.IFS(F400="Tinggi",'B.kriteria &amp; R.kecocokan'!$C$34,F400="Sangat Tinggi",'B.kriteria &amp; R.kecocokan'!$C$35)</f>
        <v>7.5</v>
      </c>
      <c r="H400" s="9" t="str">
        <f>'B.kriteria &amp; R.kecocokan'!$B$43</f>
        <v>Tinggi</v>
      </c>
      <c r="I400" s="8">
        <f>_xlfn.IFS(H400="Rendah",'B.kriteria &amp; R.kecocokan'!$C$41,H400="Sedang",'B.kriteria &amp; R.kecocokan'!$C$42,H400="Tinggi",'B.kriteria &amp; R.kecocokan'!$C$43)</f>
        <v>7.5</v>
      </c>
      <c r="J400" s="8" t="str">
        <f>'B.kriteria &amp; R.kecocokan'!$B$72</f>
        <v>Rendah</v>
      </c>
      <c r="K400" s="8">
        <f>_xlfn.IFS(J400="Rendah",'B.kriteria &amp; R.kecocokan'!$C$72,J400="Sedang",'B.kriteria &amp; R.kecocokan'!$C$73,J400="Tinggi",'B.kriteria &amp; R.kecocokan'!$C$74)</f>
        <v>2.5</v>
      </c>
      <c r="L400" s="8" t="str">
        <f>'B.kriteria &amp; R.kecocokan'!$B$95</f>
        <v>Rendah</v>
      </c>
      <c r="M400" s="8">
        <f>_xlfn.IFS(L400="Rendah",'B.kriteria &amp; R.kecocokan'!$C$95,L400="Tinggi",'B.kriteria &amp; R.kecocokan'!$C$96)</f>
        <v>2.5</v>
      </c>
      <c r="N400" s="8" t="str">
        <f>'B.kriteria &amp; R.kecocokan'!$B$80</f>
        <v>Rendah</v>
      </c>
      <c r="O400" s="8">
        <f>_xlfn.IFS(N400="Rendah",'B.kriteria &amp; R.kecocokan'!$C$80,N400="Tinggi",'B.kriteria &amp; R.kecocokan'!$C$81)</f>
        <v>2.5</v>
      </c>
      <c r="P400" s="9" t="str">
        <f>'B.kriteria &amp; R.kecocokan'!$B$88</f>
        <v>Sedang</v>
      </c>
      <c r="Q400" s="8">
        <f>_xlfn.IFS(P400="Sedikit",'B.kriteria &amp; R.kecocokan'!$C$89,P400="Sedang",'B.kriteria &amp; R.kecocokan'!$C$88,P400="Sangat Sedikit",'B.kriteria &amp; R.kecocokan'!$C$90)</f>
        <v>5</v>
      </c>
      <c r="R400" s="8" t="str">
        <f>'B.kriteria &amp; R.kecocokan'!$B$49</f>
        <v>Rendah</v>
      </c>
      <c r="S400" s="8">
        <f>_xlfn.IFS(R400="Rendah",'B.kriteria &amp; R.kecocokan'!$C$49,R400="Sedang",'B.kriteria &amp; R.kecocokan'!$C$50,R400="Tinggi",'B.kriteria &amp; R.kecocokan'!$C$51)</f>
        <v>2.5</v>
      </c>
      <c r="T400" s="8" t="str">
        <f>'B.kriteria &amp; R.kecocokan'!$B$57</f>
        <v>Rendah</v>
      </c>
      <c r="U400" s="51">
        <f>_xlfn.IFS(T400="Rendah",'B.kriteria &amp; R.kecocokan'!$C$57,T400="Sedang",'B.kriteria &amp; R.kecocokan'!$C$58,T400="Tinggi",'B.kriteria &amp; R.kecocokan'!$C$59)</f>
        <v>2.5</v>
      </c>
      <c r="V400" s="51" t="str">
        <f>'B.kriteria &amp; R.kecocokan'!$B$65</f>
        <v>Rendah</v>
      </c>
      <c r="W400" s="9">
        <f>_xlfn.IFS(V400="Rendah",'B.kriteria &amp; R.kecocokan'!$C$65,V400="Sedang",'B.kriteria &amp; R.kecocokan'!$C$66,V400="Tinggi",'B.kriteria &amp; R.kecocokan'!$C$67)</f>
        <v>1</v>
      </c>
      <c r="X400" s="117">
        <f t="shared" si="38"/>
        <v>7.9697509152761494</v>
      </c>
      <c r="Y400" s="117">
        <f t="shared" si="39"/>
        <v>4.6017214379016798</v>
      </c>
      <c r="Z400" s="119">
        <f t="shared" si="40"/>
        <v>4.6017214379016798</v>
      </c>
      <c r="AA400" s="52" t="str">
        <f t="shared" si="41"/>
        <v>Tidak Layak</v>
      </c>
      <c r="AB400" s="55" t="s">
        <v>347</v>
      </c>
    </row>
    <row r="401" spans="1:28" x14ac:dyDescent="0.35">
      <c r="A401" s="5">
        <v>76</v>
      </c>
      <c r="B401" s="2" t="s">
        <v>152</v>
      </c>
      <c r="C401" s="11" t="s">
        <v>95</v>
      </c>
      <c r="D401" s="9" t="str">
        <f>'B.kriteria &amp; R.kecocokan'!$B$23</f>
        <v>Banyak</v>
      </c>
      <c r="E401" s="111">
        <f>_xlfn.IFS(D401="Banyak",'B.kriteria &amp; R.kecocokan'!$C$23,D401="Cukup",'B.kriteria &amp; R.kecocokan'!$C$24,D401="Sedikit",'B.kriteria &amp; R.kecocokan'!$C$25)</f>
        <v>2.5</v>
      </c>
      <c r="F401" s="9" t="str">
        <f>'B.kriteria &amp; R.kecocokan'!$B$34</f>
        <v>Tinggi</v>
      </c>
      <c r="G401" s="8">
        <f>_xlfn.IFS(F401="Tinggi",'B.kriteria &amp; R.kecocokan'!$C$34,F401="Sangat Tinggi",'B.kriteria &amp; R.kecocokan'!$C$35)</f>
        <v>7.5</v>
      </c>
      <c r="H401" s="8" t="str">
        <f>'B.kriteria &amp; R.kecocokan'!$B$41</f>
        <v>Rendah</v>
      </c>
      <c r="I401" s="8">
        <f>_xlfn.IFS(H401="Rendah",'B.kriteria &amp; R.kecocokan'!$C$41,H401="Sedang",'B.kriteria &amp; R.kecocokan'!$C$42,H401="Tinggi",'B.kriteria &amp; R.kecocokan'!$C$43)</f>
        <v>2.5</v>
      </c>
      <c r="J401" s="8" t="str">
        <f>'B.kriteria &amp; R.kecocokan'!$B$72</f>
        <v>Rendah</v>
      </c>
      <c r="K401" s="8">
        <f>_xlfn.IFS(J401="Rendah",'B.kriteria &amp; R.kecocokan'!$C$72,J401="Sedang",'B.kriteria &amp; R.kecocokan'!$C$73,J401="Tinggi",'B.kriteria &amp; R.kecocokan'!$C$74)</f>
        <v>2.5</v>
      </c>
      <c r="L401" s="8" t="str">
        <f>'B.kriteria &amp; R.kecocokan'!$B$95</f>
        <v>Rendah</v>
      </c>
      <c r="M401" s="8">
        <f>_xlfn.IFS(L401="Rendah",'B.kriteria &amp; R.kecocokan'!$C$95,L401="Tinggi",'B.kriteria &amp; R.kecocokan'!$C$96)</f>
        <v>2.5</v>
      </c>
      <c r="N401" s="9" t="str">
        <f>'B.kriteria &amp; R.kecocokan'!$B$81</f>
        <v>Tinggi</v>
      </c>
      <c r="O401" s="8">
        <f>_xlfn.IFS(N401="Rendah",'B.kriteria &amp; R.kecocokan'!$C$80,N401="Tinggi",'B.kriteria &amp; R.kecocokan'!$C$81)</f>
        <v>7.5</v>
      </c>
      <c r="P401" s="9" t="str">
        <f>'B.kriteria &amp; R.kecocokan'!$B$88</f>
        <v>Sedang</v>
      </c>
      <c r="Q401" s="8">
        <f>_xlfn.IFS(P401="Sedikit",'B.kriteria &amp; R.kecocokan'!$C$89,P401="Sedang",'B.kriteria &amp; R.kecocokan'!$C$88,P401="Sangat Sedikit",'B.kriteria &amp; R.kecocokan'!$C$90)</f>
        <v>5</v>
      </c>
      <c r="R401" s="8" t="str">
        <f>'B.kriteria &amp; R.kecocokan'!$B$49</f>
        <v>Rendah</v>
      </c>
      <c r="S401" s="8">
        <f>_xlfn.IFS(R401="Rendah",'B.kriteria &amp; R.kecocokan'!$C$49,R401="Sedang",'B.kriteria &amp; R.kecocokan'!$C$50,R401="Tinggi",'B.kriteria &amp; R.kecocokan'!$C$51)</f>
        <v>2.5</v>
      </c>
      <c r="T401" s="8" t="str">
        <f>'B.kriteria &amp; R.kecocokan'!$B$57</f>
        <v>Rendah</v>
      </c>
      <c r="U401" s="51">
        <f>_xlfn.IFS(T401="Rendah",'B.kriteria &amp; R.kecocokan'!$C$57,T401="Sedang",'B.kriteria &amp; R.kecocokan'!$C$58,T401="Tinggi",'B.kriteria &amp; R.kecocokan'!$C$59)</f>
        <v>2.5</v>
      </c>
      <c r="V401" s="51" t="str">
        <f>'B.kriteria &amp; R.kecocokan'!$B$65</f>
        <v>Rendah</v>
      </c>
      <c r="W401" s="9">
        <f>_xlfn.IFS(V401="Rendah",'B.kriteria &amp; R.kecocokan'!$C$65,V401="Sedang",'B.kriteria &amp; R.kecocokan'!$C$66,V401="Tinggi",'B.kriteria &amp; R.kecocokan'!$C$67)</f>
        <v>1</v>
      </c>
      <c r="X401" s="117">
        <f t="shared" si="38"/>
        <v>5.5375414715359863</v>
      </c>
      <c r="Y401" s="117">
        <f t="shared" si="39"/>
        <v>5.7831097785328627</v>
      </c>
      <c r="Z401" s="119">
        <f t="shared" si="40"/>
        <v>5.5375414715359863</v>
      </c>
      <c r="AA401" s="52" t="str">
        <f t="shared" si="41"/>
        <v>Layak</v>
      </c>
      <c r="AB401" s="55" t="s">
        <v>347</v>
      </c>
    </row>
    <row r="402" spans="1:28" x14ac:dyDescent="0.35">
      <c r="A402" s="1">
        <v>77</v>
      </c>
      <c r="B402" s="2" t="s">
        <v>157</v>
      </c>
      <c r="C402" s="11" t="s">
        <v>95</v>
      </c>
      <c r="D402" s="32" t="str">
        <f>'B.kriteria &amp; R.kecocokan'!$B$24</f>
        <v>Cukup</v>
      </c>
      <c r="E402" s="111">
        <f>_xlfn.IFS(D402="Banyak",'B.kriteria &amp; R.kecocokan'!$C$23,D402="Cukup",'B.kriteria &amp; R.kecocokan'!$C$24,D402="Sedikit",'B.kriteria &amp; R.kecocokan'!$C$25)</f>
        <v>5</v>
      </c>
      <c r="F402" s="9" t="str">
        <f>'B.kriteria &amp; R.kecocokan'!$B$34</f>
        <v>Tinggi</v>
      </c>
      <c r="G402" s="8">
        <f>_xlfn.IFS(F402="Tinggi",'B.kriteria &amp; R.kecocokan'!$C$34,F402="Sangat Tinggi",'B.kriteria &amp; R.kecocokan'!$C$35)</f>
        <v>7.5</v>
      </c>
      <c r="H402" s="8" t="str">
        <f>'B.kriteria &amp; R.kecocokan'!$B$41</f>
        <v>Rendah</v>
      </c>
      <c r="I402" s="8">
        <f>_xlfn.IFS(H402="Rendah",'B.kriteria &amp; R.kecocokan'!$C$41,H402="Sedang",'B.kriteria &amp; R.kecocokan'!$C$42,H402="Tinggi",'B.kriteria &amp; R.kecocokan'!$C$43)</f>
        <v>2.5</v>
      </c>
      <c r="J402" s="8" t="str">
        <f>'B.kriteria &amp; R.kecocokan'!$B$72</f>
        <v>Rendah</v>
      </c>
      <c r="K402" s="8">
        <f>_xlfn.IFS(J402="Rendah",'B.kriteria &amp; R.kecocokan'!$C$72,J402="Sedang",'B.kriteria &amp; R.kecocokan'!$C$73,J402="Tinggi",'B.kriteria &amp; R.kecocokan'!$C$74)</f>
        <v>2.5</v>
      </c>
      <c r="L402" s="8" t="str">
        <f>'B.kriteria &amp; R.kecocokan'!$B$95</f>
        <v>Rendah</v>
      </c>
      <c r="M402" s="8">
        <f>_xlfn.IFS(L402="Rendah",'B.kriteria &amp; R.kecocokan'!$C$95,L402="Tinggi",'B.kriteria &amp; R.kecocokan'!$C$96)</f>
        <v>2.5</v>
      </c>
      <c r="N402" s="9" t="str">
        <f>'B.kriteria &amp; R.kecocokan'!$B$81</f>
        <v>Tinggi</v>
      </c>
      <c r="O402" s="8">
        <f>_xlfn.IFS(N402="Rendah",'B.kriteria &amp; R.kecocokan'!$C$80,N402="Tinggi",'B.kriteria &amp; R.kecocokan'!$C$81)</f>
        <v>7.5</v>
      </c>
      <c r="P402" s="9" t="str">
        <f>'B.kriteria &amp; R.kecocokan'!$B$90</f>
        <v>Sangat Sedikit</v>
      </c>
      <c r="Q402" s="8">
        <f>_xlfn.IFS(P402="Sedikit",'B.kriteria &amp; R.kecocokan'!$C$89,P402="Sedang",'B.kriteria &amp; R.kecocokan'!$C$88,P402="Sangat Sedikit",'B.kriteria &amp; R.kecocokan'!$C$90)</f>
        <v>1</v>
      </c>
      <c r="R402" s="8" t="str">
        <f>'B.kriteria &amp; R.kecocokan'!$B$49</f>
        <v>Rendah</v>
      </c>
      <c r="S402" s="8">
        <f>_xlfn.IFS(R402="Rendah",'B.kriteria &amp; R.kecocokan'!$C$49,R402="Sedang",'B.kriteria &amp; R.kecocokan'!$C$50,R402="Tinggi",'B.kriteria &amp; R.kecocokan'!$C$51)</f>
        <v>2.5</v>
      </c>
      <c r="T402" s="8" t="str">
        <f>'B.kriteria &amp; R.kecocokan'!$B$57</f>
        <v>Rendah</v>
      </c>
      <c r="U402" s="51">
        <f>_xlfn.IFS(T402="Rendah",'B.kriteria &amp; R.kecocokan'!$C$57,T402="Sedang",'B.kriteria &amp; R.kecocokan'!$C$58,T402="Tinggi",'B.kriteria &amp; R.kecocokan'!$C$59)</f>
        <v>2.5</v>
      </c>
      <c r="V402" s="51" t="str">
        <f>'B.kriteria &amp; R.kecocokan'!$B$65</f>
        <v>Rendah</v>
      </c>
      <c r="W402" s="9">
        <f>_xlfn.IFS(V402="Rendah",'B.kriteria &amp; R.kecocokan'!$C$65,V402="Sedang",'B.kriteria &amp; R.kecocokan'!$C$66,V402="Tinggi",'B.kriteria &amp; R.kecocokan'!$C$67)</f>
        <v>1</v>
      </c>
      <c r="X402" s="117">
        <f t="shared" si="38"/>
        <v>2.2484197094863263</v>
      </c>
      <c r="Y402" s="117">
        <f t="shared" si="39"/>
        <v>5.7178981024990652</v>
      </c>
      <c r="Z402" s="119">
        <f t="shared" si="40"/>
        <v>2.2484197094863263</v>
      </c>
      <c r="AA402" s="52" t="str">
        <f t="shared" si="41"/>
        <v>Layak</v>
      </c>
      <c r="AB402" s="55" t="s">
        <v>347</v>
      </c>
    </row>
    <row r="403" spans="1:28" x14ac:dyDescent="0.35">
      <c r="A403" s="5">
        <v>78</v>
      </c>
      <c r="B403" s="2" t="s">
        <v>146</v>
      </c>
      <c r="C403" s="11" t="s">
        <v>235</v>
      </c>
      <c r="D403" s="32" t="str">
        <f>'B.kriteria &amp; R.kecocokan'!$B$24</f>
        <v>Cukup</v>
      </c>
      <c r="E403" s="111">
        <f>_xlfn.IFS(D403="Banyak",'B.kriteria &amp; R.kecocokan'!$C$23,D403="Cukup",'B.kriteria &amp; R.kecocokan'!$C$24,D403="Sedikit",'B.kriteria &amp; R.kecocokan'!$C$25)</f>
        <v>5</v>
      </c>
      <c r="F403" s="9" t="str">
        <f>'B.kriteria &amp; R.kecocokan'!$B$34</f>
        <v>Tinggi</v>
      </c>
      <c r="G403" s="8">
        <f>_xlfn.IFS(F403="Tinggi",'B.kriteria &amp; R.kecocokan'!$C$34,F403="Sangat Tinggi",'B.kriteria &amp; R.kecocokan'!$C$35)</f>
        <v>7.5</v>
      </c>
      <c r="H403" s="9" t="str">
        <f>'B.kriteria &amp; R.kecocokan'!$B$43</f>
        <v>Tinggi</v>
      </c>
      <c r="I403" s="8">
        <f>_xlfn.IFS(H403="Rendah",'B.kriteria &amp; R.kecocokan'!$C$41,H403="Sedang",'B.kriteria &amp; R.kecocokan'!$C$42,H403="Tinggi",'B.kriteria &amp; R.kecocokan'!$C$43)</f>
        <v>7.5</v>
      </c>
      <c r="J403" s="8" t="str">
        <f>'B.kriteria &amp; R.kecocokan'!$B$72</f>
        <v>Rendah</v>
      </c>
      <c r="K403" s="8">
        <f>_xlfn.IFS(J403="Rendah",'B.kriteria &amp; R.kecocokan'!$C$72,J403="Sedang",'B.kriteria &amp; R.kecocokan'!$C$73,J403="Tinggi",'B.kriteria &amp; R.kecocokan'!$C$74)</f>
        <v>2.5</v>
      </c>
      <c r="L403" s="8" t="str">
        <f>'B.kriteria &amp; R.kecocokan'!$B$95</f>
        <v>Rendah</v>
      </c>
      <c r="M403" s="8">
        <f>_xlfn.IFS(L403="Rendah",'B.kriteria &amp; R.kecocokan'!$C$95,L403="Tinggi",'B.kriteria &amp; R.kecocokan'!$C$96)</f>
        <v>2.5</v>
      </c>
      <c r="N403" s="8" t="str">
        <f>'B.kriteria &amp; R.kecocokan'!$B$80</f>
        <v>Rendah</v>
      </c>
      <c r="O403" s="8">
        <f>_xlfn.IFS(N403="Rendah",'B.kriteria &amp; R.kecocokan'!$C$80,N403="Tinggi",'B.kriteria &amp; R.kecocokan'!$C$81)</f>
        <v>2.5</v>
      </c>
      <c r="P403" s="9" t="str">
        <f>'B.kriteria &amp; R.kecocokan'!$B$90</f>
        <v>Sangat Sedikit</v>
      </c>
      <c r="Q403" s="8">
        <f>_xlfn.IFS(P403="Sedikit",'B.kriteria &amp; R.kecocokan'!$C$89,P403="Sedang",'B.kriteria &amp; R.kecocokan'!$C$88,P403="Sangat Sedikit",'B.kriteria &amp; R.kecocokan'!$C$90)</f>
        <v>1</v>
      </c>
      <c r="R403" s="8" t="str">
        <f>'B.kriteria &amp; R.kecocokan'!$B$49</f>
        <v>Rendah</v>
      </c>
      <c r="S403" s="8">
        <f>_xlfn.IFS(R403="Rendah",'B.kriteria &amp; R.kecocokan'!$C$49,R403="Sedang",'B.kriteria &amp; R.kecocokan'!$C$50,R403="Tinggi",'B.kriteria &amp; R.kecocokan'!$C$51)</f>
        <v>2.5</v>
      </c>
      <c r="T403" s="8" t="str">
        <f>'B.kriteria &amp; R.kecocokan'!$B$57</f>
        <v>Rendah</v>
      </c>
      <c r="U403" s="51">
        <f>_xlfn.IFS(T403="Rendah",'B.kriteria &amp; R.kecocokan'!$C$57,T403="Sedang",'B.kriteria &amp; R.kecocokan'!$C$58,T403="Tinggi",'B.kriteria &amp; R.kecocokan'!$C$59)</f>
        <v>2.5</v>
      </c>
      <c r="V403" s="51" t="str">
        <f>'B.kriteria &amp; R.kecocokan'!$B$65</f>
        <v>Rendah</v>
      </c>
      <c r="W403" s="9">
        <f>_xlfn.IFS(V403="Rendah",'B.kriteria &amp; R.kecocokan'!$C$65,V403="Sedang",'B.kriteria &amp; R.kecocokan'!$C$66,V403="Tinggi",'B.kriteria &amp; R.kecocokan'!$C$67)</f>
        <v>1</v>
      </c>
      <c r="X403" s="117">
        <f t="shared" si="38"/>
        <v>7.1560629779126961</v>
      </c>
      <c r="Y403" s="117">
        <f t="shared" si="39"/>
        <v>4.9356889465634977</v>
      </c>
      <c r="Z403" s="119">
        <f t="shared" si="40"/>
        <v>4.9356889465634977</v>
      </c>
      <c r="AA403" s="52" t="str">
        <f t="shared" si="41"/>
        <v>Tidak Layak</v>
      </c>
      <c r="AB403" s="55" t="s">
        <v>347</v>
      </c>
    </row>
    <row r="404" spans="1:28" x14ac:dyDescent="0.35">
      <c r="A404" s="5">
        <v>79</v>
      </c>
      <c r="B404" s="2" t="s">
        <v>173</v>
      </c>
      <c r="C404" s="11" t="s">
        <v>95</v>
      </c>
      <c r="D404" s="28" t="str">
        <f>'B.kriteria &amp; R.kecocokan'!$B$25</f>
        <v>Sedikit</v>
      </c>
      <c r="E404" s="111">
        <f>_xlfn.IFS(D404="Banyak",'B.kriteria &amp; R.kecocokan'!$C$23,D404="Cukup",'B.kriteria &amp; R.kecocokan'!$C$24,D404="Sedikit",'B.kriteria &amp; R.kecocokan'!$C$25)</f>
        <v>7.5</v>
      </c>
      <c r="F404" s="9" t="str">
        <f>'B.kriteria &amp; R.kecocokan'!$B$34</f>
        <v>Tinggi</v>
      </c>
      <c r="G404" s="8">
        <f>_xlfn.IFS(F404="Tinggi",'B.kriteria &amp; R.kecocokan'!$C$34,F404="Sangat Tinggi",'B.kriteria &amp; R.kecocokan'!$C$35)</f>
        <v>7.5</v>
      </c>
      <c r="H404" s="8" t="str">
        <f>'B.kriteria &amp; R.kecocokan'!$B$41</f>
        <v>Rendah</v>
      </c>
      <c r="I404" s="8">
        <f>_xlfn.IFS(H404="Rendah",'B.kriteria &amp; R.kecocokan'!$C$41,H404="Sedang",'B.kriteria &amp; R.kecocokan'!$C$42,H404="Tinggi",'B.kriteria &amp; R.kecocokan'!$C$43)</f>
        <v>2.5</v>
      </c>
      <c r="J404" s="8" t="str">
        <f>'B.kriteria &amp; R.kecocokan'!$B$72</f>
        <v>Rendah</v>
      </c>
      <c r="K404" s="8">
        <f>_xlfn.IFS(J404="Rendah",'B.kriteria &amp; R.kecocokan'!$C$72,J404="Sedang",'B.kriteria &amp; R.kecocokan'!$C$73,J404="Tinggi",'B.kriteria &amp; R.kecocokan'!$C$74)</f>
        <v>2.5</v>
      </c>
      <c r="L404" s="8" t="str">
        <f>'B.kriteria &amp; R.kecocokan'!$B$95</f>
        <v>Rendah</v>
      </c>
      <c r="M404" s="8">
        <f>_xlfn.IFS(L404="Rendah",'B.kriteria &amp; R.kecocokan'!$C$95,L404="Tinggi",'B.kriteria &amp; R.kecocokan'!$C$96)</f>
        <v>2.5</v>
      </c>
      <c r="N404" s="9" t="str">
        <f>'B.kriteria &amp; R.kecocokan'!$B$81</f>
        <v>Tinggi</v>
      </c>
      <c r="O404" s="8">
        <f>_xlfn.IFS(N404="Rendah",'B.kriteria &amp; R.kecocokan'!$C$80,N404="Tinggi",'B.kriteria &amp; R.kecocokan'!$C$81)</f>
        <v>7.5</v>
      </c>
      <c r="P404" s="9" t="str">
        <f>'B.kriteria &amp; R.kecocokan'!$B$90</f>
        <v>Sangat Sedikit</v>
      </c>
      <c r="Q404" s="8">
        <f>_xlfn.IFS(P404="Sedikit",'B.kriteria &amp; R.kecocokan'!$C$89,P404="Sedang",'B.kriteria &amp; R.kecocokan'!$C$88,P404="Sangat Sedikit",'B.kriteria &amp; R.kecocokan'!$C$90)</f>
        <v>1</v>
      </c>
      <c r="R404" s="8" t="str">
        <f>'B.kriteria &amp; R.kecocokan'!$B$49</f>
        <v>Rendah</v>
      </c>
      <c r="S404" s="8">
        <f>_xlfn.IFS(R404="Rendah",'B.kriteria &amp; R.kecocokan'!$C$49,R404="Sedang",'B.kriteria &amp; R.kecocokan'!$C$50,R404="Tinggi",'B.kriteria &amp; R.kecocokan'!$C$51)</f>
        <v>2.5</v>
      </c>
      <c r="T404" s="9" t="str">
        <f>'B.kriteria &amp; R.kecocokan'!$B$58</f>
        <v>Sedang</v>
      </c>
      <c r="U404" s="51">
        <f>_xlfn.IFS(T404="Rendah",'B.kriteria &amp; R.kecocokan'!$C$57,T404="Sedang",'B.kriteria &amp; R.kecocokan'!$C$58,T404="Tinggi",'B.kriteria &amp; R.kecocokan'!$C$59)</f>
        <v>5</v>
      </c>
      <c r="V404" s="51" t="str">
        <f>'B.kriteria &amp; R.kecocokan'!$B$65</f>
        <v>Rendah</v>
      </c>
      <c r="W404" s="9">
        <f>_xlfn.IFS(V404="Rendah",'B.kriteria &amp; R.kecocokan'!$C$65,V404="Sedang",'B.kriteria &amp; R.kecocokan'!$C$66,V404="Tinggi",'B.kriteria &amp; R.kecocokan'!$C$67)</f>
        <v>1</v>
      </c>
      <c r="X404" s="117">
        <f t="shared" si="38"/>
        <v>2.1759775664040641</v>
      </c>
      <c r="Y404" s="117">
        <f t="shared" si="39"/>
        <v>6.7398694491840043</v>
      </c>
      <c r="Z404" s="119">
        <f t="shared" si="40"/>
        <v>2.1759775664040641</v>
      </c>
      <c r="AA404" s="52" t="str">
        <f t="shared" si="41"/>
        <v>Layak</v>
      </c>
      <c r="AB404" s="55" t="s">
        <v>349</v>
      </c>
    </row>
    <row r="405" spans="1:28" x14ac:dyDescent="0.35">
      <c r="A405" s="1">
        <v>80</v>
      </c>
      <c r="B405" s="2" t="s">
        <v>150</v>
      </c>
      <c r="C405" s="11" t="s">
        <v>95</v>
      </c>
      <c r="D405" s="28" t="str">
        <f>'B.kriteria &amp; R.kecocokan'!$B$25</f>
        <v>Sedikit</v>
      </c>
      <c r="E405" s="111">
        <f>_xlfn.IFS(D405="Banyak",'B.kriteria &amp; R.kecocokan'!$C$23,D405="Cukup",'B.kriteria &amp; R.kecocokan'!$C$24,D405="Sedikit",'B.kriteria &amp; R.kecocokan'!$C$25)</f>
        <v>7.5</v>
      </c>
      <c r="F405" s="9" t="str">
        <f>'B.kriteria &amp; R.kecocokan'!$B$34</f>
        <v>Tinggi</v>
      </c>
      <c r="G405" s="8">
        <f>_xlfn.IFS(F405="Tinggi",'B.kriteria &amp; R.kecocokan'!$C$34,F405="Sangat Tinggi",'B.kriteria &amp; R.kecocokan'!$C$35)</f>
        <v>7.5</v>
      </c>
      <c r="H405" s="9" t="str">
        <f>'B.kriteria &amp; R.kecocokan'!$B$43</f>
        <v>Tinggi</v>
      </c>
      <c r="I405" s="8">
        <f>_xlfn.IFS(H405="Rendah",'B.kriteria &amp; R.kecocokan'!$C$41,H405="Sedang",'B.kriteria &amp; R.kecocokan'!$C$42,H405="Tinggi",'B.kriteria &amp; R.kecocokan'!$C$43)</f>
        <v>7.5</v>
      </c>
      <c r="J405" s="8" t="str">
        <f>'B.kriteria &amp; R.kecocokan'!$B$72</f>
        <v>Rendah</v>
      </c>
      <c r="K405" s="8">
        <f>_xlfn.IFS(J405="Rendah",'B.kriteria &amp; R.kecocokan'!$C$72,J405="Sedang",'B.kriteria &amp; R.kecocokan'!$C$73,J405="Tinggi",'B.kriteria &amp; R.kecocokan'!$C$74)</f>
        <v>2.5</v>
      </c>
      <c r="L405" s="9" t="str">
        <f>'B.kriteria &amp; R.kecocokan'!$B$96</f>
        <v>Tinggi</v>
      </c>
      <c r="M405" s="8">
        <f>_xlfn.IFS(L405="Rendah",'B.kriteria &amp; R.kecocokan'!$C$95,L405="Tinggi",'B.kriteria &amp; R.kecocokan'!$C$96)</f>
        <v>7.5</v>
      </c>
      <c r="N405" s="8" t="str">
        <f>'B.kriteria &amp; R.kecocokan'!$B$80</f>
        <v>Rendah</v>
      </c>
      <c r="O405" s="8">
        <f>_xlfn.IFS(N405="Rendah",'B.kriteria &amp; R.kecocokan'!$C$80,N405="Tinggi",'B.kriteria &amp; R.kecocokan'!$C$81)</f>
        <v>2.5</v>
      </c>
      <c r="P405" s="8" t="str">
        <f>'B.kriteria &amp; R.kecocokan'!$B$89</f>
        <v>Sedikit</v>
      </c>
      <c r="Q405" s="8">
        <f>_xlfn.IFS(P405="Sedikit",'B.kriteria &amp; R.kecocokan'!$C$89,P405="Sedang",'B.kriteria &amp; R.kecocokan'!$C$88,P405="Sangat Sedikit",'B.kriteria &amp; R.kecocokan'!$C$90)</f>
        <v>2.5</v>
      </c>
      <c r="R405" s="8" t="str">
        <f>'B.kriteria &amp; R.kecocokan'!$B$49</f>
        <v>Rendah</v>
      </c>
      <c r="S405" s="8">
        <f>_xlfn.IFS(R405="Rendah",'B.kriteria &amp; R.kecocokan'!$C$49,R405="Sedang",'B.kriteria &amp; R.kecocokan'!$C$50,R405="Tinggi",'B.kriteria &amp; R.kecocokan'!$C$51)</f>
        <v>2.5</v>
      </c>
      <c r="T405" s="8" t="str">
        <f>'B.kriteria &amp; R.kecocokan'!$B$57</f>
        <v>Rendah</v>
      </c>
      <c r="U405" s="51">
        <f>_xlfn.IFS(T405="Rendah",'B.kriteria &amp; R.kecocokan'!$C$57,T405="Sedang",'B.kriteria &amp; R.kecocokan'!$C$58,T405="Tinggi",'B.kriteria &amp; R.kecocokan'!$C$59)</f>
        <v>2.5</v>
      </c>
      <c r="V405" s="51" t="str">
        <f>'B.kriteria &amp; R.kecocokan'!$B$65</f>
        <v>Rendah</v>
      </c>
      <c r="W405" s="9">
        <f>_xlfn.IFS(V405="Rendah",'B.kriteria &amp; R.kecocokan'!$C$65,V405="Sedang",'B.kriteria &amp; R.kecocokan'!$C$66,V405="Tinggi",'B.kriteria &amp; R.kecocokan'!$C$67)</f>
        <v>1</v>
      </c>
      <c r="X405" s="117">
        <f t="shared" si="38"/>
        <v>8.6597510718209456</v>
      </c>
      <c r="Y405" s="117">
        <f t="shared" si="39"/>
        <v>7.2149476658998388</v>
      </c>
      <c r="Z405" s="119">
        <f t="shared" si="40"/>
        <v>7.2149476658998388</v>
      </c>
      <c r="AA405" s="52" t="str">
        <f t="shared" si="41"/>
        <v>Tidak Layak</v>
      </c>
      <c r="AB405" s="55" t="s">
        <v>347</v>
      </c>
    </row>
    <row r="406" spans="1:28" x14ac:dyDescent="0.35">
      <c r="A406" s="5">
        <v>81</v>
      </c>
      <c r="B406" s="2" t="s">
        <v>147</v>
      </c>
      <c r="C406" s="11" t="s">
        <v>95</v>
      </c>
      <c r="D406" s="28" t="str">
        <f>'B.kriteria &amp; R.kecocokan'!$B$25</f>
        <v>Sedikit</v>
      </c>
      <c r="E406" s="111">
        <f>_xlfn.IFS(D406="Banyak",'B.kriteria &amp; R.kecocokan'!$C$23,D406="Cukup",'B.kriteria &amp; R.kecocokan'!$C$24,D406="Sedikit",'B.kriteria &amp; R.kecocokan'!$C$25)</f>
        <v>7.5</v>
      </c>
      <c r="F406" s="9" t="str">
        <f>'B.kriteria &amp; R.kecocokan'!$B$34</f>
        <v>Tinggi</v>
      </c>
      <c r="G406" s="8">
        <f>_xlfn.IFS(F406="Tinggi",'B.kriteria &amp; R.kecocokan'!$C$34,F406="Sangat Tinggi",'B.kriteria &amp; R.kecocokan'!$C$35)</f>
        <v>7.5</v>
      </c>
      <c r="H406" s="8" t="str">
        <f>'B.kriteria &amp; R.kecocokan'!$B$41</f>
        <v>Rendah</v>
      </c>
      <c r="I406" s="8">
        <f>_xlfn.IFS(H406="Rendah",'B.kriteria &amp; R.kecocokan'!$C$41,H406="Sedang",'B.kriteria &amp; R.kecocokan'!$C$42,H406="Tinggi",'B.kriteria &amp; R.kecocokan'!$C$43)</f>
        <v>2.5</v>
      </c>
      <c r="J406" s="8" t="str">
        <f>'B.kriteria &amp; R.kecocokan'!$B$72</f>
        <v>Rendah</v>
      </c>
      <c r="K406" s="8">
        <f>_xlfn.IFS(J406="Rendah",'B.kriteria &amp; R.kecocokan'!$C$72,J406="Sedang",'B.kriteria &amp; R.kecocokan'!$C$73,J406="Tinggi",'B.kriteria &amp; R.kecocokan'!$C$74)</f>
        <v>2.5</v>
      </c>
      <c r="L406" s="8" t="str">
        <f>'B.kriteria &amp; R.kecocokan'!$B$95</f>
        <v>Rendah</v>
      </c>
      <c r="M406" s="8">
        <f>_xlfn.IFS(L406="Rendah",'B.kriteria &amp; R.kecocokan'!$C$95,L406="Tinggi",'B.kriteria &amp; R.kecocokan'!$C$96)</f>
        <v>2.5</v>
      </c>
      <c r="N406" s="9" t="str">
        <f>'B.kriteria &amp; R.kecocokan'!$B$81</f>
        <v>Tinggi</v>
      </c>
      <c r="O406" s="8">
        <f>_xlfn.IFS(N406="Rendah",'B.kriteria &amp; R.kecocokan'!$C$80,N406="Tinggi",'B.kriteria &amp; R.kecocokan'!$C$81)</f>
        <v>7.5</v>
      </c>
      <c r="P406" s="9" t="str">
        <f>'B.kriteria &amp; R.kecocokan'!$B$90</f>
        <v>Sangat Sedikit</v>
      </c>
      <c r="Q406" s="8">
        <f>_xlfn.IFS(P406="Sedikit",'B.kriteria &amp; R.kecocokan'!$C$89,P406="Sedang",'B.kriteria &amp; R.kecocokan'!$C$88,P406="Sangat Sedikit",'B.kriteria &amp; R.kecocokan'!$C$90)</f>
        <v>1</v>
      </c>
      <c r="R406" s="8" t="str">
        <f>'B.kriteria &amp; R.kecocokan'!$B$49</f>
        <v>Rendah</v>
      </c>
      <c r="S406" s="8">
        <f>_xlfn.IFS(R406="Rendah",'B.kriteria &amp; R.kecocokan'!$C$49,R406="Sedang",'B.kriteria &amp; R.kecocokan'!$C$50,R406="Tinggi",'B.kriteria &amp; R.kecocokan'!$C$51)</f>
        <v>2.5</v>
      </c>
      <c r="T406" s="8" t="str">
        <f>'B.kriteria &amp; R.kecocokan'!$B$57</f>
        <v>Rendah</v>
      </c>
      <c r="U406" s="51">
        <f>_xlfn.IFS(T406="Rendah",'B.kriteria &amp; R.kecocokan'!$C$57,T406="Sedang",'B.kriteria &amp; R.kecocokan'!$C$58,T406="Tinggi",'B.kriteria &amp; R.kecocokan'!$C$59)</f>
        <v>2.5</v>
      </c>
      <c r="V406" s="51" t="str">
        <f>'B.kriteria &amp; R.kecocokan'!$B$65</f>
        <v>Rendah</v>
      </c>
      <c r="W406" s="9">
        <f>_xlfn.IFS(V406="Rendah",'B.kriteria &amp; R.kecocokan'!$C$65,V406="Sedang",'B.kriteria &amp; R.kecocokan'!$C$66,V406="Tinggi",'B.kriteria &amp; R.kecocokan'!$C$67)</f>
        <v>1</v>
      </c>
      <c r="X406" s="117">
        <f t="shared" si="38"/>
        <v>2.0625491845588853</v>
      </c>
      <c r="Y406" s="117">
        <f t="shared" si="39"/>
        <v>6.4233304076138902</v>
      </c>
      <c r="Z406" s="119">
        <f t="shared" si="40"/>
        <v>2.0625491845588853</v>
      </c>
      <c r="AA406" s="52" t="str">
        <f t="shared" si="41"/>
        <v>Layak</v>
      </c>
      <c r="AB406" s="55" t="s">
        <v>347</v>
      </c>
    </row>
    <row r="407" spans="1:28" x14ac:dyDescent="0.35">
      <c r="A407" s="5">
        <v>82</v>
      </c>
      <c r="B407" s="2" t="s">
        <v>126</v>
      </c>
      <c r="C407" s="11" t="s">
        <v>95</v>
      </c>
      <c r="D407" s="28" t="str">
        <f>'B.kriteria &amp; R.kecocokan'!$B$25</f>
        <v>Sedikit</v>
      </c>
      <c r="E407" s="111">
        <f>_xlfn.IFS(D407="Banyak",'B.kriteria &amp; R.kecocokan'!$C$23,D407="Cukup",'B.kriteria &amp; R.kecocokan'!$C$24,D407="Sedikit",'B.kriteria &amp; R.kecocokan'!$C$25)</f>
        <v>7.5</v>
      </c>
      <c r="F407" s="9" t="str">
        <f>'B.kriteria &amp; R.kecocokan'!$B$34</f>
        <v>Tinggi</v>
      </c>
      <c r="G407" s="8">
        <f>_xlfn.IFS(F407="Tinggi",'B.kriteria &amp; R.kecocokan'!$C$34,F407="Sangat Tinggi",'B.kriteria &amp; R.kecocokan'!$C$35)</f>
        <v>7.5</v>
      </c>
      <c r="H407" s="8" t="str">
        <f>'B.kriteria &amp; R.kecocokan'!$B$41</f>
        <v>Rendah</v>
      </c>
      <c r="I407" s="8">
        <f>_xlfn.IFS(H407="Rendah",'B.kriteria &amp; R.kecocokan'!$C$41,H407="Sedang",'B.kriteria &amp; R.kecocokan'!$C$42,H407="Tinggi",'B.kriteria &amp; R.kecocokan'!$C$43)</f>
        <v>2.5</v>
      </c>
      <c r="J407" s="8" t="str">
        <f>'B.kriteria &amp; R.kecocokan'!$B$72</f>
        <v>Rendah</v>
      </c>
      <c r="K407" s="8">
        <f>_xlfn.IFS(J407="Rendah",'B.kriteria &amp; R.kecocokan'!$C$72,J407="Sedang",'B.kriteria &amp; R.kecocokan'!$C$73,J407="Tinggi",'B.kriteria &amp; R.kecocokan'!$C$74)</f>
        <v>2.5</v>
      </c>
      <c r="L407" s="8" t="str">
        <f>'B.kriteria &amp; R.kecocokan'!$B$95</f>
        <v>Rendah</v>
      </c>
      <c r="M407" s="8">
        <f>_xlfn.IFS(L407="Rendah",'B.kriteria &amp; R.kecocokan'!$C$95,L407="Tinggi",'B.kriteria &amp; R.kecocokan'!$C$96)</f>
        <v>2.5</v>
      </c>
      <c r="N407" s="8" t="str">
        <f>'B.kriteria &amp; R.kecocokan'!$B$80</f>
        <v>Rendah</v>
      </c>
      <c r="O407" s="8">
        <f>_xlfn.IFS(N407="Rendah",'B.kriteria &amp; R.kecocokan'!$C$80,N407="Tinggi",'B.kriteria &amp; R.kecocokan'!$C$81)</f>
        <v>2.5</v>
      </c>
      <c r="P407" s="9" t="str">
        <f>'B.kriteria &amp; R.kecocokan'!$B$88</f>
        <v>Sedang</v>
      </c>
      <c r="Q407" s="8">
        <f>_xlfn.IFS(P407="Sedikit",'B.kriteria &amp; R.kecocokan'!$C$89,P407="Sedang",'B.kriteria &amp; R.kecocokan'!$C$88,P407="Sangat Sedikit",'B.kriteria &amp; R.kecocokan'!$C$90)</f>
        <v>5</v>
      </c>
      <c r="R407" s="8" t="str">
        <f>'B.kriteria &amp; R.kecocokan'!$B$49</f>
        <v>Rendah</v>
      </c>
      <c r="S407" s="8">
        <f>_xlfn.IFS(R407="Rendah",'B.kriteria &amp; R.kecocokan'!$C$49,R407="Sedang",'B.kriteria &amp; R.kecocokan'!$C$50,R407="Tinggi",'B.kriteria &amp; R.kecocokan'!$C$51)</f>
        <v>2.5</v>
      </c>
      <c r="T407" s="8" t="str">
        <f>'B.kriteria &amp; R.kecocokan'!$B$57</f>
        <v>Rendah</v>
      </c>
      <c r="U407" s="51">
        <f>_xlfn.IFS(T407="Rendah",'B.kriteria &amp; R.kecocokan'!$C$57,T407="Sedang",'B.kriteria &amp; R.kecocokan'!$C$58,T407="Tinggi",'B.kriteria &amp; R.kecocokan'!$C$59)</f>
        <v>2.5</v>
      </c>
      <c r="V407" s="51" t="str">
        <f>'B.kriteria &amp; R.kecocokan'!$B$65</f>
        <v>Rendah</v>
      </c>
      <c r="W407" s="9">
        <f>_xlfn.IFS(V407="Rendah",'B.kriteria &amp; R.kecocokan'!$C$65,V407="Sedang",'B.kriteria &amp; R.kecocokan'!$C$66,V407="Tinggi",'B.kriteria &amp; R.kecocokan'!$C$67)</f>
        <v>1</v>
      </c>
      <c r="X407" s="117">
        <f t="shared" si="38"/>
        <v>6.4468443013940409</v>
      </c>
      <c r="Y407" s="117">
        <f t="shared" si="39"/>
        <v>3.4854070657910414</v>
      </c>
      <c r="Z407" s="119">
        <f t="shared" si="40"/>
        <v>3.4854070657910414</v>
      </c>
      <c r="AA407" s="52" t="str">
        <f t="shared" si="41"/>
        <v>Tidak Layak</v>
      </c>
      <c r="AB407" s="55" t="s">
        <v>347</v>
      </c>
    </row>
    <row r="408" spans="1:28" x14ac:dyDescent="0.35">
      <c r="A408" s="1">
        <v>83</v>
      </c>
      <c r="B408" s="2" t="s">
        <v>178</v>
      </c>
      <c r="C408" s="11" t="s">
        <v>95</v>
      </c>
      <c r="D408" s="32" t="str">
        <f>'B.kriteria &amp; R.kecocokan'!$B$24</f>
        <v>Cukup</v>
      </c>
      <c r="E408" s="111">
        <f>_xlfn.IFS(D408="Banyak",'B.kriteria &amp; R.kecocokan'!$C$23,D408="Cukup",'B.kriteria &amp; R.kecocokan'!$C$24,D408="Sedikit",'B.kriteria &amp; R.kecocokan'!$C$25)</f>
        <v>5</v>
      </c>
      <c r="F408" s="9" t="str">
        <f>'B.kriteria &amp; R.kecocokan'!$B$34</f>
        <v>Tinggi</v>
      </c>
      <c r="G408" s="8">
        <f>_xlfn.IFS(F408="Tinggi",'B.kriteria &amp; R.kecocokan'!$C$34,F408="Sangat Tinggi",'B.kriteria &amp; R.kecocokan'!$C$35)</f>
        <v>7.5</v>
      </c>
      <c r="H408" s="8" t="str">
        <f>'B.kriteria &amp; R.kecocokan'!$B$41</f>
        <v>Rendah</v>
      </c>
      <c r="I408" s="8">
        <f>_xlfn.IFS(H408="Rendah",'B.kriteria &amp; R.kecocokan'!$C$41,H408="Sedang",'B.kriteria &amp; R.kecocokan'!$C$42,H408="Tinggi",'B.kriteria &amp; R.kecocokan'!$C$43)</f>
        <v>2.5</v>
      </c>
      <c r="J408" s="8" t="str">
        <f>'B.kriteria &amp; R.kecocokan'!$B$72</f>
        <v>Rendah</v>
      </c>
      <c r="K408" s="8">
        <f>_xlfn.IFS(J408="Rendah",'B.kriteria &amp; R.kecocokan'!$C$72,J408="Sedang",'B.kriteria &amp; R.kecocokan'!$C$73,J408="Tinggi",'B.kriteria &amp; R.kecocokan'!$C$74)</f>
        <v>2.5</v>
      </c>
      <c r="L408" s="8" t="str">
        <f>'B.kriteria &amp; R.kecocokan'!$B$95</f>
        <v>Rendah</v>
      </c>
      <c r="M408" s="8">
        <f>_xlfn.IFS(L408="Rendah",'B.kriteria &amp; R.kecocokan'!$C$95,L408="Tinggi",'B.kriteria &amp; R.kecocokan'!$C$96)</f>
        <v>2.5</v>
      </c>
      <c r="N408" s="8" t="str">
        <f>'B.kriteria &amp; R.kecocokan'!$B$80</f>
        <v>Rendah</v>
      </c>
      <c r="O408" s="8">
        <f>_xlfn.IFS(N408="Rendah",'B.kriteria &amp; R.kecocokan'!$C$80,N408="Tinggi",'B.kriteria &amp; R.kecocokan'!$C$81)</f>
        <v>2.5</v>
      </c>
      <c r="P408" s="8" t="str">
        <f>'B.kriteria &amp; R.kecocokan'!$B$89</f>
        <v>Sedikit</v>
      </c>
      <c r="Q408" s="8">
        <f>_xlfn.IFS(P408="Sedikit",'B.kriteria &amp; R.kecocokan'!$C$89,P408="Sedang",'B.kriteria &amp; R.kecocokan'!$C$88,P408="Sangat Sedikit",'B.kriteria &amp; R.kecocokan'!$C$90)</f>
        <v>2.5</v>
      </c>
      <c r="R408" s="8" t="str">
        <f>'B.kriteria &amp; R.kecocokan'!$B$49</f>
        <v>Rendah</v>
      </c>
      <c r="S408" s="8">
        <f>_xlfn.IFS(R408="Rendah",'B.kriteria &amp; R.kecocokan'!$C$49,R408="Sedang",'B.kriteria &amp; R.kecocokan'!$C$50,R408="Tinggi",'B.kriteria &amp; R.kecocokan'!$C$51)</f>
        <v>2.5</v>
      </c>
      <c r="T408" s="9" t="str">
        <f>'B.kriteria &amp; R.kecocokan'!$B$58</f>
        <v>Sedang</v>
      </c>
      <c r="U408" s="51">
        <f>_xlfn.IFS(T408="Rendah",'B.kriteria &amp; R.kecocokan'!$C$57,T408="Sedang",'B.kriteria &amp; R.kecocokan'!$C$58,T408="Tinggi",'B.kriteria &amp; R.kecocokan'!$C$59)</f>
        <v>5</v>
      </c>
      <c r="V408" s="51" t="str">
        <f>'B.kriteria &amp; R.kecocokan'!$B$65</f>
        <v>Rendah</v>
      </c>
      <c r="W408" s="9">
        <f>_xlfn.IFS(V408="Rendah",'B.kriteria &amp; R.kecocokan'!$C$65,V408="Sedang",'B.kriteria &amp; R.kecocokan'!$C$66,V408="Tinggi",'B.kriteria &amp; R.kecocokan'!$C$67)</f>
        <v>1</v>
      </c>
      <c r="X408" s="117">
        <f t="shared" si="38"/>
        <v>5.6037081505160868</v>
      </c>
      <c r="Y408" s="117">
        <f t="shared" si="39"/>
        <v>2.4475814607196864</v>
      </c>
      <c r="Z408" s="119">
        <f t="shared" si="40"/>
        <v>2.4475814607196864</v>
      </c>
      <c r="AA408" s="52" t="str">
        <f t="shared" si="41"/>
        <v>Tidak Layak</v>
      </c>
      <c r="AB408" s="55" t="s">
        <v>349</v>
      </c>
    </row>
    <row r="409" spans="1:28" x14ac:dyDescent="0.35">
      <c r="A409" s="5">
        <v>84</v>
      </c>
      <c r="B409" s="2" t="s">
        <v>133</v>
      </c>
      <c r="C409" s="11" t="s">
        <v>95</v>
      </c>
      <c r="D409" s="32" t="str">
        <f>'B.kriteria &amp; R.kecocokan'!$B$24</f>
        <v>Cukup</v>
      </c>
      <c r="E409" s="111">
        <f>_xlfn.IFS(D409="Banyak",'B.kriteria &amp; R.kecocokan'!$C$23,D409="Cukup",'B.kriteria &amp; R.kecocokan'!$C$24,D409="Sedikit",'B.kriteria &amp; R.kecocokan'!$C$25)</f>
        <v>5</v>
      </c>
      <c r="F409" s="9" t="str">
        <f>'B.kriteria &amp; R.kecocokan'!$B$34</f>
        <v>Tinggi</v>
      </c>
      <c r="G409" s="8">
        <f>_xlfn.IFS(F409="Tinggi",'B.kriteria &amp; R.kecocokan'!$C$34,F409="Sangat Tinggi",'B.kriteria &amp; R.kecocokan'!$C$35)</f>
        <v>7.5</v>
      </c>
      <c r="H409" s="8" t="str">
        <f>'B.kriteria &amp; R.kecocokan'!$B$41</f>
        <v>Rendah</v>
      </c>
      <c r="I409" s="8">
        <f>_xlfn.IFS(H409="Rendah",'B.kriteria &amp; R.kecocokan'!$C$41,H409="Sedang",'B.kriteria &amp; R.kecocokan'!$C$42,H409="Tinggi",'B.kriteria &amp; R.kecocokan'!$C$43)</f>
        <v>2.5</v>
      </c>
      <c r="J409" s="8" t="str">
        <f>'B.kriteria &amp; R.kecocokan'!$B$72</f>
        <v>Rendah</v>
      </c>
      <c r="K409" s="8">
        <f>_xlfn.IFS(J409="Rendah",'B.kriteria &amp; R.kecocokan'!$C$72,J409="Sedang",'B.kriteria &amp; R.kecocokan'!$C$73,J409="Tinggi",'B.kriteria &amp; R.kecocokan'!$C$74)</f>
        <v>2.5</v>
      </c>
      <c r="L409" s="8" t="str">
        <f>'B.kriteria &amp; R.kecocokan'!$B$95</f>
        <v>Rendah</v>
      </c>
      <c r="M409" s="8">
        <f>_xlfn.IFS(L409="Rendah",'B.kriteria &amp; R.kecocokan'!$C$95,L409="Tinggi",'B.kriteria &amp; R.kecocokan'!$C$96)</f>
        <v>2.5</v>
      </c>
      <c r="N409" s="8" t="str">
        <f>'B.kriteria &amp; R.kecocokan'!$B$80</f>
        <v>Rendah</v>
      </c>
      <c r="O409" s="8">
        <f>_xlfn.IFS(N409="Rendah",'B.kriteria &amp; R.kecocokan'!$C$80,N409="Tinggi",'B.kriteria &amp; R.kecocokan'!$C$81)</f>
        <v>2.5</v>
      </c>
      <c r="P409" s="9" t="str">
        <f>'B.kriteria &amp; R.kecocokan'!$B$90</f>
        <v>Sangat Sedikit</v>
      </c>
      <c r="Q409" s="8">
        <f>_xlfn.IFS(P409="Sedikit",'B.kriteria &amp; R.kecocokan'!$C$89,P409="Sedang",'B.kriteria &amp; R.kecocokan'!$C$88,P409="Sangat Sedikit",'B.kriteria &amp; R.kecocokan'!$C$90)</f>
        <v>1</v>
      </c>
      <c r="R409" s="8" t="str">
        <f>'B.kriteria &amp; R.kecocokan'!$B$49</f>
        <v>Rendah</v>
      </c>
      <c r="S409" s="8">
        <f>_xlfn.IFS(R409="Rendah",'B.kriteria &amp; R.kecocokan'!$C$49,R409="Sedang",'B.kriteria &amp; R.kecocokan'!$C$50,R409="Tinggi",'B.kriteria &amp; R.kecocokan'!$C$51)</f>
        <v>2.5</v>
      </c>
      <c r="T409" s="8" t="str">
        <f>'B.kriteria &amp; R.kecocokan'!$B$57</f>
        <v>Rendah</v>
      </c>
      <c r="U409" s="51">
        <f>_xlfn.IFS(T409="Rendah",'B.kriteria &amp; R.kecocokan'!$C$57,T409="Sedang",'B.kriteria &amp; R.kecocokan'!$C$58,T409="Tinggi",'B.kriteria &amp; R.kecocokan'!$C$59)</f>
        <v>2.5</v>
      </c>
      <c r="V409" s="51" t="str">
        <f>'B.kriteria &amp; R.kecocokan'!$B$65</f>
        <v>Rendah</v>
      </c>
      <c r="W409" s="9">
        <f>_xlfn.IFS(V409="Rendah",'B.kriteria &amp; R.kecocokan'!$C$65,V409="Sedang",'B.kriteria &amp; R.kecocokan'!$C$66,V409="Tinggi",'B.kriteria &amp; R.kecocokan'!$C$67)</f>
        <v>1</v>
      </c>
      <c r="X409" s="117">
        <f t="shared" si="38"/>
        <v>5.4822797438662842</v>
      </c>
      <c r="Y409" s="117">
        <f t="shared" si="39"/>
        <v>2.6016211839229189</v>
      </c>
      <c r="Z409" s="119">
        <f t="shared" si="40"/>
        <v>2.6016211839229189</v>
      </c>
      <c r="AA409" s="52" t="str">
        <f t="shared" si="41"/>
        <v>Tidak Layak</v>
      </c>
      <c r="AB409" s="55" t="s">
        <v>347</v>
      </c>
    </row>
    <row r="410" spans="1:28" x14ac:dyDescent="0.35">
      <c r="A410" s="5">
        <v>85</v>
      </c>
      <c r="B410" s="2" t="s">
        <v>159</v>
      </c>
      <c r="C410" s="11" t="s">
        <v>95</v>
      </c>
      <c r="D410" s="9" t="str">
        <f>'B.kriteria &amp; R.kecocokan'!$B$23</f>
        <v>Banyak</v>
      </c>
      <c r="E410" s="111">
        <f>_xlfn.IFS(D410="Banyak",'B.kriteria &amp; R.kecocokan'!$C$23,D410="Cukup",'B.kriteria &amp; R.kecocokan'!$C$24,D410="Sedikit",'B.kriteria &amp; R.kecocokan'!$C$25)</f>
        <v>2.5</v>
      </c>
      <c r="F410" s="9" t="str">
        <f>'B.kriteria &amp; R.kecocokan'!$B$34</f>
        <v>Tinggi</v>
      </c>
      <c r="G410" s="8">
        <f>_xlfn.IFS(F410="Tinggi",'B.kriteria &amp; R.kecocokan'!$C$34,F410="Sangat Tinggi",'B.kriteria &amp; R.kecocokan'!$C$35)</f>
        <v>7.5</v>
      </c>
      <c r="H410" s="8" t="str">
        <f>'B.kriteria &amp; R.kecocokan'!$B$41</f>
        <v>Rendah</v>
      </c>
      <c r="I410" s="8">
        <f>_xlfn.IFS(H410="Rendah",'B.kriteria &amp; R.kecocokan'!$C$41,H410="Sedang",'B.kriteria &amp; R.kecocokan'!$C$42,H410="Tinggi",'B.kriteria &amp; R.kecocokan'!$C$43)</f>
        <v>2.5</v>
      </c>
      <c r="J410" s="8" t="str">
        <f>'B.kriteria &amp; R.kecocokan'!$B$72</f>
        <v>Rendah</v>
      </c>
      <c r="K410" s="8">
        <f>_xlfn.IFS(J410="Rendah",'B.kriteria &amp; R.kecocokan'!$C$72,J410="Sedang",'B.kriteria &amp; R.kecocokan'!$C$73,J410="Tinggi",'B.kriteria &amp; R.kecocokan'!$C$74)</f>
        <v>2.5</v>
      </c>
      <c r="L410" s="9" t="str">
        <f>'B.kriteria &amp; R.kecocokan'!$B$96</f>
        <v>Tinggi</v>
      </c>
      <c r="M410" s="8">
        <f>_xlfn.IFS(L410="Rendah",'B.kriteria &amp; R.kecocokan'!$C$95,L410="Tinggi",'B.kriteria &amp; R.kecocokan'!$C$96)</f>
        <v>7.5</v>
      </c>
      <c r="N410" s="8" t="str">
        <f>'B.kriteria &amp; R.kecocokan'!$B$80</f>
        <v>Rendah</v>
      </c>
      <c r="O410" s="8">
        <f>_xlfn.IFS(N410="Rendah",'B.kriteria &amp; R.kecocokan'!$C$80,N410="Tinggi",'B.kriteria &amp; R.kecocokan'!$C$81)</f>
        <v>2.5</v>
      </c>
      <c r="P410" s="9" t="str">
        <f>'B.kriteria &amp; R.kecocokan'!$B$90</f>
        <v>Sangat Sedikit</v>
      </c>
      <c r="Q410" s="8">
        <f>_xlfn.IFS(P410="Sedikit",'B.kriteria &amp; R.kecocokan'!$C$89,P410="Sedang",'B.kriteria &amp; R.kecocokan'!$C$88,P410="Sangat Sedikit",'B.kriteria &amp; R.kecocokan'!$C$90)</f>
        <v>1</v>
      </c>
      <c r="R410" s="8" t="str">
        <f>'B.kriteria &amp; R.kecocokan'!$B$49</f>
        <v>Rendah</v>
      </c>
      <c r="S410" s="8">
        <f>_xlfn.IFS(R410="Rendah",'B.kriteria &amp; R.kecocokan'!$C$49,R410="Sedang",'B.kriteria &amp; R.kecocokan'!$C$50,R410="Tinggi",'B.kriteria &amp; R.kecocokan'!$C$51)</f>
        <v>2.5</v>
      </c>
      <c r="T410" s="8" t="str">
        <f>'B.kriteria &amp; R.kecocokan'!$B$57</f>
        <v>Rendah</v>
      </c>
      <c r="U410" s="51">
        <f>_xlfn.IFS(T410="Rendah",'B.kriteria &amp; R.kecocokan'!$C$57,T410="Sedang",'B.kriteria &amp; R.kecocokan'!$C$58,T410="Tinggi",'B.kriteria &amp; R.kecocokan'!$C$59)</f>
        <v>2.5</v>
      </c>
      <c r="V410" s="51" t="str">
        <f>'B.kriteria &amp; R.kecocokan'!$B$65</f>
        <v>Rendah</v>
      </c>
      <c r="W410" s="9">
        <f>_xlfn.IFS(V410="Rendah",'B.kriteria &amp; R.kecocokan'!$C$65,V410="Sedang",'B.kriteria &amp; R.kecocokan'!$C$66,V410="Tinggi",'B.kriteria &amp; R.kecocokan'!$C$67)</f>
        <v>1</v>
      </c>
      <c r="X410" s="117">
        <f t="shared" si="38"/>
        <v>8.1899097650241153</v>
      </c>
      <c r="Y410" s="117">
        <f t="shared" si="39"/>
        <v>5.8972614020319423</v>
      </c>
      <c r="Z410" s="119">
        <f t="shared" si="40"/>
        <v>5.8972614020319423</v>
      </c>
      <c r="AA410" s="52" t="str">
        <f t="shared" si="41"/>
        <v>Tidak Layak</v>
      </c>
      <c r="AB410" s="55" t="s">
        <v>347</v>
      </c>
    </row>
    <row r="411" spans="1:28" x14ac:dyDescent="0.35">
      <c r="A411" s="1">
        <v>86</v>
      </c>
      <c r="B411" s="2" t="s">
        <v>165</v>
      </c>
      <c r="C411" s="11" t="s">
        <v>95</v>
      </c>
      <c r="D411" s="28" t="str">
        <f>'B.kriteria &amp; R.kecocokan'!$B$25</f>
        <v>Sedikit</v>
      </c>
      <c r="E411" s="111">
        <f>_xlfn.IFS(D411="Banyak",'B.kriteria &amp; R.kecocokan'!$C$23,D411="Cukup",'B.kriteria &amp; R.kecocokan'!$C$24,D411="Sedikit",'B.kriteria &amp; R.kecocokan'!$C$25)</f>
        <v>7.5</v>
      </c>
      <c r="F411" s="9" t="str">
        <f>'B.kriteria &amp; R.kecocokan'!$B$34</f>
        <v>Tinggi</v>
      </c>
      <c r="G411" s="8">
        <f>_xlfn.IFS(F411="Tinggi",'B.kriteria &amp; R.kecocokan'!$C$34,F411="Sangat Tinggi",'B.kriteria &amp; R.kecocokan'!$C$35)</f>
        <v>7.5</v>
      </c>
      <c r="H411" s="8" t="str">
        <f>'B.kriteria &amp; R.kecocokan'!$B$41</f>
        <v>Rendah</v>
      </c>
      <c r="I411" s="8">
        <f>_xlfn.IFS(H411="Rendah",'B.kriteria &amp; R.kecocokan'!$C$41,H411="Sedang",'B.kriteria &amp; R.kecocokan'!$C$42,H411="Tinggi",'B.kriteria &amp; R.kecocokan'!$C$43)</f>
        <v>2.5</v>
      </c>
      <c r="J411" s="8" t="str">
        <f>'B.kriteria &amp; R.kecocokan'!$B$72</f>
        <v>Rendah</v>
      </c>
      <c r="K411" s="8">
        <f>_xlfn.IFS(J411="Rendah",'B.kriteria &amp; R.kecocokan'!$C$72,J411="Sedang",'B.kriteria &amp; R.kecocokan'!$C$73,J411="Tinggi",'B.kriteria &amp; R.kecocokan'!$C$74)</f>
        <v>2.5</v>
      </c>
      <c r="L411" s="8" t="str">
        <f>'B.kriteria &amp; R.kecocokan'!$B$95</f>
        <v>Rendah</v>
      </c>
      <c r="M411" s="8">
        <f>_xlfn.IFS(L411="Rendah",'B.kriteria &amp; R.kecocokan'!$C$95,L411="Tinggi",'B.kriteria &amp; R.kecocokan'!$C$96)</f>
        <v>2.5</v>
      </c>
      <c r="N411" s="9" t="str">
        <f>'B.kriteria &amp; R.kecocokan'!$B$81</f>
        <v>Tinggi</v>
      </c>
      <c r="O411" s="8">
        <f>_xlfn.IFS(N411="Rendah",'B.kriteria &amp; R.kecocokan'!$C$80,N411="Tinggi",'B.kriteria &amp; R.kecocokan'!$C$81)</f>
        <v>7.5</v>
      </c>
      <c r="P411" s="9" t="str">
        <f>'B.kriteria &amp; R.kecocokan'!$B$90</f>
        <v>Sangat Sedikit</v>
      </c>
      <c r="Q411" s="8">
        <f>_xlfn.IFS(P411="Sedikit",'B.kriteria &amp; R.kecocokan'!$C$89,P411="Sedang",'B.kriteria &amp; R.kecocokan'!$C$88,P411="Sangat Sedikit",'B.kriteria &amp; R.kecocokan'!$C$90)</f>
        <v>1</v>
      </c>
      <c r="R411" s="8" t="str">
        <f>'B.kriteria &amp; R.kecocokan'!$B$49</f>
        <v>Rendah</v>
      </c>
      <c r="S411" s="8">
        <f>_xlfn.IFS(R411="Rendah",'B.kriteria &amp; R.kecocokan'!$C$49,R411="Sedang",'B.kriteria &amp; R.kecocokan'!$C$50,R411="Tinggi",'B.kriteria &amp; R.kecocokan'!$C$51)</f>
        <v>2.5</v>
      </c>
      <c r="T411" s="8" t="str">
        <f>'B.kriteria &amp; R.kecocokan'!$B$57</f>
        <v>Rendah</v>
      </c>
      <c r="U411" s="51">
        <f>_xlfn.IFS(T411="Rendah",'B.kriteria &amp; R.kecocokan'!$C$57,T411="Sedang",'B.kriteria &amp; R.kecocokan'!$C$58,T411="Tinggi",'B.kriteria &amp; R.kecocokan'!$C$59)</f>
        <v>2.5</v>
      </c>
      <c r="V411" s="51" t="str">
        <f>'B.kriteria &amp; R.kecocokan'!$B$65</f>
        <v>Rendah</v>
      </c>
      <c r="W411" s="9">
        <f>_xlfn.IFS(V411="Rendah",'B.kriteria &amp; R.kecocokan'!$C$65,V411="Sedang",'B.kriteria &amp; R.kecocokan'!$C$66,V411="Tinggi",'B.kriteria &amp; R.kecocokan'!$C$67)</f>
        <v>1</v>
      </c>
      <c r="X411" s="117">
        <f t="shared" si="38"/>
        <v>2.0625491845588853</v>
      </c>
      <c r="Y411" s="117">
        <f t="shared" si="39"/>
        <v>6.4233304076138902</v>
      </c>
      <c r="Z411" s="119">
        <f t="shared" si="40"/>
        <v>2.0625491845588853</v>
      </c>
      <c r="AA411" s="52" t="str">
        <f t="shared" si="41"/>
        <v>Layak</v>
      </c>
      <c r="AB411" s="55" t="s">
        <v>349</v>
      </c>
    </row>
    <row r="412" spans="1:28" x14ac:dyDescent="0.35">
      <c r="A412" s="5">
        <v>87</v>
      </c>
      <c r="B412" s="2" t="s">
        <v>163</v>
      </c>
      <c r="C412" s="11" t="s">
        <v>248</v>
      </c>
      <c r="D412" s="28" t="str">
        <f>'B.kriteria &amp; R.kecocokan'!$B$25</f>
        <v>Sedikit</v>
      </c>
      <c r="E412" s="111">
        <f>_xlfn.IFS(D412="Banyak",'B.kriteria &amp; R.kecocokan'!$C$23,D412="Cukup",'B.kriteria &amp; R.kecocokan'!$C$24,D412="Sedikit",'B.kriteria &amp; R.kecocokan'!$C$25)</f>
        <v>7.5</v>
      </c>
      <c r="F412" s="9" t="str">
        <f>'B.kriteria &amp; R.kecocokan'!$B$35</f>
        <v>Sangat Tinggi</v>
      </c>
      <c r="G412" s="8">
        <f>_xlfn.IFS(F412="Tinggi",'B.kriteria &amp; R.kecocokan'!$C$34,F412="Sangat Tinggi",'B.kriteria &amp; R.kecocokan'!$C$35)</f>
        <v>10</v>
      </c>
      <c r="H412" s="9" t="str">
        <f>'B.kriteria &amp; R.kecocokan'!$B$43</f>
        <v>Tinggi</v>
      </c>
      <c r="I412" s="8">
        <f>_xlfn.IFS(H412="Rendah",'B.kriteria &amp; R.kecocokan'!$C$41,H412="Sedang",'B.kriteria &amp; R.kecocokan'!$C$42,H412="Tinggi",'B.kriteria &amp; R.kecocokan'!$C$43)</f>
        <v>7.5</v>
      </c>
      <c r="J412" s="8" t="str">
        <f>'B.kriteria &amp; R.kecocokan'!$B$72</f>
        <v>Rendah</v>
      </c>
      <c r="K412" s="8">
        <f>_xlfn.IFS(J412="Rendah",'B.kriteria &amp; R.kecocokan'!$C$72,J412="Sedang",'B.kriteria &amp; R.kecocokan'!$C$73,J412="Tinggi",'B.kriteria &amp; R.kecocokan'!$C$74)</f>
        <v>2.5</v>
      </c>
      <c r="L412" s="8" t="str">
        <f>'B.kriteria &amp; R.kecocokan'!$B$95</f>
        <v>Rendah</v>
      </c>
      <c r="M412" s="8">
        <f>_xlfn.IFS(L412="Rendah",'B.kriteria &amp; R.kecocokan'!$C$95,L412="Tinggi",'B.kriteria &amp; R.kecocokan'!$C$96)</f>
        <v>2.5</v>
      </c>
      <c r="N412" s="8" t="str">
        <f>'B.kriteria &amp; R.kecocokan'!$B$80</f>
        <v>Rendah</v>
      </c>
      <c r="O412" s="8">
        <f>_xlfn.IFS(N412="Rendah",'B.kriteria &amp; R.kecocokan'!$C$80,N412="Tinggi",'B.kriteria &amp; R.kecocokan'!$C$81)</f>
        <v>2.5</v>
      </c>
      <c r="P412" s="8" t="str">
        <f>'B.kriteria &amp; R.kecocokan'!$B$89</f>
        <v>Sedikit</v>
      </c>
      <c r="Q412" s="8">
        <f>_xlfn.IFS(P412="Sedikit",'B.kriteria &amp; R.kecocokan'!$C$89,P412="Sedang",'B.kriteria &amp; R.kecocokan'!$C$88,P412="Sangat Sedikit",'B.kriteria &amp; R.kecocokan'!$C$90)</f>
        <v>2.5</v>
      </c>
      <c r="R412" s="8" t="str">
        <f>'B.kriteria &amp; R.kecocokan'!$B$49</f>
        <v>Rendah</v>
      </c>
      <c r="S412" s="8">
        <f>_xlfn.IFS(R412="Rendah",'B.kriteria &amp; R.kecocokan'!$C$49,R412="Sedang",'B.kriteria &amp; R.kecocokan'!$C$50,R412="Tinggi",'B.kriteria &amp; R.kecocokan'!$C$51)</f>
        <v>2.5</v>
      </c>
      <c r="T412" s="8" t="str">
        <f>'B.kriteria &amp; R.kecocokan'!$B$57</f>
        <v>Rendah</v>
      </c>
      <c r="U412" s="51">
        <f>_xlfn.IFS(T412="Rendah",'B.kriteria &amp; R.kecocokan'!$C$57,T412="Sedang",'B.kriteria &amp; R.kecocokan'!$C$58,T412="Tinggi",'B.kriteria &amp; R.kecocokan'!$C$59)</f>
        <v>2.5</v>
      </c>
      <c r="V412" s="51" t="str">
        <f>'B.kriteria &amp; R.kecocokan'!$B$65</f>
        <v>Rendah</v>
      </c>
      <c r="W412" s="9">
        <f>_xlfn.IFS(V412="Rendah",'B.kriteria &amp; R.kecocokan'!$C$65,V412="Sedang",'B.kriteria &amp; R.kecocokan'!$C$66,V412="Tinggi",'B.kriteria &amp; R.kecocokan'!$C$67)</f>
        <v>1</v>
      </c>
      <c r="X412" s="117">
        <f t="shared" si="38"/>
        <v>7.3045652328724273</v>
      </c>
      <c r="Y412" s="117">
        <f t="shared" si="39"/>
        <v>5.7911096780457374</v>
      </c>
      <c r="Z412" s="119">
        <f t="shared" si="40"/>
        <v>5.7911096780457374</v>
      </c>
      <c r="AA412" s="52" t="str">
        <f t="shared" si="41"/>
        <v>Tidak Layak</v>
      </c>
      <c r="AB412" s="55" t="s">
        <v>347</v>
      </c>
    </row>
    <row r="413" spans="1:28" x14ac:dyDescent="0.35">
      <c r="A413" s="5">
        <v>88</v>
      </c>
      <c r="B413" s="30" t="s">
        <v>24</v>
      </c>
      <c r="C413" s="11" t="s">
        <v>248</v>
      </c>
      <c r="D413" s="28" t="str">
        <f>'B.kriteria &amp; R.kecocokan'!$B$25</f>
        <v>Sedikit</v>
      </c>
      <c r="E413" s="111">
        <f>_xlfn.IFS(D413="Banyak",'B.kriteria &amp; R.kecocokan'!$C$23,D413="Cukup",'B.kriteria &amp; R.kecocokan'!$C$24,D413="Sedikit",'B.kriteria &amp; R.kecocokan'!$C$25)</f>
        <v>7.5</v>
      </c>
      <c r="F413" s="9" t="str">
        <f>'B.kriteria &amp; R.kecocokan'!$B$35</f>
        <v>Sangat Tinggi</v>
      </c>
      <c r="G413" s="8">
        <f>_xlfn.IFS(F413="Tinggi",'B.kriteria &amp; R.kecocokan'!$C$34,F413="Sangat Tinggi",'B.kriteria &amp; R.kecocokan'!$C$35)</f>
        <v>10</v>
      </c>
      <c r="H413" s="8" t="str">
        <f>'B.kriteria &amp; R.kecocokan'!$B$41</f>
        <v>Rendah</v>
      </c>
      <c r="I413" s="8">
        <f>_xlfn.IFS(H413="Rendah",'B.kriteria &amp; R.kecocokan'!$C$41,H413="Sedang",'B.kriteria &amp; R.kecocokan'!$C$42,H413="Tinggi",'B.kriteria &amp; R.kecocokan'!$C$43)</f>
        <v>2.5</v>
      </c>
      <c r="J413" s="8" t="str">
        <f>'B.kriteria &amp; R.kecocokan'!$B$72</f>
        <v>Rendah</v>
      </c>
      <c r="K413" s="8">
        <f>_xlfn.IFS(J413="Rendah",'B.kriteria &amp; R.kecocokan'!$C$72,J413="Sedang",'B.kriteria &amp; R.kecocokan'!$C$73,J413="Tinggi",'B.kriteria &amp; R.kecocokan'!$C$74)</f>
        <v>2.5</v>
      </c>
      <c r="L413" s="8" t="str">
        <f>'B.kriteria &amp; R.kecocokan'!$B$95</f>
        <v>Rendah</v>
      </c>
      <c r="M413" s="8">
        <f>_xlfn.IFS(L413="Rendah",'B.kriteria &amp; R.kecocokan'!$C$95,L413="Tinggi",'B.kriteria &amp; R.kecocokan'!$C$96)</f>
        <v>2.5</v>
      </c>
      <c r="N413" s="9" t="str">
        <f>'B.kriteria &amp; R.kecocokan'!$B$81</f>
        <v>Tinggi</v>
      </c>
      <c r="O413" s="8">
        <f>_xlfn.IFS(N413="Rendah",'B.kriteria &amp; R.kecocokan'!$C$80,N413="Tinggi",'B.kriteria &amp; R.kecocokan'!$C$81)</f>
        <v>7.5</v>
      </c>
      <c r="P413" s="9" t="str">
        <f>'B.kriteria &amp; R.kecocokan'!$B$90</f>
        <v>Sangat Sedikit</v>
      </c>
      <c r="Q413" s="8">
        <f>_xlfn.IFS(P413="Sedikit",'B.kriteria &amp; R.kecocokan'!$C$89,P413="Sedang",'B.kriteria &amp; R.kecocokan'!$C$88,P413="Sangat Sedikit",'B.kriteria &amp; R.kecocokan'!$C$90)</f>
        <v>1</v>
      </c>
      <c r="R413" s="9" t="str">
        <f>'B.kriteria &amp; R.kecocokan'!$B$51</f>
        <v>Tinggi</v>
      </c>
      <c r="S413" s="8">
        <f>_xlfn.IFS(R413="Rendah",'B.kriteria &amp; R.kecocokan'!$C$49,R413="Sedang",'B.kriteria &amp; R.kecocokan'!$C$50,R413="Tinggi",'B.kriteria &amp; R.kecocokan'!$C$51)</f>
        <v>7.5</v>
      </c>
      <c r="T413" s="9" t="str">
        <f>'B.kriteria &amp; R.kecocokan'!$B$59</f>
        <v>Tinggi</v>
      </c>
      <c r="U413" s="51">
        <f>_xlfn.IFS(T413="Rendah",'B.kriteria &amp; R.kecocokan'!$C$57,T413="Sedang",'B.kriteria &amp; R.kecocokan'!$C$58,T413="Tinggi",'B.kriteria &amp; R.kecocokan'!$C$59)</f>
        <v>7.5</v>
      </c>
      <c r="V413" s="51" t="str">
        <f>'B.kriteria &amp; R.kecocokan'!$B$65</f>
        <v>Rendah</v>
      </c>
      <c r="W413" s="9">
        <f>_xlfn.IFS(V413="Rendah",'B.kriteria &amp; R.kecocokan'!$C$65,V413="Sedang",'B.kriteria &amp; R.kecocokan'!$C$66,V413="Tinggi",'B.kriteria &amp; R.kecocokan'!$C$67)</f>
        <v>1</v>
      </c>
      <c r="X413" s="117">
        <f t="shared" si="38"/>
        <v>6.0915247057931738</v>
      </c>
      <c r="Y413" s="117">
        <f t="shared" si="39"/>
        <v>9.5287045584598893</v>
      </c>
      <c r="Z413" s="119">
        <f t="shared" si="40"/>
        <v>6.0915247057931738</v>
      </c>
      <c r="AA413" s="52" t="str">
        <f t="shared" si="41"/>
        <v>Layak</v>
      </c>
      <c r="AB413" s="55" t="s">
        <v>349</v>
      </c>
    </row>
    <row r="414" spans="1:28" x14ac:dyDescent="0.35">
      <c r="A414" s="1">
        <v>89</v>
      </c>
      <c r="B414" s="2" t="s">
        <v>128</v>
      </c>
      <c r="C414" s="11" t="s">
        <v>95</v>
      </c>
      <c r="D414" s="32" t="str">
        <f>'B.kriteria &amp; R.kecocokan'!$B$24</f>
        <v>Cukup</v>
      </c>
      <c r="E414" s="111">
        <f>_xlfn.IFS(D414="Banyak",'B.kriteria &amp; R.kecocokan'!$C$23,D414="Cukup",'B.kriteria &amp; R.kecocokan'!$C$24,D414="Sedikit",'B.kriteria &amp; R.kecocokan'!$C$25)</f>
        <v>5</v>
      </c>
      <c r="F414" s="9" t="str">
        <f>'B.kriteria &amp; R.kecocokan'!$B$34</f>
        <v>Tinggi</v>
      </c>
      <c r="G414" s="8">
        <f>_xlfn.IFS(F414="Tinggi",'B.kriteria &amp; R.kecocokan'!$C$34,F414="Sangat Tinggi",'B.kriteria &amp; R.kecocokan'!$C$35)</f>
        <v>7.5</v>
      </c>
      <c r="H414" s="8" t="str">
        <f>'B.kriteria &amp; R.kecocokan'!$B$41</f>
        <v>Rendah</v>
      </c>
      <c r="I414" s="8">
        <f>_xlfn.IFS(H414="Rendah",'B.kriteria &amp; R.kecocokan'!$C$41,H414="Sedang",'B.kriteria &amp; R.kecocokan'!$C$42,H414="Tinggi",'B.kriteria &amp; R.kecocokan'!$C$43)</f>
        <v>2.5</v>
      </c>
      <c r="J414" s="8" t="str">
        <f>'B.kriteria &amp; R.kecocokan'!$B$72</f>
        <v>Rendah</v>
      </c>
      <c r="K414" s="8">
        <f>_xlfn.IFS(J414="Rendah",'B.kriteria &amp; R.kecocokan'!$C$72,J414="Sedang",'B.kriteria &amp; R.kecocokan'!$C$73,J414="Tinggi",'B.kriteria &amp; R.kecocokan'!$C$74)</f>
        <v>2.5</v>
      </c>
      <c r="L414" s="8" t="str">
        <f>'B.kriteria &amp; R.kecocokan'!$B$95</f>
        <v>Rendah</v>
      </c>
      <c r="M414" s="8">
        <f>_xlfn.IFS(L414="Rendah",'B.kriteria &amp; R.kecocokan'!$C$95,L414="Tinggi",'B.kriteria &amp; R.kecocokan'!$C$96)</f>
        <v>2.5</v>
      </c>
      <c r="N414" s="9" t="str">
        <f>'B.kriteria &amp; R.kecocokan'!$B$81</f>
        <v>Tinggi</v>
      </c>
      <c r="O414" s="8">
        <f>_xlfn.IFS(N414="Rendah",'B.kriteria &amp; R.kecocokan'!$C$80,N414="Tinggi",'B.kriteria &amp; R.kecocokan'!$C$81)</f>
        <v>7.5</v>
      </c>
      <c r="P414" s="9" t="str">
        <f>'B.kriteria &amp; R.kecocokan'!$B$90</f>
        <v>Sangat Sedikit</v>
      </c>
      <c r="Q414" s="8">
        <f>_xlfn.IFS(P414="Sedikit",'B.kriteria &amp; R.kecocokan'!$C$89,P414="Sedang",'B.kriteria &amp; R.kecocokan'!$C$88,P414="Sangat Sedikit",'B.kriteria &amp; R.kecocokan'!$C$90)</f>
        <v>1</v>
      </c>
      <c r="R414" s="8" t="str">
        <f>'B.kriteria &amp; R.kecocokan'!$B$49</f>
        <v>Rendah</v>
      </c>
      <c r="S414" s="8">
        <f>_xlfn.IFS(R414="Rendah",'B.kriteria &amp; R.kecocokan'!$C$49,R414="Sedang",'B.kriteria &amp; R.kecocokan'!$C$50,R414="Tinggi",'B.kriteria &amp; R.kecocokan'!$C$51)</f>
        <v>2.5</v>
      </c>
      <c r="T414" s="8" t="str">
        <f>'B.kriteria &amp; R.kecocokan'!$B$57</f>
        <v>Rendah</v>
      </c>
      <c r="U414" s="51">
        <f>_xlfn.IFS(T414="Rendah",'B.kriteria &amp; R.kecocokan'!$C$57,T414="Sedang",'B.kriteria &amp; R.kecocokan'!$C$58,T414="Tinggi",'B.kriteria &amp; R.kecocokan'!$C$59)</f>
        <v>2.5</v>
      </c>
      <c r="V414" s="51" t="str">
        <f>'B.kriteria &amp; R.kecocokan'!$B$65</f>
        <v>Rendah</v>
      </c>
      <c r="W414" s="9">
        <f>_xlfn.IFS(V414="Rendah",'B.kriteria &amp; R.kecocokan'!$C$65,V414="Sedang",'B.kriteria &amp; R.kecocokan'!$C$66,V414="Tinggi",'B.kriteria &amp; R.kecocokan'!$C$67)</f>
        <v>1</v>
      </c>
      <c r="X414" s="117">
        <f t="shared" si="38"/>
        <v>2.2484197094863263</v>
      </c>
      <c r="Y414" s="117">
        <f t="shared" si="39"/>
        <v>5.7178981024990652</v>
      </c>
      <c r="Z414" s="119">
        <f t="shared" si="40"/>
        <v>2.2484197094863263</v>
      </c>
      <c r="AA414" s="52" t="str">
        <f t="shared" si="41"/>
        <v>Layak</v>
      </c>
      <c r="AB414" s="55" t="s">
        <v>347</v>
      </c>
    </row>
    <row r="415" spans="1:28" x14ac:dyDescent="0.35">
      <c r="A415" s="5">
        <v>90</v>
      </c>
      <c r="B415" s="30" t="s">
        <v>136</v>
      </c>
      <c r="C415" s="11" t="s">
        <v>95</v>
      </c>
      <c r="D415" s="28" t="str">
        <f>'B.kriteria &amp; R.kecocokan'!$B$25</f>
        <v>Sedikit</v>
      </c>
      <c r="E415" s="111">
        <f>_xlfn.IFS(D415="Banyak",'B.kriteria &amp; R.kecocokan'!$C$23,D415="Cukup",'B.kriteria &amp; R.kecocokan'!$C$24,D415="Sedikit",'B.kriteria &amp; R.kecocokan'!$C$25)</f>
        <v>7.5</v>
      </c>
      <c r="F415" s="9" t="str">
        <f>'B.kriteria &amp; R.kecocokan'!$B$35</f>
        <v>Sangat Tinggi</v>
      </c>
      <c r="G415" s="8">
        <f>_xlfn.IFS(F415="Tinggi",'B.kriteria &amp; R.kecocokan'!$C$34,F415="Sangat Tinggi",'B.kriteria &amp; R.kecocokan'!$C$35)</f>
        <v>10</v>
      </c>
      <c r="H415" s="8" t="str">
        <f>'B.kriteria &amp; R.kecocokan'!$B$41</f>
        <v>Rendah</v>
      </c>
      <c r="I415" s="8">
        <f>_xlfn.IFS(H415="Rendah",'B.kriteria &amp; R.kecocokan'!$C$41,H415="Sedang",'B.kriteria &amp; R.kecocokan'!$C$42,H415="Tinggi",'B.kriteria &amp; R.kecocokan'!$C$43)</f>
        <v>2.5</v>
      </c>
      <c r="J415" s="8" t="str">
        <f>'B.kriteria &amp; R.kecocokan'!$B$72</f>
        <v>Rendah</v>
      </c>
      <c r="K415" s="8">
        <f>_xlfn.IFS(J415="Rendah",'B.kriteria &amp; R.kecocokan'!$C$72,J415="Sedang",'B.kriteria &amp; R.kecocokan'!$C$73,J415="Tinggi",'B.kriteria &amp; R.kecocokan'!$C$74)</f>
        <v>2.5</v>
      </c>
      <c r="L415" s="8" t="str">
        <f>'B.kriteria &amp; R.kecocokan'!$B$95</f>
        <v>Rendah</v>
      </c>
      <c r="M415" s="8">
        <f>_xlfn.IFS(L415="Rendah",'B.kriteria &amp; R.kecocokan'!$C$95,L415="Tinggi",'B.kriteria &amp; R.kecocokan'!$C$96)</f>
        <v>2.5</v>
      </c>
      <c r="N415" s="9" t="str">
        <f>'B.kriteria &amp; R.kecocokan'!$B$81</f>
        <v>Tinggi</v>
      </c>
      <c r="O415" s="8">
        <f>_xlfn.IFS(N415="Rendah",'B.kriteria &amp; R.kecocokan'!$C$80,N415="Tinggi",'B.kriteria &amp; R.kecocokan'!$C$81)</f>
        <v>7.5</v>
      </c>
      <c r="P415" s="9" t="str">
        <f>'B.kriteria &amp; R.kecocokan'!$B$90</f>
        <v>Sangat Sedikit</v>
      </c>
      <c r="Q415" s="8">
        <f>_xlfn.IFS(P415="Sedikit",'B.kriteria &amp; R.kecocokan'!$C$89,P415="Sedang",'B.kriteria &amp; R.kecocokan'!$C$88,P415="Sangat Sedikit",'B.kriteria &amp; R.kecocokan'!$C$90)</f>
        <v>1</v>
      </c>
      <c r="R415" s="9" t="str">
        <f>'B.kriteria &amp; R.kecocokan'!$B$51</f>
        <v>Tinggi</v>
      </c>
      <c r="S415" s="8">
        <f>_xlfn.IFS(R415="Rendah",'B.kriteria &amp; R.kecocokan'!$C$49,R415="Sedang",'B.kriteria &amp; R.kecocokan'!$C$50,R415="Tinggi",'B.kriteria &amp; R.kecocokan'!$C$51)</f>
        <v>7.5</v>
      </c>
      <c r="T415" s="9" t="str">
        <f>'B.kriteria &amp; R.kecocokan'!$B$59</f>
        <v>Tinggi</v>
      </c>
      <c r="U415" s="51">
        <f>_xlfn.IFS(T415="Rendah",'B.kriteria &amp; R.kecocokan'!$C$57,T415="Sedang",'B.kriteria &amp; R.kecocokan'!$C$58,T415="Tinggi",'B.kriteria &amp; R.kecocokan'!$C$59)</f>
        <v>7.5</v>
      </c>
      <c r="V415" s="51" t="str">
        <f>'B.kriteria &amp; R.kecocokan'!$B$65</f>
        <v>Rendah</v>
      </c>
      <c r="W415" s="9">
        <f>_xlfn.IFS(V415="Rendah",'B.kriteria &amp; R.kecocokan'!$C$65,V415="Sedang",'B.kriteria &amp; R.kecocokan'!$C$66,V415="Tinggi",'B.kriteria &amp; R.kecocokan'!$C$67)</f>
        <v>1</v>
      </c>
      <c r="X415" s="117">
        <f t="shared" si="38"/>
        <v>6.0915247057931738</v>
      </c>
      <c r="Y415" s="117">
        <f t="shared" si="39"/>
        <v>9.5287045584598893</v>
      </c>
      <c r="Z415" s="119">
        <f t="shared" si="40"/>
        <v>6.0915247057931738</v>
      </c>
      <c r="AA415" s="52" t="str">
        <f t="shared" si="41"/>
        <v>Layak</v>
      </c>
      <c r="AB415" s="55" t="s">
        <v>349</v>
      </c>
    </row>
    <row r="416" spans="1:28" x14ac:dyDescent="0.35">
      <c r="A416" s="5">
        <v>91</v>
      </c>
      <c r="B416" s="2" t="s">
        <v>140</v>
      </c>
      <c r="C416" s="11" t="s">
        <v>95</v>
      </c>
      <c r="D416" s="28" t="str">
        <f>'B.kriteria &amp; R.kecocokan'!$B$25</f>
        <v>Sedikit</v>
      </c>
      <c r="E416" s="111">
        <f>_xlfn.IFS(D416="Banyak",'B.kriteria &amp; R.kecocokan'!$C$23,D416="Cukup",'B.kriteria &amp; R.kecocokan'!$C$24,D416="Sedikit",'B.kriteria &amp; R.kecocokan'!$C$25)</f>
        <v>7.5</v>
      </c>
      <c r="F416" s="9" t="str">
        <f>'B.kriteria &amp; R.kecocokan'!$B$34</f>
        <v>Tinggi</v>
      </c>
      <c r="G416" s="8">
        <f>_xlfn.IFS(F416="Tinggi",'B.kriteria &amp; R.kecocokan'!$C$34,F416="Sangat Tinggi",'B.kriteria &amp; R.kecocokan'!$C$35)</f>
        <v>7.5</v>
      </c>
      <c r="H416" s="8" t="str">
        <f>'B.kriteria &amp; R.kecocokan'!$B$41</f>
        <v>Rendah</v>
      </c>
      <c r="I416" s="8">
        <f>_xlfn.IFS(H416="Rendah",'B.kriteria &amp; R.kecocokan'!$C$41,H416="Sedang",'B.kriteria &amp; R.kecocokan'!$C$42,H416="Tinggi",'B.kriteria &amp; R.kecocokan'!$C$43)</f>
        <v>2.5</v>
      </c>
      <c r="J416" s="8" t="str">
        <f>'B.kriteria &amp; R.kecocokan'!$B$72</f>
        <v>Rendah</v>
      </c>
      <c r="K416" s="8">
        <f>_xlfn.IFS(J416="Rendah",'B.kriteria &amp; R.kecocokan'!$C$72,J416="Sedang",'B.kriteria &amp; R.kecocokan'!$C$73,J416="Tinggi",'B.kriteria &amp; R.kecocokan'!$C$74)</f>
        <v>2.5</v>
      </c>
      <c r="L416" s="8" t="str">
        <f>'B.kriteria &amp; R.kecocokan'!$B$95</f>
        <v>Rendah</v>
      </c>
      <c r="M416" s="8">
        <f>_xlfn.IFS(L416="Rendah",'B.kriteria &amp; R.kecocokan'!$C$95,L416="Tinggi",'B.kriteria &amp; R.kecocokan'!$C$96)</f>
        <v>2.5</v>
      </c>
      <c r="N416" s="9" t="str">
        <f>'B.kriteria &amp; R.kecocokan'!$B$81</f>
        <v>Tinggi</v>
      </c>
      <c r="O416" s="8">
        <f>_xlfn.IFS(N416="Rendah",'B.kriteria &amp; R.kecocokan'!$C$80,N416="Tinggi",'B.kriteria &amp; R.kecocokan'!$C$81)</f>
        <v>7.5</v>
      </c>
      <c r="P416" s="9" t="str">
        <f>'B.kriteria &amp; R.kecocokan'!$B$90</f>
        <v>Sangat Sedikit</v>
      </c>
      <c r="Q416" s="8">
        <f>_xlfn.IFS(P416="Sedikit",'B.kriteria &amp; R.kecocokan'!$C$89,P416="Sedang",'B.kriteria &amp; R.kecocokan'!$C$88,P416="Sangat Sedikit",'B.kriteria &amp; R.kecocokan'!$C$90)</f>
        <v>1</v>
      </c>
      <c r="R416" s="8" t="str">
        <f>'B.kriteria &amp; R.kecocokan'!$B$49</f>
        <v>Rendah</v>
      </c>
      <c r="S416" s="8">
        <f>_xlfn.IFS(R416="Rendah",'B.kriteria &amp; R.kecocokan'!$C$49,R416="Sedang",'B.kriteria &amp; R.kecocokan'!$C$50,R416="Tinggi",'B.kriteria &amp; R.kecocokan'!$C$51)</f>
        <v>2.5</v>
      </c>
      <c r="T416" s="9" t="str">
        <f>'B.kriteria &amp; R.kecocokan'!$B$58</f>
        <v>Sedang</v>
      </c>
      <c r="U416" s="51">
        <f>_xlfn.IFS(T416="Rendah",'B.kriteria &amp; R.kecocokan'!$C$57,T416="Sedang",'B.kriteria &amp; R.kecocokan'!$C$58,T416="Tinggi",'B.kriteria &amp; R.kecocokan'!$C$59)</f>
        <v>5</v>
      </c>
      <c r="V416" s="51" t="str">
        <f>'B.kriteria &amp; R.kecocokan'!$B$65</f>
        <v>Rendah</v>
      </c>
      <c r="W416" s="9">
        <f>_xlfn.IFS(V416="Rendah",'B.kriteria &amp; R.kecocokan'!$C$65,V416="Sedang",'B.kriteria &amp; R.kecocokan'!$C$66,V416="Tinggi",'B.kriteria &amp; R.kecocokan'!$C$67)</f>
        <v>1</v>
      </c>
      <c r="X416" s="117">
        <f t="shared" si="38"/>
        <v>2.1759775664040641</v>
      </c>
      <c r="Y416" s="117">
        <f t="shared" si="39"/>
        <v>6.7398694491840043</v>
      </c>
      <c r="Z416" s="119">
        <f t="shared" si="40"/>
        <v>2.1759775664040641</v>
      </c>
      <c r="AA416" s="52" t="str">
        <f t="shared" si="41"/>
        <v>Layak</v>
      </c>
      <c r="AB416" s="55" t="s">
        <v>349</v>
      </c>
    </row>
    <row r="417" spans="1:28" x14ac:dyDescent="0.35">
      <c r="A417" s="1">
        <v>92</v>
      </c>
      <c r="B417" s="2" t="s">
        <v>251</v>
      </c>
      <c r="C417" s="11" t="s">
        <v>95</v>
      </c>
      <c r="D417" s="28" t="str">
        <f>'B.kriteria &amp; R.kecocokan'!$B$25</f>
        <v>Sedikit</v>
      </c>
      <c r="E417" s="111">
        <f>_xlfn.IFS(D417="Banyak",'B.kriteria &amp; R.kecocokan'!$C$23,D417="Cukup",'B.kriteria &amp; R.kecocokan'!$C$24,D417="Sedikit",'B.kriteria &amp; R.kecocokan'!$C$25)</f>
        <v>7.5</v>
      </c>
      <c r="F417" s="9" t="str">
        <f>'B.kriteria &amp; R.kecocokan'!$B$34</f>
        <v>Tinggi</v>
      </c>
      <c r="G417" s="8">
        <f>_xlfn.IFS(F417="Tinggi",'B.kriteria &amp; R.kecocokan'!$C$34,F417="Sangat Tinggi",'B.kriteria &amp; R.kecocokan'!$C$35)</f>
        <v>7.5</v>
      </c>
      <c r="H417" s="8" t="str">
        <f>'B.kriteria &amp; R.kecocokan'!$B$41</f>
        <v>Rendah</v>
      </c>
      <c r="I417" s="8">
        <f>_xlfn.IFS(H417="Rendah",'B.kriteria &amp; R.kecocokan'!$C$41,H417="Sedang",'B.kriteria &amp; R.kecocokan'!$C$42,H417="Tinggi",'B.kriteria &amp; R.kecocokan'!$C$43)</f>
        <v>2.5</v>
      </c>
      <c r="J417" s="8" t="str">
        <f>'B.kriteria &amp; R.kecocokan'!$B$72</f>
        <v>Rendah</v>
      </c>
      <c r="K417" s="8">
        <f>_xlfn.IFS(J417="Rendah",'B.kriteria &amp; R.kecocokan'!$C$72,J417="Sedang",'B.kriteria &amp; R.kecocokan'!$C$73,J417="Tinggi",'B.kriteria &amp; R.kecocokan'!$C$74)</f>
        <v>2.5</v>
      </c>
      <c r="L417" s="8" t="str">
        <f>'B.kriteria &amp; R.kecocokan'!$B$95</f>
        <v>Rendah</v>
      </c>
      <c r="M417" s="8">
        <f>_xlfn.IFS(L417="Rendah",'B.kriteria &amp; R.kecocokan'!$C$95,L417="Tinggi",'B.kriteria &amp; R.kecocokan'!$C$96)</f>
        <v>2.5</v>
      </c>
      <c r="N417" s="8" t="str">
        <f>'B.kriteria &amp; R.kecocokan'!$B$80</f>
        <v>Rendah</v>
      </c>
      <c r="O417" s="8">
        <f>_xlfn.IFS(N417="Rendah",'B.kriteria &amp; R.kecocokan'!$C$80,N417="Tinggi",'B.kriteria &amp; R.kecocokan'!$C$81)</f>
        <v>2.5</v>
      </c>
      <c r="P417" s="9" t="str">
        <f>'B.kriteria &amp; R.kecocokan'!$B$88</f>
        <v>Sedang</v>
      </c>
      <c r="Q417" s="8">
        <f>_xlfn.IFS(P417="Sedikit",'B.kriteria &amp; R.kecocokan'!$C$89,P417="Sedang",'B.kriteria &amp; R.kecocokan'!$C$88,P417="Sangat Sedikit",'B.kriteria &amp; R.kecocokan'!$C$90)</f>
        <v>5</v>
      </c>
      <c r="R417" s="8" t="str">
        <f>'B.kriteria &amp; R.kecocokan'!$B$49</f>
        <v>Rendah</v>
      </c>
      <c r="S417" s="8">
        <f>_xlfn.IFS(R417="Rendah",'B.kriteria &amp; R.kecocokan'!$C$49,R417="Sedang",'B.kriteria &amp; R.kecocokan'!$C$50,R417="Tinggi",'B.kriteria &amp; R.kecocokan'!$C$51)</f>
        <v>2.5</v>
      </c>
      <c r="T417" s="9" t="str">
        <f>'B.kriteria &amp; R.kecocokan'!$B$58</f>
        <v>Sedang</v>
      </c>
      <c r="U417" s="51">
        <f>_xlfn.IFS(T417="Rendah",'B.kriteria &amp; R.kecocokan'!$C$57,T417="Sedang",'B.kriteria &amp; R.kecocokan'!$C$58,T417="Tinggi",'B.kriteria &amp; R.kecocokan'!$C$59)</f>
        <v>5</v>
      </c>
      <c r="V417" s="51" t="str">
        <f>'B.kriteria &amp; R.kecocokan'!$B$65</f>
        <v>Rendah</v>
      </c>
      <c r="W417" s="9">
        <f>_xlfn.IFS(V417="Rendah",'B.kriteria &amp; R.kecocokan'!$C$65,V417="Sedang",'B.kriteria &amp; R.kecocokan'!$C$66,V417="Tinggi",'B.kriteria &amp; R.kecocokan'!$C$67)</f>
        <v>1</v>
      </c>
      <c r="X417" s="117">
        <f t="shared" si="38"/>
        <v>6.4840242656228586</v>
      </c>
      <c r="Y417" s="117">
        <f t="shared" si="39"/>
        <v>4.0391495492161198</v>
      </c>
      <c r="Z417" s="119">
        <f t="shared" si="40"/>
        <v>4.0391495492161198</v>
      </c>
      <c r="AA417" s="52" t="str">
        <f t="shared" si="41"/>
        <v>Tidak Layak</v>
      </c>
      <c r="AB417" s="55" t="s">
        <v>349</v>
      </c>
    </row>
    <row r="418" spans="1:28" x14ac:dyDescent="0.35">
      <c r="A418" s="5">
        <v>93</v>
      </c>
      <c r="B418" s="2" t="s">
        <v>252</v>
      </c>
      <c r="C418" s="11" t="s">
        <v>95</v>
      </c>
      <c r="D418" s="9" t="str">
        <f>'B.kriteria &amp; R.kecocokan'!$B$23</f>
        <v>Banyak</v>
      </c>
      <c r="E418" s="111">
        <f>_xlfn.IFS(D418="Banyak",'B.kriteria &amp; R.kecocokan'!$C$23,D418="Cukup",'B.kriteria &amp; R.kecocokan'!$C$24,D418="Sedikit",'B.kriteria &amp; R.kecocokan'!$C$25)</f>
        <v>2.5</v>
      </c>
      <c r="F418" s="9" t="str">
        <f>'B.kriteria &amp; R.kecocokan'!$B$34</f>
        <v>Tinggi</v>
      </c>
      <c r="G418" s="8">
        <f>_xlfn.IFS(F418="Tinggi",'B.kriteria &amp; R.kecocokan'!$C$34,F418="Sangat Tinggi",'B.kriteria &amp; R.kecocokan'!$C$35)</f>
        <v>7.5</v>
      </c>
      <c r="H418" s="8" t="str">
        <f>'B.kriteria &amp; R.kecocokan'!$B$41</f>
        <v>Rendah</v>
      </c>
      <c r="I418" s="8">
        <f>_xlfn.IFS(H418="Rendah",'B.kriteria &amp; R.kecocokan'!$C$41,H418="Sedang",'B.kriteria &amp; R.kecocokan'!$C$42,H418="Tinggi",'B.kriteria &amp; R.kecocokan'!$C$43)</f>
        <v>2.5</v>
      </c>
      <c r="J418" s="8" t="str">
        <f>'B.kriteria &amp; R.kecocokan'!$B$72</f>
        <v>Rendah</v>
      </c>
      <c r="K418" s="8">
        <f>_xlfn.IFS(J418="Rendah",'B.kriteria &amp; R.kecocokan'!$C$72,J418="Sedang",'B.kriteria &amp; R.kecocokan'!$C$73,J418="Tinggi",'B.kriteria &amp; R.kecocokan'!$C$74)</f>
        <v>2.5</v>
      </c>
      <c r="L418" s="8" t="str">
        <f>'B.kriteria &amp; R.kecocokan'!$B$95</f>
        <v>Rendah</v>
      </c>
      <c r="M418" s="8">
        <f>_xlfn.IFS(L418="Rendah",'B.kriteria &amp; R.kecocokan'!$C$95,L418="Tinggi",'B.kriteria &amp; R.kecocokan'!$C$96)</f>
        <v>2.5</v>
      </c>
      <c r="N418" s="8" t="str">
        <f>'B.kriteria &amp; R.kecocokan'!$B$80</f>
        <v>Rendah</v>
      </c>
      <c r="O418" s="8">
        <f>_xlfn.IFS(N418="Rendah",'B.kriteria &amp; R.kecocokan'!$C$80,N418="Tinggi",'B.kriteria &amp; R.kecocokan'!$C$81)</f>
        <v>2.5</v>
      </c>
      <c r="P418" s="9" t="str">
        <f>'B.kriteria &amp; R.kecocokan'!$B$88</f>
        <v>Sedang</v>
      </c>
      <c r="Q418" s="8">
        <f>_xlfn.IFS(P418="Sedikit",'B.kriteria &amp; R.kecocokan'!$C$89,P418="Sedang",'B.kriteria &amp; R.kecocokan'!$C$88,P418="Sangat Sedikit",'B.kriteria &amp; R.kecocokan'!$C$90)</f>
        <v>5</v>
      </c>
      <c r="R418" s="8" t="str">
        <f>'B.kriteria &amp; R.kecocokan'!$B$49</f>
        <v>Rendah</v>
      </c>
      <c r="S418" s="8">
        <f>_xlfn.IFS(R418="Rendah",'B.kriteria &amp; R.kecocokan'!$C$49,R418="Sedang",'B.kriteria &amp; R.kecocokan'!$C$50,R418="Tinggi",'B.kriteria &amp; R.kecocokan'!$C$51)</f>
        <v>2.5</v>
      </c>
      <c r="T418" s="8" t="str">
        <f>'B.kriteria &amp; R.kecocokan'!$B$57</f>
        <v>Rendah</v>
      </c>
      <c r="U418" s="51">
        <f>_xlfn.IFS(T418="Rendah",'B.kriteria &amp; R.kecocokan'!$C$57,T418="Sedang",'B.kriteria &amp; R.kecocokan'!$C$58,T418="Tinggi",'B.kriteria &amp; R.kecocokan'!$C$59)</f>
        <v>2.5</v>
      </c>
      <c r="V418" s="51" t="str">
        <f>'B.kriteria &amp; R.kecocokan'!$B$65</f>
        <v>Rendah</v>
      </c>
      <c r="W418" s="9">
        <f>_xlfn.IFS(V418="Rendah",'B.kriteria &amp; R.kecocokan'!$C$65,V418="Sedang",'B.kriteria &amp; R.kecocokan'!$C$66,V418="Tinggi",'B.kriteria &amp; R.kecocokan'!$C$67)</f>
        <v>1</v>
      </c>
      <c r="X418" s="117">
        <f t="shared" si="38"/>
        <v>7.4608555507381942</v>
      </c>
      <c r="Y418" s="117">
        <f t="shared" si="39"/>
        <v>2.741976072951128</v>
      </c>
      <c r="Z418" s="119">
        <f t="shared" si="40"/>
        <v>2.741976072951128</v>
      </c>
      <c r="AA418" s="52" t="str">
        <f t="shared" si="41"/>
        <v>Tidak Layak</v>
      </c>
      <c r="AB418" s="55" t="s">
        <v>347</v>
      </c>
    </row>
    <row r="419" spans="1:28" x14ac:dyDescent="0.35">
      <c r="A419" s="1"/>
      <c r="B419" s="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52"/>
      <c r="V419" s="52"/>
      <c r="W419" s="52"/>
      <c r="X419" s="52"/>
      <c r="Y419" s="52"/>
      <c r="Z419" s="52"/>
      <c r="AA419" s="17"/>
    </row>
    <row r="420" spans="1:28" x14ac:dyDescent="0.35">
      <c r="A420" s="1"/>
      <c r="B420" s="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52"/>
      <c r="V420" s="52"/>
      <c r="W420" s="52"/>
      <c r="X420" s="52"/>
      <c r="Y420" s="52"/>
      <c r="Z420" s="52"/>
      <c r="AA420" s="17"/>
    </row>
    <row r="421" spans="1:28" x14ac:dyDescent="0.35">
      <c r="A421" s="1"/>
      <c r="B421" s="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52"/>
      <c r="V421" s="52"/>
      <c r="W421" s="52"/>
      <c r="X421" s="52"/>
      <c r="Y421" s="52"/>
      <c r="Z421" s="52"/>
      <c r="AA421" s="17"/>
    </row>
    <row r="422" spans="1:28" ht="15" thickBot="1" x14ac:dyDescent="0.4">
      <c r="A422" s="3"/>
      <c r="B422" s="4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53"/>
      <c r="V422" s="53"/>
      <c r="W422" s="53"/>
      <c r="X422" s="53"/>
      <c r="Y422" s="53"/>
      <c r="Z422" s="53"/>
      <c r="AA422" s="18"/>
    </row>
    <row r="423" spans="1:28" ht="15" thickTop="1" x14ac:dyDescent="0.35"/>
    <row r="425" spans="1:28" x14ac:dyDescent="0.35">
      <c r="Z425" t="s">
        <v>413</v>
      </c>
      <c r="AA425" s="43">
        <f>COUNTIF($AA$326:$AA$418,$AA$416)</f>
        <v>38</v>
      </c>
    </row>
    <row r="426" spans="1:28" x14ac:dyDescent="0.35">
      <c r="Z426" t="s">
        <v>409</v>
      </c>
      <c r="AA426" s="43">
        <f>COUNTIF($AA$326:$AA$418,$AA$418)</f>
        <v>55</v>
      </c>
    </row>
    <row r="427" spans="1:28" x14ac:dyDescent="0.35">
      <c r="B427" s="43" t="s">
        <v>416</v>
      </c>
      <c r="AA427">
        <f>SUM(AA425:AA426)</f>
        <v>93</v>
      </c>
    </row>
    <row r="428" spans="1:28" x14ac:dyDescent="0.35">
      <c r="B428" s="80" t="s">
        <v>404</v>
      </c>
      <c r="C428" s="80"/>
      <c r="D428" s="80"/>
      <c r="E428" s="80">
        <f>(SUMIF($AA$326:$AA$418,$AA$416,E326:E418))/$AA$425</f>
        <v>6.1184210526315788</v>
      </c>
      <c r="F428" s="80">
        <f t="shared" ref="F428:W428" si="42">(SUMIF($AA$326:$AA$418,$AA$416,F326:F418))/$AA$425</f>
        <v>0</v>
      </c>
      <c r="G428" s="80">
        <f t="shared" si="42"/>
        <v>7.9605263157894735</v>
      </c>
      <c r="H428" s="80">
        <f t="shared" si="42"/>
        <v>0</v>
      </c>
      <c r="I428" s="80">
        <f t="shared" si="42"/>
        <v>2.763157894736842</v>
      </c>
      <c r="J428" s="80">
        <f t="shared" si="42"/>
        <v>0</v>
      </c>
      <c r="K428" s="80">
        <f t="shared" si="42"/>
        <v>2.6315789473684212</v>
      </c>
      <c r="L428" s="80">
        <f t="shared" si="42"/>
        <v>0</v>
      </c>
      <c r="M428" s="80">
        <f t="shared" si="42"/>
        <v>2.5</v>
      </c>
      <c r="N428" s="80">
        <f t="shared" si="42"/>
        <v>0</v>
      </c>
      <c r="O428" s="80">
        <f t="shared" si="42"/>
        <v>7.5</v>
      </c>
      <c r="P428" s="80">
        <f t="shared" si="42"/>
        <v>0</v>
      </c>
      <c r="Q428" s="80">
        <f t="shared" si="42"/>
        <v>1.4210526315789473</v>
      </c>
      <c r="R428" s="80">
        <f t="shared" si="42"/>
        <v>0</v>
      </c>
      <c r="S428" s="80">
        <f t="shared" si="42"/>
        <v>3.1578947368421053</v>
      </c>
      <c r="T428" s="80">
        <f t="shared" si="42"/>
        <v>0</v>
      </c>
      <c r="U428" s="80">
        <f t="shared" si="42"/>
        <v>3.5526315789473686</v>
      </c>
      <c r="V428" s="80">
        <f t="shared" si="42"/>
        <v>0</v>
      </c>
      <c r="W428" s="80">
        <f t="shared" si="42"/>
        <v>1.0263157894736843</v>
      </c>
    </row>
    <row r="429" spans="1:28" x14ac:dyDescent="0.35">
      <c r="B429" s="80" t="s">
        <v>405</v>
      </c>
      <c r="C429" s="80"/>
      <c r="D429" s="80"/>
      <c r="E429" s="80">
        <f>(SUMIF($AA$326:$AA$418,$AA$418,E326:E418))/$AA$426</f>
        <v>4.7727272727272725</v>
      </c>
      <c r="F429" s="80">
        <f t="shared" ref="F429:W429" si="43">(SUMIF($AA$326:$AA$418,$AA$418,F326:F418))/57</f>
        <v>0</v>
      </c>
      <c r="G429" s="80">
        <f t="shared" si="43"/>
        <v>7.6315789473684212</v>
      </c>
      <c r="H429" s="80">
        <f t="shared" si="43"/>
        <v>0</v>
      </c>
      <c r="I429" s="80">
        <f t="shared" si="43"/>
        <v>3.2017543859649122</v>
      </c>
      <c r="J429" s="80">
        <f t="shared" si="43"/>
        <v>0</v>
      </c>
      <c r="K429" s="80">
        <f t="shared" si="43"/>
        <v>2.4122807017543861</v>
      </c>
      <c r="L429" s="80">
        <f t="shared" si="43"/>
        <v>0</v>
      </c>
      <c r="M429" s="80">
        <f t="shared" si="43"/>
        <v>2.5877192982456139</v>
      </c>
      <c r="N429" s="80">
        <f t="shared" si="43"/>
        <v>0</v>
      </c>
      <c r="O429" s="80">
        <f t="shared" si="43"/>
        <v>2.4122807017543861</v>
      </c>
      <c r="P429" s="80">
        <f t="shared" si="43"/>
        <v>0</v>
      </c>
      <c r="Q429" s="80">
        <f t="shared" si="43"/>
        <v>3.2719298245614037</v>
      </c>
      <c r="R429" s="80">
        <f t="shared" si="43"/>
        <v>0</v>
      </c>
      <c r="S429" s="80">
        <f t="shared" si="43"/>
        <v>2.6754385964912282</v>
      </c>
      <c r="T429" s="80">
        <f t="shared" si="43"/>
        <v>0</v>
      </c>
      <c r="U429" s="80">
        <f t="shared" si="43"/>
        <v>2.8947368421052633</v>
      </c>
      <c r="V429" s="80">
        <f t="shared" si="43"/>
        <v>0</v>
      </c>
      <c r="W429" s="80">
        <f t="shared" si="43"/>
        <v>0.96491228070175439</v>
      </c>
    </row>
    <row r="430" spans="1:28" ht="15" thickBot="1" x14ac:dyDescent="0.4"/>
    <row r="431" spans="1:28" ht="59" thickTop="1" thickBot="1" x14ac:dyDescent="0.4">
      <c r="A431" s="13" t="s">
        <v>0</v>
      </c>
      <c r="B431" s="15" t="s">
        <v>2</v>
      </c>
      <c r="C431" s="14" t="s">
        <v>3</v>
      </c>
      <c r="D431" s="14" t="s">
        <v>4</v>
      </c>
      <c r="E431" s="14" t="str">
        <f>$D$6</f>
        <v xml:space="preserve">Penghasilan </v>
      </c>
      <c r="F431" s="15" t="s">
        <v>5</v>
      </c>
      <c r="G431" s="15" t="str">
        <f>$F$6</f>
        <v>Luas Rumah</v>
      </c>
      <c r="H431" s="15" t="s">
        <v>6</v>
      </c>
      <c r="I431" s="15" t="str">
        <f>$H$6</f>
        <v xml:space="preserve">Status Kepemilikan Rumah </v>
      </c>
      <c r="J431" s="15" t="s">
        <v>21</v>
      </c>
      <c r="K431" s="15" t="str">
        <f>$J$6</f>
        <v>Sumber Air</v>
      </c>
      <c r="L431" s="15" t="s">
        <v>7</v>
      </c>
      <c r="M431" s="15" t="str">
        <f>$L$6</f>
        <v>ibu Hamil / menyusui</v>
      </c>
      <c r="N431" s="15" t="s">
        <v>8</v>
      </c>
      <c r="O431" s="15" t="str">
        <f>$N$6</f>
        <v>lansia</v>
      </c>
      <c r="P431" s="15" t="s">
        <v>25</v>
      </c>
      <c r="Q431" s="15" t="str">
        <f>$P$6</f>
        <v>jumlah tanggungan (Anak)</v>
      </c>
      <c r="R431" s="15" t="s">
        <v>9</v>
      </c>
      <c r="S431" s="15" t="str">
        <f>$R$6</f>
        <v>jenis dinding</v>
      </c>
      <c r="T431" s="15" t="s">
        <v>10</v>
      </c>
      <c r="U431" s="50" t="str">
        <f>$T$6</f>
        <v xml:space="preserve">jenis lantai </v>
      </c>
      <c r="V431" s="50" t="s">
        <v>11</v>
      </c>
      <c r="W431" s="120" t="str">
        <f>$V$6</f>
        <v>jenis atap</v>
      </c>
      <c r="X431" s="109" t="s">
        <v>400</v>
      </c>
      <c r="Y431" s="109" t="s">
        <v>401</v>
      </c>
      <c r="Z431" s="109" t="s">
        <v>402</v>
      </c>
      <c r="AA431" s="54" t="s">
        <v>403</v>
      </c>
    </row>
    <row r="432" spans="1:28" ht="15" thickTop="1" x14ac:dyDescent="0.35">
      <c r="A432" s="5">
        <v>1</v>
      </c>
      <c r="B432" s="6" t="s">
        <v>12</v>
      </c>
      <c r="C432" s="7" t="s">
        <v>13</v>
      </c>
      <c r="D432" s="32" t="str">
        <f>'B.kriteria &amp; R.kecocokan'!$B$24</f>
        <v>Cukup</v>
      </c>
      <c r="E432" s="111">
        <f>_xlfn.IFS(D432="Banyak",'B.kriteria &amp; R.kecocokan'!$C$23,D432="Cukup",'B.kriteria &amp; R.kecocokan'!$C$24,D432="Sedikit",'B.kriteria &amp; R.kecocokan'!$C$25)</f>
        <v>5</v>
      </c>
      <c r="F432" s="8" t="str">
        <f>'B.kriteria &amp; R.kecocokan'!$B$34</f>
        <v>Tinggi</v>
      </c>
      <c r="G432" s="8">
        <f>_xlfn.IFS(F432="Tinggi",'B.kriteria &amp; R.kecocokan'!$C$34,F432="Sangat Tinggi",'B.kriteria &amp; R.kecocokan'!$C$35)</f>
        <v>7.5</v>
      </c>
      <c r="H432" s="8" t="str">
        <f>'B.kriteria &amp; R.kecocokan'!$B$41</f>
        <v>Rendah</v>
      </c>
      <c r="I432" s="8">
        <f>_xlfn.IFS(H432="Rendah",'B.kriteria &amp; R.kecocokan'!$C$41,H432="Sedang",'B.kriteria &amp; R.kecocokan'!$C$42,H432="Tinggi",'B.kriteria &amp; R.kecocokan'!$C$43)</f>
        <v>2.5</v>
      </c>
      <c r="J432" s="8" t="str">
        <f>'B.kriteria &amp; R.kecocokan'!$B$72</f>
        <v>Rendah</v>
      </c>
      <c r="K432" s="8">
        <f>_xlfn.IFS(J432="Rendah",'B.kriteria &amp; R.kecocokan'!$C$72,J432="Sedang",'B.kriteria &amp; R.kecocokan'!$C$73,J432="Tinggi",'B.kriteria &amp; R.kecocokan'!$C$74)</f>
        <v>2.5</v>
      </c>
      <c r="L432" s="8" t="str">
        <f>'B.kriteria &amp; R.kecocokan'!$B$95</f>
        <v>Rendah</v>
      </c>
      <c r="M432" s="8">
        <f>_xlfn.IFS(L432="Rendah",'B.kriteria &amp; R.kecocokan'!$C$95,L432="Tinggi",'B.kriteria &amp; R.kecocokan'!$C$96)</f>
        <v>2.5</v>
      </c>
      <c r="N432" s="8" t="str">
        <f>'B.kriteria &amp; R.kecocokan'!$B$80</f>
        <v>Rendah</v>
      </c>
      <c r="O432" s="8">
        <f>_xlfn.IFS(N432="Rendah",'B.kriteria &amp; R.kecocokan'!$C$80,N432="Tinggi",'B.kriteria &amp; R.kecocokan'!$C$81)</f>
        <v>2.5</v>
      </c>
      <c r="P432" s="8" t="str">
        <f>'B.kriteria &amp; R.kecocokan'!$B$89</f>
        <v>Sedikit</v>
      </c>
      <c r="Q432" s="8">
        <f>_xlfn.IFS(P432="Sedikit",'B.kriteria &amp; R.kecocokan'!$C$89,P432="Sedang",'B.kriteria &amp; R.kecocokan'!$C$88,P432="Sangat Sedikit",'B.kriteria &amp; R.kecocokan'!$C$90)</f>
        <v>2.5</v>
      </c>
      <c r="R432" s="8" t="str">
        <f>'B.kriteria &amp; R.kecocokan'!$B$49</f>
        <v>Rendah</v>
      </c>
      <c r="S432" s="8">
        <f>_xlfn.IFS(R432="Rendah",'B.kriteria &amp; R.kecocokan'!$C$49,R432="Sedang",'B.kriteria &amp; R.kecocokan'!$C$50,R432="Tinggi",'B.kriteria &amp; R.kecocokan'!$C$51)</f>
        <v>2.5</v>
      </c>
      <c r="T432" s="8" t="str">
        <f>'B.kriteria &amp; R.kecocokan'!$B$57</f>
        <v>Rendah</v>
      </c>
      <c r="U432" s="51">
        <f>_xlfn.IFS(T432="Rendah",'B.kriteria &amp; R.kecocokan'!$C$57,T432="Sedang",'B.kriteria &amp; R.kecocokan'!$C$58,T432="Tinggi",'B.kriteria &amp; R.kecocokan'!$C$59)</f>
        <v>2.5</v>
      </c>
      <c r="V432" s="51" t="str">
        <f>'B.kriteria &amp; R.kecocokan'!$B$65</f>
        <v>Rendah</v>
      </c>
      <c r="W432" s="110">
        <f>_xlfn.IFS(V432="Rendah",'B.kriteria &amp; R.kecocokan'!$C$65,V432="Sedang",'B.kriteria &amp; R.kecocokan'!$C$66,V432="Tinggi",'B.kriteria &amp; R.kecocokan'!$C$67)</f>
        <v>1</v>
      </c>
      <c r="X432" s="116">
        <f>SQRT(((E432-$E$428)^2)+((G432-$G$428)^2)+((I432-$I$428)^2+((K432-$K$428)^2)+((M432-$M$428)^2)+((O432-$O$428)^2)+((Q432-$Q$428)^2)+((S432-$S$428)^2)+((U432-$U$428)^2)+((W432-$W$428)^2)))</f>
        <v>5.4088070686443581</v>
      </c>
      <c r="Y432" s="116">
        <f>SQRT(((E432-$E$429)^2)+((G432-$G$429)^2)+((I432-$I$429)^2)+((K432-$K$429)^2)+((M432-$M$429)^2+((O432-$O$429)^2)+((Q432-$Q$429)^2)+((S432-$S$429)^2)+((U432-$U$429)^2)+((W432-$W$429)^2)))</f>
        <v>1.1697058748996112</v>
      </c>
      <c r="Z432" s="118">
        <f>MIN(X432:Y432)</f>
        <v>1.1697058748996112</v>
      </c>
      <c r="AA432" s="121" t="str">
        <f>IF(X432&lt;Y432,"Layak","Tidak Layak")</f>
        <v>Tidak Layak</v>
      </c>
    </row>
    <row r="433" spans="1:27" x14ac:dyDescent="0.35">
      <c r="A433" s="1">
        <v>2</v>
      </c>
      <c r="B433" s="2" t="s">
        <v>24</v>
      </c>
      <c r="C433" s="11" t="s">
        <v>13</v>
      </c>
      <c r="D433" s="32" t="str">
        <f>'B.kriteria &amp; R.kecocokan'!$B$24</f>
        <v>Cukup</v>
      </c>
      <c r="E433" s="111">
        <f>_xlfn.IFS(D433="Banyak",'B.kriteria &amp; R.kecocokan'!$C$23,D433="Cukup",'B.kriteria &amp; R.kecocokan'!$C$24,D433="Sedikit",'B.kriteria &amp; R.kecocokan'!$C$25)</f>
        <v>5</v>
      </c>
      <c r="F433" s="9" t="str">
        <f>'B.kriteria &amp; R.kecocokan'!$B$34</f>
        <v>Tinggi</v>
      </c>
      <c r="G433" s="8">
        <f>_xlfn.IFS(F433="Tinggi",'B.kriteria &amp; R.kecocokan'!$C$34,F433="Sangat Tinggi",'B.kriteria &amp; R.kecocokan'!$C$35)</f>
        <v>7.5</v>
      </c>
      <c r="H433" s="8" t="str">
        <f>'B.kriteria &amp; R.kecocokan'!$B$41</f>
        <v>Rendah</v>
      </c>
      <c r="I433" s="8">
        <f>_xlfn.IFS(H433="Rendah",'B.kriteria &amp; R.kecocokan'!$C$41,H433="Sedang",'B.kriteria &amp; R.kecocokan'!$C$42,H433="Tinggi",'B.kriteria &amp; R.kecocokan'!$C$43)</f>
        <v>2.5</v>
      </c>
      <c r="J433" s="8" t="str">
        <f>'B.kriteria &amp; R.kecocokan'!$B$72</f>
        <v>Rendah</v>
      </c>
      <c r="K433" s="8">
        <f>_xlfn.IFS(J433="Rendah",'B.kriteria &amp; R.kecocokan'!$C$72,J433="Sedang",'B.kriteria &amp; R.kecocokan'!$C$73,J433="Tinggi",'B.kriteria &amp; R.kecocokan'!$C$74)</f>
        <v>2.5</v>
      </c>
      <c r="L433" s="8" t="str">
        <f>'B.kriteria &amp; R.kecocokan'!$B$95</f>
        <v>Rendah</v>
      </c>
      <c r="M433" s="8">
        <f>_xlfn.IFS(L433="Rendah",'B.kriteria &amp; R.kecocokan'!$C$95,L433="Tinggi",'B.kriteria &amp; R.kecocokan'!$C$96)</f>
        <v>2.5</v>
      </c>
      <c r="N433" s="9" t="str">
        <f>'B.kriteria &amp; R.kecocokan'!$B$81</f>
        <v>Tinggi</v>
      </c>
      <c r="O433" s="8">
        <f>_xlfn.IFS(N433="Rendah",'B.kriteria &amp; R.kecocokan'!$C$80,N433="Tinggi",'B.kriteria &amp; R.kecocokan'!$C$81)</f>
        <v>7.5</v>
      </c>
      <c r="P433" s="9" t="str">
        <f>'B.kriteria &amp; R.kecocokan'!$B$90</f>
        <v>Sangat Sedikit</v>
      </c>
      <c r="Q433" s="8">
        <f>_xlfn.IFS(P433="Sedikit",'B.kriteria &amp; R.kecocokan'!$C$89,P433="Sedang",'B.kriteria &amp; R.kecocokan'!$C$88,P433="Sangat Sedikit",'B.kriteria &amp; R.kecocokan'!$C$90)</f>
        <v>1</v>
      </c>
      <c r="R433" s="8" t="str">
        <f>'B.kriteria &amp; R.kecocokan'!$B$49</f>
        <v>Rendah</v>
      </c>
      <c r="S433" s="8">
        <f>_xlfn.IFS(R433="Rendah",'B.kriteria &amp; R.kecocokan'!$C$49,R433="Sedang",'B.kriteria &amp; R.kecocokan'!$C$50,R433="Tinggi",'B.kriteria &amp; R.kecocokan'!$C$51)</f>
        <v>2.5</v>
      </c>
      <c r="T433" s="8" t="str">
        <f>'B.kriteria &amp; R.kecocokan'!$B$57</f>
        <v>Rendah</v>
      </c>
      <c r="U433" s="51">
        <f>_xlfn.IFS(T433="Rendah",'B.kriteria &amp; R.kecocokan'!$C$57,T433="Sedang",'B.kriteria &amp; R.kecocokan'!$C$58,T433="Tinggi",'B.kriteria &amp; R.kecocokan'!$C$59)</f>
        <v>2.5</v>
      </c>
      <c r="V433" s="51" t="str">
        <f>'B.kriteria &amp; R.kecocokan'!$B$65</f>
        <v>Rendah</v>
      </c>
      <c r="W433" s="9">
        <f>_xlfn.IFS(V433="Rendah",'B.kriteria &amp; R.kecocokan'!$C$65,V433="Sedang",'B.kriteria &amp; R.kecocokan'!$C$66,V433="Tinggi",'B.kriteria &amp; R.kecocokan'!$C$67)</f>
        <v>1</v>
      </c>
      <c r="X433" s="117">
        <f>SQRT(((E433-$E$428)^2)+((G433-$G$428)^2)+((I433-$I$428)^2+((K433-$K$428)^2)+((M433-$M$428)^2)+((O433-$O$428)^2)+((Q433-$Q$428)^2)+((S433-$S$428)^2)+((U433-$U$428)^2)+((W433-$W$428)^2)))</f>
        <v>1.8078583463739675</v>
      </c>
      <c r="Y433" s="117">
        <f>SQRT(((E433-$E$429)^2)+((G433-$G$429)^2)+((I433-$I$429)^2)+((K433-$K$429)^2)+((M433-$M$429)^2+((O433-$O$429)^2)+((Q433-$Q$429)^2)+((S433-$S$429)^2)+((U433-$U$429)^2)+((W433-$W$429)^2)))</f>
        <v>5.6401413359875132</v>
      </c>
      <c r="Z433" s="119">
        <f>MIN(X433:Y433)</f>
        <v>1.8078583463739675</v>
      </c>
      <c r="AA433" s="55" t="str">
        <f>IF(X433&lt;Y433,"Layak","Tidak Layak")</f>
        <v>Layak</v>
      </c>
    </row>
    <row r="434" spans="1:27" x14ac:dyDescent="0.35">
      <c r="A434" s="5">
        <v>3</v>
      </c>
      <c r="B434" s="2" t="s">
        <v>26</v>
      </c>
      <c r="C434" s="11" t="s">
        <v>13</v>
      </c>
      <c r="D434" s="9" t="str">
        <f>'B.kriteria &amp; R.kecocokan'!$B$23</f>
        <v>Banyak</v>
      </c>
      <c r="E434" s="111">
        <f>_xlfn.IFS(D434="Banyak",'B.kriteria &amp; R.kecocokan'!$C$23,D434="Cukup",'B.kriteria &amp; R.kecocokan'!$C$24,D434="Sedikit",'B.kriteria &amp; R.kecocokan'!$C$25)</f>
        <v>2.5</v>
      </c>
      <c r="F434" s="9" t="str">
        <f>'B.kriteria &amp; R.kecocokan'!$B$34</f>
        <v>Tinggi</v>
      </c>
      <c r="G434" s="8">
        <f>_xlfn.IFS(F434="Tinggi",'B.kriteria &amp; R.kecocokan'!$C$34,F434="Sangat Tinggi",'B.kriteria &amp; R.kecocokan'!$C$35)</f>
        <v>7.5</v>
      </c>
      <c r="H434" s="8" t="str">
        <f>'B.kriteria &amp; R.kecocokan'!$B$41</f>
        <v>Rendah</v>
      </c>
      <c r="I434" s="8">
        <f>_xlfn.IFS(H434="Rendah",'B.kriteria &amp; R.kecocokan'!$C$41,H434="Sedang",'B.kriteria &amp; R.kecocokan'!$C$42,H434="Tinggi",'B.kriteria &amp; R.kecocokan'!$C$43)</f>
        <v>2.5</v>
      </c>
      <c r="J434" s="8" t="str">
        <f>'B.kriteria &amp; R.kecocokan'!$B$72</f>
        <v>Rendah</v>
      </c>
      <c r="K434" s="8">
        <f>_xlfn.IFS(J434="Rendah",'B.kriteria &amp; R.kecocokan'!$C$72,J434="Sedang",'B.kriteria &amp; R.kecocokan'!$C$73,J434="Tinggi",'B.kriteria &amp; R.kecocokan'!$C$74)</f>
        <v>2.5</v>
      </c>
      <c r="L434" s="8" t="str">
        <f>'B.kriteria &amp; R.kecocokan'!$B$95</f>
        <v>Rendah</v>
      </c>
      <c r="M434" s="8">
        <f>_xlfn.IFS(L434="Rendah",'B.kriteria &amp; R.kecocokan'!$C$95,L434="Tinggi",'B.kriteria &amp; R.kecocokan'!$C$96)</f>
        <v>2.5</v>
      </c>
      <c r="N434" s="8" t="str">
        <f>'B.kriteria &amp; R.kecocokan'!$B$80</f>
        <v>Rendah</v>
      </c>
      <c r="O434" s="8">
        <f>_xlfn.IFS(N434="Rendah",'B.kriteria &amp; R.kecocokan'!$C$80,N434="Tinggi",'B.kriteria &amp; R.kecocokan'!$C$81)</f>
        <v>2.5</v>
      </c>
      <c r="P434" s="9" t="str">
        <f>'B.kriteria &amp; R.kecocokan'!$B$90</f>
        <v>Sangat Sedikit</v>
      </c>
      <c r="Q434" s="8">
        <f>_xlfn.IFS(P434="Sedikit",'B.kriteria &amp; R.kecocokan'!$C$89,P434="Sedang",'B.kriteria &amp; R.kecocokan'!$C$88,P434="Sangat Sedikit",'B.kriteria &amp; R.kecocokan'!$C$90)</f>
        <v>1</v>
      </c>
      <c r="R434" s="8" t="str">
        <f>'B.kriteria &amp; R.kecocokan'!$B$49</f>
        <v>Rendah</v>
      </c>
      <c r="S434" s="8">
        <f>_xlfn.IFS(R434="Rendah",'B.kriteria &amp; R.kecocokan'!$C$49,R434="Sedang",'B.kriteria &amp; R.kecocokan'!$C$50,R434="Tinggi",'B.kriteria &amp; R.kecocokan'!$C$51)</f>
        <v>2.5</v>
      </c>
      <c r="T434" s="8" t="str">
        <f>'B.kriteria &amp; R.kecocokan'!$B$57</f>
        <v>Rendah</v>
      </c>
      <c r="U434" s="51">
        <f>_xlfn.IFS(T434="Rendah",'B.kriteria &amp; R.kecocokan'!$C$57,T434="Sedang",'B.kriteria &amp; R.kecocokan'!$C$58,T434="Tinggi",'B.kriteria &amp; R.kecocokan'!$C$59)</f>
        <v>2.5</v>
      </c>
      <c r="V434" s="51" t="str">
        <f>'B.kriteria &amp; R.kecocokan'!$B$65</f>
        <v>Rendah</v>
      </c>
      <c r="W434" s="9">
        <f>_xlfn.IFS(V434="Rendah",'B.kriteria &amp; R.kecocokan'!$C$65,V434="Sedang",'B.kriteria &amp; R.kecocokan'!$C$66,V434="Tinggi",'B.kriteria &amp; R.kecocokan'!$C$67)</f>
        <v>1</v>
      </c>
      <c r="X434" s="117">
        <f t="shared" ref="X434:X497" si="44">SQRT(((E434-$E$428)^2)+((G434-$G$428)^2)+((I434-$I$428)^2+((K434-$K$428)^2)+((M434-$M$428)^2)+((O434-$O$428)^2)+((Q434-$Q$428)^2)+((S434-$S$428)^2)+((U434-$U$428)^2)+((W434-$W$428)^2)))</f>
        <v>6.3332816978018514</v>
      </c>
      <c r="Y434" s="117">
        <f t="shared" ref="Y434:Y497" si="45">SQRT(((E434-$E$429)^2)+((G434-$G$429)^2)+((I434-$I$429)^2)+((K434-$K$429)^2)+((M434-$M$429)^2+((O434-$O$429)^2)+((Q434-$Q$429)^2)+((S434-$S$429)^2)+((U434-$U$429)^2)+((W434-$W$429)^2)))</f>
        <v>3.323798680891374</v>
      </c>
      <c r="Z434" s="119">
        <f t="shared" ref="Z434:Z497" si="46">MIN(X434:Y434)</f>
        <v>3.323798680891374</v>
      </c>
      <c r="AA434" s="55" t="str">
        <f t="shared" ref="AA434:AA497" si="47">IF(X434&lt;Y434,"Layak","Tidak Layak")</f>
        <v>Tidak Layak</v>
      </c>
    </row>
    <row r="435" spans="1:27" x14ac:dyDescent="0.35">
      <c r="A435" s="134">
        <v>4</v>
      </c>
      <c r="B435" s="135" t="s">
        <v>27</v>
      </c>
      <c r="C435" s="136" t="s">
        <v>13</v>
      </c>
      <c r="D435" s="137" t="str">
        <f>'B.kriteria &amp; R.kecocokan'!$B$24</f>
        <v>Cukup</v>
      </c>
      <c r="E435" s="138">
        <f>_xlfn.IFS(D435="Banyak",'B.kriteria &amp; R.kecocokan'!$C$23,D435="Cukup",'B.kriteria &amp; R.kecocokan'!$C$24,D435="Sedikit",'B.kriteria &amp; R.kecocokan'!$C$25)</f>
        <v>5</v>
      </c>
      <c r="F435" s="139" t="str">
        <f>'B.kriteria &amp; R.kecocokan'!$B$34</f>
        <v>Tinggi</v>
      </c>
      <c r="G435" s="140">
        <f>_xlfn.IFS(F435="Tinggi",'B.kriteria &amp; R.kecocokan'!$C$34,F435="Sangat Tinggi",'B.kriteria &amp; R.kecocokan'!$C$35)</f>
        <v>7.5</v>
      </c>
      <c r="H435" s="140" t="str">
        <f>'B.kriteria &amp; R.kecocokan'!$B$41</f>
        <v>Rendah</v>
      </c>
      <c r="I435" s="140">
        <f>_xlfn.IFS(H435="Rendah",'B.kriteria &amp; R.kecocokan'!$C$41,H435="Sedang",'B.kriteria &amp; R.kecocokan'!$C$42,H435="Tinggi",'B.kriteria &amp; R.kecocokan'!$C$43)</f>
        <v>2.5</v>
      </c>
      <c r="J435" s="140" t="str">
        <f>'B.kriteria &amp; R.kecocokan'!$B$72</f>
        <v>Rendah</v>
      </c>
      <c r="K435" s="140">
        <f>_xlfn.IFS(J435="Rendah",'B.kriteria &amp; R.kecocokan'!$C$72,J435="Sedang",'B.kriteria &amp; R.kecocokan'!$C$73,J435="Tinggi",'B.kriteria &amp; R.kecocokan'!$C$74)</f>
        <v>2.5</v>
      </c>
      <c r="L435" s="140" t="str">
        <f>'B.kriteria &amp; R.kecocokan'!$B$95</f>
        <v>Rendah</v>
      </c>
      <c r="M435" s="140">
        <f>_xlfn.IFS(L435="Rendah",'B.kriteria &amp; R.kecocokan'!$C$95,L435="Tinggi",'B.kriteria &amp; R.kecocokan'!$C$96)</f>
        <v>2.5</v>
      </c>
      <c r="N435" s="140" t="str">
        <f>'B.kriteria &amp; R.kecocokan'!$B$80</f>
        <v>Rendah</v>
      </c>
      <c r="O435" s="140">
        <f>_xlfn.IFS(N435="Rendah",'B.kriteria &amp; R.kecocokan'!$C$80,N435="Tinggi",'B.kriteria &amp; R.kecocokan'!$C$81)</f>
        <v>2.5</v>
      </c>
      <c r="P435" s="140" t="str">
        <f>'B.kriteria &amp; R.kecocokan'!$B$89</f>
        <v>Sedikit</v>
      </c>
      <c r="Q435" s="140">
        <f>_xlfn.IFS(P435="Sedikit",'B.kriteria &amp; R.kecocokan'!$C$89,P435="Sedang",'B.kriteria &amp; R.kecocokan'!$C$88,P435="Sangat Sedikit",'B.kriteria &amp; R.kecocokan'!$C$90)</f>
        <v>2.5</v>
      </c>
      <c r="R435" s="140" t="str">
        <f>'B.kriteria &amp; R.kecocokan'!$B$49</f>
        <v>Rendah</v>
      </c>
      <c r="S435" s="140">
        <f>_xlfn.IFS(R435="Rendah",'B.kriteria &amp; R.kecocokan'!$C$49,R435="Sedang",'B.kriteria &amp; R.kecocokan'!$C$50,R435="Tinggi",'B.kriteria &amp; R.kecocokan'!$C$51)</f>
        <v>2.5</v>
      </c>
      <c r="T435" s="140" t="str">
        <f>'B.kriteria &amp; R.kecocokan'!$B$57</f>
        <v>Rendah</v>
      </c>
      <c r="U435" s="141">
        <f>_xlfn.IFS(T435="Rendah",'B.kriteria &amp; R.kecocokan'!$C$57,T435="Sedang",'B.kriteria &amp; R.kecocokan'!$C$58,T435="Tinggi",'B.kriteria &amp; R.kecocokan'!$C$59)</f>
        <v>2.5</v>
      </c>
      <c r="V435" s="141" t="str">
        <f>'B.kriteria &amp; R.kecocokan'!$B$65</f>
        <v>Rendah</v>
      </c>
      <c r="W435" s="139">
        <f>_xlfn.IFS(V435="Rendah",'B.kriteria &amp; R.kecocokan'!$C$65,V435="Sedang",'B.kriteria &amp; R.kecocokan'!$C$66,V435="Tinggi",'B.kriteria &amp; R.kecocokan'!$C$67)</f>
        <v>1</v>
      </c>
      <c r="X435" s="117">
        <f t="shared" si="44"/>
        <v>5.4088070686443581</v>
      </c>
      <c r="Y435" s="117">
        <f t="shared" si="45"/>
        <v>1.1697058748996112</v>
      </c>
      <c r="Z435" s="143">
        <f t="shared" si="46"/>
        <v>1.1697058748996112</v>
      </c>
      <c r="AA435" s="144" t="str">
        <f t="shared" si="47"/>
        <v>Tidak Layak</v>
      </c>
    </row>
    <row r="436" spans="1:27" x14ac:dyDescent="0.35">
      <c r="A436" s="1">
        <v>5</v>
      </c>
      <c r="B436" s="2" t="s">
        <v>31</v>
      </c>
      <c r="C436" s="11" t="s">
        <v>95</v>
      </c>
      <c r="D436" s="32" t="str">
        <f>'B.kriteria &amp; R.kecocokan'!$B$24</f>
        <v>Cukup</v>
      </c>
      <c r="E436" s="111">
        <f>_xlfn.IFS(D436="Banyak",'B.kriteria &amp; R.kecocokan'!$C$23,D436="Cukup",'B.kriteria &amp; R.kecocokan'!$C$24,D436="Sedikit",'B.kriteria &amp; R.kecocokan'!$C$25)</f>
        <v>5</v>
      </c>
      <c r="F436" s="9" t="str">
        <f>'B.kriteria &amp; R.kecocokan'!$B$34</f>
        <v>Tinggi</v>
      </c>
      <c r="G436" s="8">
        <f>_xlfn.IFS(F436="Tinggi",'B.kriteria &amp; R.kecocokan'!$C$34,F436="Sangat Tinggi",'B.kriteria &amp; R.kecocokan'!$C$35)</f>
        <v>7.5</v>
      </c>
      <c r="H436" s="8" t="str">
        <f>'B.kriteria &amp; R.kecocokan'!$B$41</f>
        <v>Rendah</v>
      </c>
      <c r="I436" s="8">
        <f>_xlfn.IFS(H436="Rendah",'B.kriteria &amp; R.kecocokan'!$C$41,H436="Sedang",'B.kriteria &amp; R.kecocokan'!$C$42,H436="Tinggi",'B.kriteria &amp; R.kecocokan'!$C$43)</f>
        <v>2.5</v>
      </c>
      <c r="J436" s="8" t="str">
        <f>'B.kriteria &amp; R.kecocokan'!$B$72</f>
        <v>Rendah</v>
      </c>
      <c r="K436" s="8">
        <f>_xlfn.IFS(J436="Rendah",'B.kriteria &amp; R.kecocokan'!$C$72,J436="Sedang",'B.kriteria &amp; R.kecocokan'!$C$73,J436="Tinggi",'B.kriteria &amp; R.kecocokan'!$C$74)</f>
        <v>2.5</v>
      </c>
      <c r="L436" s="8" t="str">
        <f>'B.kriteria &amp; R.kecocokan'!$B$95</f>
        <v>Rendah</v>
      </c>
      <c r="M436" s="8">
        <f>_xlfn.IFS(L436="Rendah",'B.kriteria &amp; R.kecocokan'!$C$95,L436="Tinggi",'B.kriteria &amp; R.kecocokan'!$C$96)</f>
        <v>2.5</v>
      </c>
      <c r="N436" s="8" t="str">
        <f>'B.kriteria &amp; R.kecocokan'!$B$80</f>
        <v>Rendah</v>
      </c>
      <c r="O436" s="8">
        <f>_xlfn.IFS(N436="Rendah",'B.kriteria &amp; R.kecocokan'!$C$80,N436="Tinggi",'B.kriteria &amp; R.kecocokan'!$C$81)</f>
        <v>2.5</v>
      </c>
      <c r="P436" s="9" t="str">
        <f>'B.kriteria &amp; R.kecocokan'!$B$88</f>
        <v>Sedang</v>
      </c>
      <c r="Q436" s="8">
        <f>_xlfn.IFS(P436="Sedikit",'B.kriteria &amp; R.kecocokan'!$C$89,P436="Sedang",'B.kriteria &amp; R.kecocokan'!$C$88,P436="Sangat Sedikit",'B.kriteria &amp; R.kecocokan'!$C$90)</f>
        <v>5</v>
      </c>
      <c r="R436" s="8" t="str">
        <f>'B.kriteria &amp; R.kecocokan'!$B$49</f>
        <v>Rendah</v>
      </c>
      <c r="S436" s="8">
        <f>_xlfn.IFS(R436="Rendah",'B.kriteria &amp; R.kecocokan'!$C$49,R436="Sedang",'B.kriteria &amp; R.kecocokan'!$C$50,R436="Tinggi",'B.kriteria &amp; R.kecocokan'!$C$51)</f>
        <v>2.5</v>
      </c>
      <c r="T436" s="8" t="str">
        <f>'B.kriteria &amp; R.kecocokan'!$B$57</f>
        <v>Rendah</v>
      </c>
      <c r="U436" s="51">
        <f>_xlfn.IFS(T436="Rendah",'B.kriteria &amp; R.kecocokan'!$C$57,T436="Sedang",'B.kriteria &amp; R.kecocokan'!$C$58,T436="Tinggi",'B.kriteria &amp; R.kecocokan'!$C$59)</f>
        <v>2.5</v>
      </c>
      <c r="V436" s="51" t="str">
        <f>'B.kriteria &amp; R.kecocokan'!$B$65</f>
        <v>Rendah</v>
      </c>
      <c r="W436" s="9">
        <f>_xlfn.IFS(V436="Rendah",'B.kriteria &amp; R.kecocokan'!$C$65,V436="Sedang",'B.kriteria &amp; R.kecocokan'!$C$66,V436="Tinggi",'B.kriteria &amp; R.kecocokan'!$C$67)</f>
        <v>1</v>
      </c>
      <c r="X436" s="117">
        <f t="shared" si="44"/>
        <v>6.3953053678399474</v>
      </c>
      <c r="Y436" s="117">
        <f t="shared" si="45"/>
        <v>1.9387012949311315</v>
      </c>
      <c r="Z436" s="119">
        <f t="shared" si="46"/>
        <v>1.9387012949311315</v>
      </c>
      <c r="AA436" s="55" t="str">
        <f t="shared" si="47"/>
        <v>Tidak Layak</v>
      </c>
    </row>
    <row r="437" spans="1:27" x14ac:dyDescent="0.35">
      <c r="A437" s="5">
        <v>6</v>
      </c>
      <c r="B437" s="2" t="s">
        <v>32</v>
      </c>
      <c r="C437" s="11" t="s">
        <v>13</v>
      </c>
      <c r="D437" s="9" t="str">
        <f>'B.kriteria &amp; R.kecocokan'!$B$23</f>
        <v>Banyak</v>
      </c>
      <c r="E437" s="111">
        <f>_xlfn.IFS(D437="Banyak",'B.kriteria &amp; R.kecocokan'!$C$23,D437="Cukup",'B.kriteria &amp; R.kecocokan'!$C$24,D437="Sedikit",'B.kriteria &amp; R.kecocokan'!$C$25)</f>
        <v>2.5</v>
      </c>
      <c r="F437" s="9" t="str">
        <f>'B.kriteria &amp; R.kecocokan'!$B$34</f>
        <v>Tinggi</v>
      </c>
      <c r="G437" s="8">
        <f>_xlfn.IFS(F437="Tinggi",'B.kriteria &amp; R.kecocokan'!$C$34,F437="Sangat Tinggi",'B.kriteria &amp; R.kecocokan'!$C$35)</f>
        <v>7.5</v>
      </c>
      <c r="H437" s="8" t="str">
        <f>'B.kriteria &amp; R.kecocokan'!$B$41</f>
        <v>Rendah</v>
      </c>
      <c r="I437" s="8">
        <f>_xlfn.IFS(H437="Rendah",'B.kriteria &amp; R.kecocokan'!$C$41,H437="Sedang",'B.kriteria &amp; R.kecocokan'!$C$42,H437="Tinggi",'B.kriteria &amp; R.kecocokan'!$C$43)</f>
        <v>2.5</v>
      </c>
      <c r="J437" s="8" t="str">
        <f>'B.kriteria &amp; R.kecocokan'!$B$72</f>
        <v>Rendah</v>
      </c>
      <c r="K437" s="8">
        <f>_xlfn.IFS(J437="Rendah",'B.kriteria &amp; R.kecocokan'!$C$72,J437="Sedang",'B.kriteria &amp; R.kecocokan'!$C$73,J437="Tinggi",'B.kriteria &amp; R.kecocokan'!$C$74)</f>
        <v>2.5</v>
      </c>
      <c r="L437" s="8" t="str">
        <f>'B.kriteria &amp; R.kecocokan'!$B$95</f>
        <v>Rendah</v>
      </c>
      <c r="M437" s="8">
        <f>_xlfn.IFS(L437="Rendah",'B.kriteria &amp; R.kecocokan'!$C$95,L437="Tinggi",'B.kriteria &amp; R.kecocokan'!$C$96)</f>
        <v>2.5</v>
      </c>
      <c r="N437" s="8" t="str">
        <f>'B.kriteria &amp; R.kecocokan'!$B$80</f>
        <v>Rendah</v>
      </c>
      <c r="O437" s="8">
        <f>_xlfn.IFS(N437="Rendah",'B.kriteria &amp; R.kecocokan'!$C$80,N437="Tinggi",'B.kriteria &amp; R.kecocokan'!$C$81)</f>
        <v>2.5</v>
      </c>
      <c r="P437" s="8" t="str">
        <f>'B.kriteria &amp; R.kecocokan'!$B$89</f>
        <v>Sedikit</v>
      </c>
      <c r="Q437" s="8">
        <f>_xlfn.IFS(P437="Sedikit",'B.kriteria &amp; R.kecocokan'!$C$89,P437="Sedang",'B.kriteria &amp; R.kecocokan'!$C$88,P437="Sangat Sedikit",'B.kriteria &amp; R.kecocokan'!$C$90)</f>
        <v>2.5</v>
      </c>
      <c r="R437" s="8" t="str">
        <f>'B.kriteria &amp; R.kecocokan'!$B$49</f>
        <v>Rendah</v>
      </c>
      <c r="S437" s="8">
        <f>_xlfn.IFS(R437="Rendah",'B.kriteria &amp; R.kecocokan'!$C$49,R437="Sedang",'B.kriteria &amp; R.kecocokan'!$C$50,R437="Tinggi",'B.kriteria &amp; R.kecocokan'!$C$51)</f>
        <v>2.5</v>
      </c>
      <c r="T437" s="8" t="str">
        <f>'B.kriteria &amp; R.kecocokan'!$B$57</f>
        <v>Rendah</v>
      </c>
      <c r="U437" s="51">
        <f>_xlfn.IFS(T437="Rendah",'B.kriteria &amp; R.kecocokan'!$C$57,T437="Sedang",'B.kriteria &amp; R.kecocokan'!$C$58,T437="Tinggi",'B.kriteria &amp; R.kecocokan'!$C$59)</f>
        <v>2.5</v>
      </c>
      <c r="V437" s="51" t="str">
        <f>'B.kriteria &amp; R.kecocokan'!$B$65</f>
        <v>Rendah</v>
      </c>
      <c r="W437" s="9">
        <f>_xlfn.IFS(V437="Rendah",'B.kriteria &amp; R.kecocokan'!$C$65,V437="Sedang",'B.kriteria &amp; R.kecocokan'!$C$66,V437="Tinggi",'B.kriteria &amp; R.kecocokan'!$C$67)</f>
        <v>1</v>
      </c>
      <c r="X437" s="117">
        <f t="shared" si="44"/>
        <v>6.410717523723461</v>
      </c>
      <c r="Y437" s="117">
        <f t="shared" si="45"/>
        <v>2.5459474066466941</v>
      </c>
      <c r="Z437" s="119">
        <f t="shared" si="46"/>
        <v>2.5459474066466941</v>
      </c>
      <c r="AA437" s="55" t="str">
        <f t="shared" si="47"/>
        <v>Tidak Layak</v>
      </c>
    </row>
    <row r="438" spans="1:27" x14ac:dyDescent="0.35">
      <c r="A438" s="5">
        <v>7</v>
      </c>
      <c r="B438" s="2" t="s">
        <v>34</v>
      </c>
      <c r="C438" s="11" t="s">
        <v>13</v>
      </c>
      <c r="D438" s="9" t="str">
        <f>'B.kriteria &amp; R.kecocokan'!$B$23</f>
        <v>Banyak</v>
      </c>
      <c r="E438" s="111">
        <f>_xlfn.IFS(D438="Banyak",'B.kriteria &amp; R.kecocokan'!$C$23,D438="Cukup",'B.kriteria &amp; R.kecocokan'!$C$24,D438="Sedikit",'B.kriteria &amp; R.kecocokan'!$C$25)</f>
        <v>2.5</v>
      </c>
      <c r="F438" s="9" t="str">
        <f>'B.kriteria &amp; R.kecocokan'!$B$34</f>
        <v>Tinggi</v>
      </c>
      <c r="G438" s="8">
        <f>_xlfn.IFS(F438="Tinggi",'B.kriteria &amp; R.kecocokan'!$C$34,F438="Sangat Tinggi",'B.kriteria &amp; R.kecocokan'!$C$35)</f>
        <v>7.5</v>
      </c>
      <c r="H438" s="8" t="str">
        <f>'B.kriteria &amp; R.kecocokan'!$B$41</f>
        <v>Rendah</v>
      </c>
      <c r="I438" s="8">
        <f>_xlfn.IFS(H438="Rendah",'B.kriteria &amp; R.kecocokan'!$C$41,H438="Sedang",'B.kriteria &amp; R.kecocokan'!$C$42,H438="Tinggi",'B.kriteria &amp; R.kecocokan'!$C$43)</f>
        <v>2.5</v>
      </c>
      <c r="J438" s="8" t="str">
        <f>'B.kriteria &amp; R.kecocokan'!$B$72</f>
        <v>Rendah</v>
      </c>
      <c r="K438" s="8">
        <f>_xlfn.IFS(J438="Rendah",'B.kriteria &amp; R.kecocokan'!$C$72,J438="Sedang",'B.kriteria &amp; R.kecocokan'!$C$73,J438="Tinggi",'B.kriteria &amp; R.kecocokan'!$C$74)</f>
        <v>2.5</v>
      </c>
      <c r="L438" s="8" t="str">
        <f>'B.kriteria &amp; R.kecocokan'!$B$95</f>
        <v>Rendah</v>
      </c>
      <c r="M438" s="8">
        <f>_xlfn.IFS(L438="Rendah",'B.kriteria &amp; R.kecocokan'!$C$95,L438="Tinggi",'B.kriteria &amp; R.kecocokan'!$C$96)</f>
        <v>2.5</v>
      </c>
      <c r="N438" s="9" t="str">
        <f>'B.kriteria &amp; R.kecocokan'!$B$81</f>
        <v>Tinggi</v>
      </c>
      <c r="O438" s="8">
        <f>_xlfn.IFS(N438="Rendah",'B.kriteria &amp; R.kecocokan'!$C$80,N438="Tinggi",'B.kriteria &amp; R.kecocokan'!$C$81)</f>
        <v>7.5</v>
      </c>
      <c r="P438" s="9" t="str">
        <f>'B.kriteria &amp; R.kecocokan'!$B$88</f>
        <v>Sedang</v>
      </c>
      <c r="Q438" s="8">
        <f>_xlfn.IFS(P438="Sedikit",'B.kriteria &amp; R.kecocokan'!$C$89,P438="Sedang",'B.kriteria &amp; R.kecocokan'!$C$88,P438="Sangat Sedikit",'B.kriteria &amp; R.kecocokan'!$C$90)</f>
        <v>5</v>
      </c>
      <c r="R438" s="8" t="str">
        <f>'B.kriteria &amp; R.kecocokan'!$B$49</f>
        <v>Rendah</v>
      </c>
      <c r="S438" s="8">
        <f>_xlfn.IFS(R438="Rendah",'B.kriteria &amp; R.kecocokan'!$C$49,R438="Sedang",'B.kriteria &amp; R.kecocokan'!$C$50,R438="Tinggi",'B.kriteria &amp; R.kecocokan'!$C$51)</f>
        <v>2.5</v>
      </c>
      <c r="T438" s="8" t="str">
        <f>'B.kriteria &amp; R.kecocokan'!$B$57</f>
        <v>Rendah</v>
      </c>
      <c r="U438" s="51">
        <f>_xlfn.IFS(T438="Rendah",'B.kriteria &amp; R.kecocokan'!$C$57,T438="Sedang",'B.kriteria &amp; R.kecocokan'!$C$58,T438="Tinggi",'B.kriteria &amp; R.kecocokan'!$C$59)</f>
        <v>2.5</v>
      </c>
      <c r="V438" s="51" t="str">
        <f>'B.kriteria &amp; R.kecocokan'!$B$65</f>
        <v>Rendah</v>
      </c>
      <c r="W438" s="9">
        <f>_xlfn.IFS(V438="Rendah",'B.kriteria &amp; R.kecocokan'!$C$65,V438="Sedang",'B.kriteria &amp; R.kecocokan'!$C$66,V438="Tinggi",'B.kriteria &amp; R.kecocokan'!$C$67)</f>
        <v>1</v>
      </c>
      <c r="X438" s="117">
        <f t="shared" si="44"/>
        <v>5.2670709138078191</v>
      </c>
      <c r="Y438" s="117">
        <f t="shared" si="45"/>
        <v>5.89486149600312</v>
      </c>
      <c r="Z438" s="119">
        <f t="shared" si="46"/>
        <v>5.2670709138078191</v>
      </c>
      <c r="AA438" s="55" t="str">
        <f t="shared" si="47"/>
        <v>Layak</v>
      </c>
    </row>
    <row r="439" spans="1:27" x14ac:dyDescent="0.35">
      <c r="A439" s="1">
        <v>8</v>
      </c>
      <c r="B439" s="2" t="s">
        <v>35</v>
      </c>
      <c r="C439" s="12" t="s">
        <v>13</v>
      </c>
      <c r="D439" s="32" t="str">
        <f>'B.kriteria &amp; R.kecocokan'!$B$24</f>
        <v>Cukup</v>
      </c>
      <c r="E439" s="111">
        <f>_xlfn.IFS(D439="Banyak",'B.kriteria &amp; R.kecocokan'!$C$23,D439="Cukup",'B.kriteria &amp; R.kecocokan'!$C$24,D439="Sedikit",'B.kriteria &amp; R.kecocokan'!$C$25)</f>
        <v>5</v>
      </c>
      <c r="F439" s="9" t="str">
        <f>'B.kriteria &amp; R.kecocokan'!$B$34</f>
        <v>Tinggi</v>
      </c>
      <c r="G439" s="8">
        <f>_xlfn.IFS(F439="Tinggi",'B.kriteria &amp; R.kecocokan'!$C$34,F439="Sangat Tinggi",'B.kriteria &amp; R.kecocokan'!$C$35)</f>
        <v>7.5</v>
      </c>
      <c r="H439" s="8" t="str">
        <f>'B.kriteria &amp; R.kecocokan'!$B$41</f>
        <v>Rendah</v>
      </c>
      <c r="I439" s="8">
        <f>_xlfn.IFS(H439="Rendah",'B.kriteria &amp; R.kecocokan'!$C$41,H439="Sedang",'B.kriteria &amp; R.kecocokan'!$C$42,H439="Tinggi",'B.kriteria &amp; R.kecocokan'!$C$43)</f>
        <v>2.5</v>
      </c>
      <c r="J439" s="8" t="str">
        <f>'B.kriteria &amp; R.kecocokan'!$B$72</f>
        <v>Rendah</v>
      </c>
      <c r="K439" s="8">
        <f>_xlfn.IFS(J439="Rendah",'B.kriteria &amp; R.kecocokan'!$C$72,J439="Sedang",'B.kriteria &amp; R.kecocokan'!$C$73,J439="Tinggi",'B.kriteria &amp; R.kecocokan'!$C$74)</f>
        <v>2.5</v>
      </c>
      <c r="L439" s="8" t="str">
        <f>'B.kriteria &amp; R.kecocokan'!$B$95</f>
        <v>Rendah</v>
      </c>
      <c r="M439" s="8">
        <f>_xlfn.IFS(L439="Rendah",'B.kriteria &amp; R.kecocokan'!$C$95,L439="Tinggi",'B.kriteria &amp; R.kecocokan'!$C$96)</f>
        <v>2.5</v>
      </c>
      <c r="N439" s="8" t="str">
        <f>'B.kriteria &amp; R.kecocokan'!$B$80</f>
        <v>Rendah</v>
      </c>
      <c r="O439" s="8">
        <f>_xlfn.IFS(N439="Rendah",'B.kriteria &amp; R.kecocokan'!$C$80,N439="Tinggi",'B.kriteria &amp; R.kecocokan'!$C$81)</f>
        <v>2.5</v>
      </c>
      <c r="P439" s="8" t="str">
        <f>'B.kriteria &amp; R.kecocokan'!$B$89</f>
        <v>Sedikit</v>
      </c>
      <c r="Q439" s="8">
        <f>_xlfn.IFS(P439="Sedikit",'B.kriteria &amp; R.kecocokan'!$C$89,P439="Sedang",'B.kriteria &amp; R.kecocokan'!$C$88,P439="Sangat Sedikit",'B.kriteria &amp; R.kecocokan'!$C$90)</f>
        <v>2.5</v>
      </c>
      <c r="R439" s="8" t="str">
        <f>'B.kriteria &amp; R.kecocokan'!$B$49</f>
        <v>Rendah</v>
      </c>
      <c r="S439" s="8">
        <f>_xlfn.IFS(R439="Rendah",'B.kriteria &amp; R.kecocokan'!$C$49,R439="Sedang",'B.kriteria &amp; R.kecocokan'!$C$50,R439="Tinggi",'B.kriteria &amp; R.kecocokan'!$C$51)</f>
        <v>2.5</v>
      </c>
      <c r="T439" s="8" t="str">
        <f>'B.kriteria &amp; R.kecocokan'!$B$57</f>
        <v>Rendah</v>
      </c>
      <c r="U439" s="51">
        <f>_xlfn.IFS(T439="Rendah",'B.kriteria &amp; R.kecocokan'!$C$57,T439="Sedang",'B.kriteria &amp; R.kecocokan'!$C$58,T439="Tinggi",'B.kriteria &amp; R.kecocokan'!$C$59)</f>
        <v>2.5</v>
      </c>
      <c r="V439" s="51" t="str">
        <f>'B.kriteria &amp; R.kecocokan'!$B$65</f>
        <v>Rendah</v>
      </c>
      <c r="W439" s="9">
        <f>_xlfn.IFS(V439="Rendah",'B.kriteria &amp; R.kecocokan'!$C$65,V439="Sedang",'B.kriteria &amp; R.kecocokan'!$C$66,V439="Tinggi",'B.kriteria &amp; R.kecocokan'!$C$67)</f>
        <v>1</v>
      </c>
      <c r="X439" s="117">
        <f t="shared" si="44"/>
        <v>5.4088070686443581</v>
      </c>
      <c r="Y439" s="117">
        <f t="shared" si="45"/>
        <v>1.1697058748996112</v>
      </c>
      <c r="Z439" s="119">
        <f t="shared" si="46"/>
        <v>1.1697058748996112</v>
      </c>
      <c r="AA439" s="55" t="str">
        <f t="shared" si="47"/>
        <v>Tidak Layak</v>
      </c>
    </row>
    <row r="440" spans="1:27" x14ac:dyDescent="0.35">
      <c r="A440" s="5">
        <v>9</v>
      </c>
      <c r="B440" s="2" t="s">
        <v>36</v>
      </c>
      <c r="C440" s="11" t="s">
        <v>13</v>
      </c>
      <c r="D440" s="32" t="str">
        <f>'B.kriteria &amp; R.kecocokan'!$B$24</f>
        <v>Cukup</v>
      </c>
      <c r="E440" s="111">
        <f>_xlfn.IFS(D440="Banyak",'B.kriteria &amp; R.kecocokan'!$C$23,D440="Cukup",'B.kriteria &amp; R.kecocokan'!$C$24,D440="Sedikit",'B.kriteria &amp; R.kecocokan'!$C$25)</f>
        <v>5</v>
      </c>
      <c r="F440" s="9" t="str">
        <f>'B.kriteria &amp; R.kecocokan'!$B$34</f>
        <v>Tinggi</v>
      </c>
      <c r="G440" s="8">
        <f>_xlfn.IFS(F440="Tinggi",'B.kriteria &amp; R.kecocokan'!$C$34,F440="Sangat Tinggi",'B.kriteria &amp; R.kecocokan'!$C$35)</f>
        <v>7.5</v>
      </c>
      <c r="H440" s="9" t="str">
        <f>'B.kriteria &amp; R.kecocokan'!$B$43</f>
        <v>Tinggi</v>
      </c>
      <c r="I440" s="8">
        <f>_xlfn.IFS(H440="Rendah",'B.kriteria &amp; R.kecocokan'!$C$41,H440="Sedang",'B.kriteria &amp; R.kecocokan'!$C$42,H440="Tinggi",'B.kriteria &amp; R.kecocokan'!$C$43)</f>
        <v>7.5</v>
      </c>
      <c r="J440" s="8" t="str">
        <f>'B.kriteria &amp; R.kecocokan'!$B$72</f>
        <v>Rendah</v>
      </c>
      <c r="K440" s="8">
        <f>_xlfn.IFS(J440="Rendah",'B.kriteria &amp; R.kecocokan'!$C$72,J440="Sedang",'B.kriteria &amp; R.kecocokan'!$C$73,J440="Tinggi",'B.kriteria &amp; R.kecocokan'!$C$74)</f>
        <v>2.5</v>
      </c>
      <c r="L440" s="8" t="str">
        <f>'B.kriteria &amp; R.kecocokan'!$B$95</f>
        <v>Rendah</v>
      </c>
      <c r="M440" s="8">
        <f>_xlfn.IFS(L440="Rendah",'B.kriteria &amp; R.kecocokan'!$C$95,L440="Tinggi",'B.kriteria &amp; R.kecocokan'!$C$96)</f>
        <v>2.5</v>
      </c>
      <c r="N440" s="8" t="str">
        <f>'B.kriteria &amp; R.kecocokan'!$B$80</f>
        <v>Rendah</v>
      </c>
      <c r="O440" s="8">
        <f>_xlfn.IFS(N440="Rendah",'B.kriteria &amp; R.kecocokan'!$C$80,N440="Tinggi",'B.kriteria &amp; R.kecocokan'!$C$81)</f>
        <v>2.5</v>
      </c>
      <c r="P440" s="9" t="str">
        <f>'B.kriteria &amp; R.kecocokan'!$B$88</f>
        <v>Sedang</v>
      </c>
      <c r="Q440" s="8">
        <f>_xlfn.IFS(P440="Sedikit",'B.kriteria &amp; R.kecocokan'!$C$89,P440="Sedang",'B.kriteria &amp; R.kecocokan'!$C$88,P440="Sangat Sedikit",'B.kriteria &amp; R.kecocokan'!$C$90)</f>
        <v>5</v>
      </c>
      <c r="R440" s="8" t="str">
        <f>'B.kriteria &amp; R.kecocokan'!$B$49</f>
        <v>Rendah</v>
      </c>
      <c r="S440" s="8">
        <f>_xlfn.IFS(R440="Rendah",'B.kriteria &amp; R.kecocokan'!$C$49,R440="Sedang",'B.kriteria &amp; R.kecocokan'!$C$50,R440="Tinggi",'B.kriteria &amp; R.kecocokan'!$C$51)</f>
        <v>2.5</v>
      </c>
      <c r="T440" s="8" t="str">
        <f>'B.kriteria &amp; R.kecocokan'!$B$57</f>
        <v>Rendah</v>
      </c>
      <c r="U440" s="51">
        <f>_xlfn.IFS(T440="Rendah",'B.kriteria &amp; R.kecocokan'!$C$57,T440="Sedang",'B.kriteria &amp; R.kecocokan'!$C$58,T440="Tinggi",'B.kriteria &amp; R.kecocokan'!$C$59)</f>
        <v>2.5</v>
      </c>
      <c r="V440" s="51" t="str">
        <f>'B.kriteria &amp; R.kecocokan'!$B$65</f>
        <v>Rendah</v>
      </c>
      <c r="W440" s="9">
        <f>_xlfn.IFS(V440="Rendah",'B.kriteria &amp; R.kecocokan'!$C$65,V440="Sedang",'B.kriteria &amp; R.kecocokan'!$C$66,V440="Tinggi",'B.kriteria &amp; R.kecocokan'!$C$67)</f>
        <v>1</v>
      </c>
      <c r="X440" s="117">
        <f t="shared" si="44"/>
        <v>7.9541405444305555</v>
      </c>
      <c r="Y440" s="117">
        <f t="shared" si="45"/>
        <v>4.662726546916355</v>
      </c>
      <c r="Z440" s="119">
        <f t="shared" si="46"/>
        <v>4.662726546916355</v>
      </c>
      <c r="AA440" s="55" t="str">
        <f t="shared" si="47"/>
        <v>Tidak Layak</v>
      </c>
    </row>
    <row r="441" spans="1:27" x14ac:dyDescent="0.35">
      <c r="A441" s="5">
        <v>10</v>
      </c>
      <c r="B441" s="2" t="s">
        <v>39</v>
      </c>
      <c r="C441" s="12" t="s">
        <v>13</v>
      </c>
      <c r="D441" s="32" t="str">
        <f>'B.kriteria &amp; R.kecocokan'!$B$24</f>
        <v>Cukup</v>
      </c>
      <c r="E441" s="111">
        <f>_xlfn.IFS(D441="Banyak",'B.kriteria &amp; R.kecocokan'!$C$23,D441="Cukup",'B.kriteria &amp; R.kecocokan'!$C$24,D441="Sedikit",'B.kriteria &amp; R.kecocokan'!$C$25)</f>
        <v>5</v>
      </c>
      <c r="F441" s="9" t="str">
        <f>'B.kriteria &amp; R.kecocokan'!$B$34</f>
        <v>Tinggi</v>
      </c>
      <c r="G441" s="8">
        <f>_xlfn.IFS(F441="Tinggi",'B.kriteria &amp; R.kecocokan'!$C$34,F441="Sangat Tinggi",'B.kriteria &amp; R.kecocokan'!$C$35)</f>
        <v>7.5</v>
      </c>
      <c r="H441" s="8" t="str">
        <f>'B.kriteria &amp; R.kecocokan'!$B$41</f>
        <v>Rendah</v>
      </c>
      <c r="I441" s="8">
        <f>_xlfn.IFS(H441="Rendah",'B.kriteria &amp; R.kecocokan'!$C$41,H441="Sedang",'B.kriteria &amp; R.kecocokan'!$C$42,H441="Tinggi",'B.kriteria &amp; R.kecocokan'!$C$43)</f>
        <v>2.5</v>
      </c>
      <c r="J441" s="8" t="str">
        <f>'B.kriteria &amp; R.kecocokan'!$B$72</f>
        <v>Rendah</v>
      </c>
      <c r="K441" s="8">
        <f>_xlfn.IFS(J441="Rendah",'B.kriteria &amp; R.kecocokan'!$C$72,J441="Sedang",'B.kriteria &amp; R.kecocokan'!$C$73,J441="Tinggi",'B.kriteria &amp; R.kecocokan'!$C$74)</f>
        <v>2.5</v>
      </c>
      <c r="L441" s="8" t="str">
        <f>'B.kriteria &amp; R.kecocokan'!$B$95</f>
        <v>Rendah</v>
      </c>
      <c r="M441" s="8">
        <f>_xlfn.IFS(L441="Rendah",'B.kriteria &amp; R.kecocokan'!$C$95,L441="Tinggi",'B.kriteria &amp; R.kecocokan'!$C$96)</f>
        <v>2.5</v>
      </c>
      <c r="N441" s="9" t="str">
        <f>'B.kriteria &amp; R.kecocokan'!$B$81</f>
        <v>Tinggi</v>
      </c>
      <c r="O441" s="8">
        <f>_xlfn.IFS(N441="Rendah",'B.kriteria &amp; R.kecocokan'!$C$80,N441="Tinggi",'B.kriteria &amp; R.kecocokan'!$C$81)</f>
        <v>7.5</v>
      </c>
      <c r="P441" s="9" t="str">
        <f>'B.kriteria &amp; R.kecocokan'!$B$90</f>
        <v>Sangat Sedikit</v>
      </c>
      <c r="Q441" s="8">
        <f>_xlfn.IFS(P441="Sedikit",'B.kriteria &amp; R.kecocokan'!$C$89,P441="Sedang",'B.kriteria &amp; R.kecocokan'!$C$88,P441="Sangat Sedikit",'B.kriteria &amp; R.kecocokan'!$C$90)</f>
        <v>1</v>
      </c>
      <c r="R441" s="8" t="str">
        <f>'B.kriteria &amp; R.kecocokan'!$B$49</f>
        <v>Rendah</v>
      </c>
      <c r="S441" s="8">
        <f>_xlfn.IFS(R441="Rendah",'B.kriteria &amp; R.kecocokan'!$C$49,R441="Sedang",'B.kriteria &amp; R.kecocokan'!$C$50,R441="Tinggi",'B.kriteria &amp; R.kecocokan'!$C$51)</f>
        <v>2.5</v>
      </c>
      <c r="T441" s="8" t="str">
        <f>'B.kriteria &amp; R.kecocokan'!$B$57</f>
        <v>Rendah</v>
      </c>
      <c r="U441" s="51">
        <f>_xlfn.IFS(T441="Rendah",'B.kriteria &amp; R.kecocokan'!$C$57,T441="Sedang",'B.kriteria &amp; R.kecocokan'!$C$58,T441="Tinggi",'B.kriteria &amp; R.kecocokan'!$C$59)</f>
        <v>2.5</v>
      </c>
      <c r="V441" s="51" t="str">
        <f>'B.kriteria &amp; R.kecocokan'!$B$65</f>
        <v>Rendah</v>
      </c>
      <c r="W441" s="9">
        <f>_xlfn.IFS(V441="Rendah",'B.kriteria &amp; R.kecocokan'!$C$65,V441="Sedang",'B.kriteria &amp; R.kecocokan'!$C$66,V441="Tinggi",'B.kriteria &amp; R.kecocokan'!$C$67)</f>
        <v>1</v>
      </c>
      <c r="X441" s="117">
        <f t="shared" si="44"/>
        <v>1.8078583463739675</v>
      </c>
      <c r="Y441" s="117">
        <f t="shared" si="45"/>
        <v>5.6401413359875132</v>
      </c>
      <c r="Z441" s="119">
        <f t="shared" si="46"/>
        <v>1.8078583463739675</v>
      </c>
      <c r="AA441" s="55" t="str">
        <f t="shared" si="47"/>
        <v>Layak</v>
      </c>
    </row>
    <row r="442" spans="1:27" x14ac:dyDescent="0.35">
      <c r="A442" s="1">
        <v>11</v>
      </c>
      <c r="B442" s="2" t="s">
        <v>40</v>
      </c>
      <c r="C442" s="11" t="s">
        <v>13</v>
      </c>
      <c r="D442" s="9" t="str">
        <f>'B.kriteria &amp; R.kecocokan'!$B$25</f>
        <v>Sedikit</v>
      </c>
      <c r="E442" s="111">
        <f>_xlfn.IFS(D442="Banyak",'B.kriteria &amp; R.kecocokan'!$C$23,D442="Cukup",'B.kriteria &amp; R.kecocokan'!$C$24,D442="Sedikit",'B.kriteria &amp; R.kecocokan'!$C$25)</f>
        <v>7.5</v>
      </c>
      <c r="F442" s="9" t="str">
        <f>'B.kriteria &amp; R.kecocokan'!$B$34</f>
        <v>Tinggi</v>
      </c>
      <c r="G442" s="8">
        <f>_xlfn.IFS(F442="Tinggi",'B.kriteria &amp; R.kecocokan'!$C$34,F442="Sangat Tinggi",'B.kriteria &amp; R.kecocokan'!$C$35)</f>
        <v>7.5</v>
      </c>
      <c r="H442" s="8" t="str">
        <f>'B.kriteria &amp; R.kecocokan'!$B$41</f>
        <v>Rendah</v>
      </c>
      <c r="I442" s="8">
        <f>_xlfn.IFS(H442="Rendah",'B.kriteria &amp; R.kecocokan'!$C$41,H442="Sedang",'B.kriteria &amp; R.kecocokan'!$C$42,H442="Tinggi",'B.kriteria &amp; R.kecocokan'!$C$43)</f>
        <v>2.5</v>
      </c>
      <c r="J442" s="8" t="str">
        <f>'B.kriteria &amp; R.kecocokan'!$B$72</f>
        <v>Rendah</v>
      </c>
      <c r="K442" s="8">
        <f>_xlfn.IFS(J442="Rendah",'B.kriteria &amp; R.kecocokan'!$C$72,J442="Sedang",'B.kriteria &amp; R.kecocokan'!$C$73,J442="Tinggi",'B.kriteria &amp; R.kecocokan'!$C$74)</f>
        <v>2.5</v>
      </c>
      <c r="L442" s="8" t="str">
        <f>'B.kriteria &amp; R.kecocokan'!$B$95</f>
        <v>Rendah</v>
      </c>
      <c r="M442" s="8">
        <f>_xlfn.IFS(L442="Rendah",'B.kriteria &amp; R.kecocokan'!$C$95,L442="Tinggi",'B.kriteria &amp; R.kecocokan'!$C$96)</f>
        <v>2.5</v>
      </c>
      <c r="N442" s="9" t="str">
        <f>'B.kriteria &amp; R.kecocokan'!$B$81</f>
        <v>Tinggi</v>
      </c>
      <c r="O442" s="8">
        <f>_xlfn.IFS(N442="Rendah",'B.kriteria &amp; R.kecocokan'!$C$80,N442="Tinggi",'B.kriteria &amp; R.kecocokan'!$C$81)</f>
        <v>7.5</v>
      </c>
      <c r="P442" s="9" t="str">
        <f>'B.kriteria &amp; R.kecocokan'!$B$90</f>
        <v>Sangat Sedikit</v>
      </c>
      <c r="Q442" s="8">
        <f>_xlfn.IFS(P442="Sedikit",'B.kriteria &amp; R.kecocokan'!$C$89,P442="Sedang",'B.kriteria &amp; R.kecocokan'!$C$88,P442="Sangat Sedikit",'B.kriteria &amp; R.kecocokan'!$C$90)</f>
        <v>1</v>
      </c>
      <c r="R442" s="9" t="str">
        <f>'B.kriteria &amp; R.kecocokan'!$B$50</f>
        <v>Sedang</v>
      </c>
      <c r="S442" s="8">
        <f>_xlfn.IFS(R442="Rendah",'B.kriteria &amp; R.kecocokan'!$C$49,R442="Sedang",'B.kriteria &amp; R.kecocokan'!$C$50,R442="Tinggi",'B.kriteria &amp; R.kecocokan'!$C$51)</f>
        <v>5</v>
      </c>
      <c r="T442" s="9" t="str">
        <f>'B.kriteria &amp; R.kecocokan'!$B$58</f>
        <v>Sedang</v>
      </c>
      <c r="U442" s="51">
        <f>_xlfn.IFS(T442="Rendah",'B.kriteria &amp; R.kecocokan'!$C$57,T442="Sedang",'B.kriteria &amp; R.kecocokan'!$C$58,T442="Tinggi",'B.kriteria &amp; R.kecocokan'!$C$59)</f>
        <v>5</v>
      </c>
      <c r="V442" s="52" t="str">
        <f>'B.kriteria &amp; R.kecocokan'!$B$66</f>
        <v>Sedang</v>
      </c>
      <c r="W442" s="9">
        <f>_xlfn.IFS(V442="Rendah",'B.kriteria &amp; R.kecocokan'!$C$65,V442="Sedang",'B.kriteria &amp; R.kecocokan'!$C$66,V442="Tinggi",'B.kriteria &amp; R.kecocokan'!$C$67)</f>
        <v>2</v>
      </c>
      <c r="X442" s="117">
        <f t="shared" si="44"/>
        <v>2.9700140369199244</v>
      </c>
      <c r="Y442" s="117">
        <f t="shared" si="45"/>
        <v>7.0651862092865381</v>
      </c>
      <c r="Z442" s="119">
        <f t="shared" si="46"/>
        <v>2.9700140369199244</v>
      </c>
      <c r="AA442" s="55" t="str">
        <f t="shared" si="47"/>
        <v>Layak</v>
      </c>
    </row>
    <row r="443" spans="1:27" x14ac:dyDescent="0.35">
      <c r="A443" s="5">
        <v>12</v>
      </c>
      <c r="B443" s="2" t="s">
        <v>44</v>
      </c>
      <c r="C443" s="11" t="s">
        <v>13</v>
      </c>
      <c r="D443" s="32" t="str">
        <f>'B.kriteria &amp; R.kecocokan'!$B$24</f>
        <v>Cukup</v>
      </c>
      <c r="E443" s="111">
        <f>_xlfn.IFS(D443="Banyak",'B.kriteria &amp; R.kecocokan'!$C$23,D443="Cukup",'B.kriteria &amp; R.kecocokan'!$C$24,D443="Sedikit",'B.kriteria &amp; R.kecocokan'!$C$25)</f>
        <v>5</v>
      </c>
      <c r="F443" s="9" t="str">
        <f>'B.kriteria &amp; R.kecocokan'!$B$34</f>
        <v>Tinggi</v>
      </c>
      <c r="G443" s="8">
        <f>_xlfn.IFS(F443="Tinggi",'B.kriteria &amp; R.kecocokan'!$C$34,F443="Sangat Tinggi",'B.kriteria &amp; R.kecocokan'!$C$35)</f>
        <v>7.5</v>
      </c>
      <c r="H443" s="8" t="str">
        <f>'B.kriteria &amp; R.kecocokan'!$B$41</f>
        <v>Rendah</v>
      </c>
      <c r="I443" s="8">
        <f>_xlfn.IFS(H443="Rendah",'B.kriteria &amp; R.kecocokan'!$C$41,H443="Sedang",'B.kriteria &amp; R.kecocokan'!$C$42,H443="Tinggi",'B.kriteria &amp; R.kecocokan'!$C$43)</f>
        <v>2.5</v>
      </c>
      <c r="J443" s="8" t="str">
        <f>'B.kriteria &amp; R.kecocokan'!$B$72</f>
        <v>Rendah</v>
      </c>
      <c r="K443" s="8">
        <f>_xlfn.IFS(J443="Rendah",'B.kriteria &amp; R.kecocokan'!$C$72,J443="Sedang",'B.kriteria &amp; R.kecocokan'!$C$73,J443="Tinggi",'B.kriteria &amp; R.kecocokan'!$C$74)</f>
        <v>2.5</v>
      </c>
      <c r="L443" s="8" t="str">
        <f>'B.kriteria &amp; R.kecocokan'!$B$95</f>
        <v>Rendah</v>
      </c>
      <c r="M443" s="8">
        <f>_xlfn.IFS(L443="Rendah",'B.kriteria &amp; R.kecocokan'!$C$95,L443="Tinggi",'B.kriteria &amp; R.kecocokan'!$C$96)</f>
        <v>2.5</v>
      </c>
      <c r="N443" s="9" t="str">
        <f>'B.kriteria &amp; R.kecocokan'!$B$81</f>
        <v>Tinggi</v>
      </c>
      <c r="O443" s="8">
        <f>_xlfn.IFS(N443="Rendah",'B.kriteria &amp; R.kecocokan'!$C$80,N443="Tinggi",'B.kriteria &amp; R.kecocokan'!$C$81)</f>
        <v>7.5</v>
      </c>
      <c r="P443" s="9" t="str">
        <f>'B.kriteria &amp; R.kecocokan'!$B$90</f>
        <v>Sangat Sedikit</v>
      </c>
      <c r="Q443" s="8">
        <f>_xlfn.IFS(P443="Sedikit",'B.kriteria &amp; R.kecocokan'!$C$89,P443="Sedang",'B.kriteria &amp; R.kecocokan'!$C$88,P443="Sangat Sedikit",'B.kriteria &amp; R.kecocokan'!$C$90)</f>
        <v>1</v>
      </c>
      <c r="R443" s="8" t="str">
        <f>'B.kriteria &amp; R.kecocokan'!$B$49</f>
        <v>Rendah</v>
      </c>
      <c r="S443" s="8">
        <f>_xlfn.IFS(R443="Rendah",'B.kriteria &amp; R.kecocokan'!$C$49,R443="Sedang",'B.kriteria &amp; R.kecocokan'!$C$50,R443="Tinggi",'B.kriteria &amp; R.kecocokan'!$C$51)</f>
        <v>2.5</v>
      </c>
      <c r="T443" s="8" t="str">
        <f>'B.kriteria &amp; R.kecocokan'!$B$57</f>
        <v>Rendah</v>
      </c>
      <c r="U443" s="51">
        <f>_xlfn.IFS(T443="Rendah",'B.kriteria &amp; R.kecocokan'!$C$57,T443="Sedang",'B.kriteria &amp; R.kecocokan'!$C$58,T443="Tinggi",'B.kriteria &amp; R.kecocokan'!$C$59)</f>
        <v>2.5</v>
      </c>
      <c r="V443" s="51" t="str">
        <f>'B.kriteria &amp; R.kecocokan'!$B$65</f>
        <v>Rendah</v>
      </c>
      <c r="W443" s="9">
        <f>_xlfn.IFS(V443="Rendah",'B.kriteria &amp; R.kecocokan'!$C$65,V443="Sedang",'B.kriteria &amp; R.kecocokan'!$C$66,V443="Tinggi",'B.kriteria &amp; R.kecocokan'!$C$67)</f>
        <v>1</v>
      </c>
      <c r="X443" s="117">
        <f t="shared" si="44"/>
        <v>1.8078583463739675</v>
      </c>
      <c r="Y443" s="117">
        <f t="shared" si="45"/>
        <v>5.6401413359875132</v>
      </c>
      <c r="Z443" s="119">
        <f t="shared" si="46"/>
        <v>1.8078583463739675</v>
      </c>
      <c r="AA443" s="55" t="str">
        <f t="shared" si="47"/>
        <v>Layak</v>
      </c>
    </row>
    <row r="444" spans="1:27" x14ac:dyDescent="0.35">
      <c r="A444" s="5">
        <v>13</v>
      </c>
      <c r="B444" s="2" t="s">
        <v>45</v>
      </c>
      <c r="C444" s="11" t="s">
        <v>13</v>
      </c>
      <c r="D444" s="32" t="str">
        <f>'B.kriteria &amp; R.kecocokan'!$B$24</f>
        <v>Cukup</v>
      </c>
      <c r="E444" s="111">
        <f>_xlfn.IFS(D444="Banyak",'B.kriteria &amp; R.kecocokan'!$C$23,D444="Cukup",'B.kriteria &amp; R.kecocokan'!$C$24,D444="Sedikit",'B.kriteria &amp; R.kecocokan'!$C$25)</f>
        <v>5</v>
      </c>
      <c r="F444" s="9" t="str">
        <f>'B.kriteria &amp; R.kecocokan'!$B$34</f>
        <v>Tinggi</v>
      </c>
      <c r="G444" s="8">
        <f>_xlfn.IFS(F444="Tinggi",'B.kriteria &amp; R.kecocokan'!$C$34,F444="Sangat Tinggi",'B.kriteria &amp; R.kecocokan'!$C$35)</f>
        <v>7.5</v>
      </c>
      <c r="H444" s="9" t="str">
        <f>'B.kriteria &amp; R.kecocokan'!$B$43</f>
        <v>Tinggi</v>
      </c>
      <c r="I444" s="8">
        <f>_xlfn.IFS(H444="Rendah",'B.kriteria &amp; R.kecocokan'!$C$41,H444="Sedang",'B.kriteria &amp; R.kecocokan'!$C$42,H444="Tinggi",'B.kriteria &amp; R.kecocokan'!$C$43)</f>
        <v>7.5</v>
      </c>
      <c r="J444" s="8" t="str">
        <f>'B.kriteria &amp; R.kecocokan'!$B$72</f>
        <v>Rendah</v>
      </c>
      <c r="K444" s="8">
        <f>_xlfn.IFS(J444="Rendah",'B.kriteria &amp; R.kecocokan'!$C$72,J444="Sedang",'B.kriteria &amp; R.kecocokan'!$C$73,J444="Tinggi",'B.kriteria &amp; R.kecocokan'!$C$74)</f>
        <v>2.5</v>
      </c>
      <c r="L444" s="8" t="str">
        <f>'B.kriteria &amp; R.kecocokan'!$B$95</f>
        <v>Rendah</v>
      </c>
      <c r="M444" s="8">
        <f>_xlfn.IFS(L444="Rendah",'B.kriteria &amp; R.kecocokan'!$C$95,L444="Tinggi",'B.kriteria &amp; R.kecocokan'!$C$96)</f>
        <v>2.5</v>
      </c>
      <c r="N444" s="8" t="str">
        <f>'B.kriteria &amp; R.kecocokan'!$B$80</f>
        <v>Rendah</v>
      </c>
      <c r="O444" s="8">
        <f>_xlfn.IFS(N444="Rendah",'B.kriteria &amp; R.kecocokan'!$C$80,N444="Tinggi",'B.kriteria &amp; R.kecocokan'!$C$81)</f>
        <v>2.5</v>
      </c>
      <c r="P444" s="9" t="str">
        <f>'B.kriteria &amp; R.kecocokan'!$B$88</f>
        <v>Sedang</v>
      </c>
      <c r="Q444" s="8">
        <f>_xlfn.IFS(P444="Sedikit",'B.kriteria &amp; R.kecocokan'!$C$89,P444="Sedang",'B.kriteria &amp; R.kecocokan'!$C$88,P444="Sangat Sedikit",'B.kriteria &amp; R.kecocokan'!$C$90)</f>
        <v>5</v>
      </c>
      <c r="R444" s="8" t="str">
        <f>'B.kriteria &amp; R.kecocokan'!$B$49</f>
        <v>Rendah</v>
      </c>
      <c r="S444" s="8">
        <f>_xlfn.IFS(R444="Rendah",'B.kriteria &amp; R.kecocokan'!$C$49,R444="Sedang",'B.kriteria &amp; R.kecocokan'!$C$50,R444="Tinggi",'B.kriteria &amp; R.kecocokan'!$C$51)</f>
        <v>2.5</v>
      </c>
      <c r="T444" s="8" t="str">
        <f>'B.kriteria &amp; R.kecocokan'!$B$57</f>
        <v>Rendah</v>
      </c>
      <c r="U444" s="51">
        <f>_xlfn.IFS(T444="Rendah",'B.kriteria &amp; R.kecocokan'!$C$57,T444="Sedang",'B.kriteria &amp; R.kecocokan'!$C$58,T444="Tinggi",'B.kriteria &amp; R.kecocokan'!$C$59)</f>
        <v>2.5</v>
      </c>
      <c r="V444" s="51" t="str">
        <f>'B.kriteria &amp; R.kecocokan'!$B$65</f>
        <v>Rendah</v>
      </c>
      <c r="W444" s="9">
        <f>_xlfn.IFS(V444="Rendah",'B.kriteria &amp; R.kecocokan'!$C$65,V444="Sedang",'B.kriteria &amp; R.kecocokan'!$C$66,V444="Tinggi",'B.kriteria &amp; R.kecocokan'!$C$67)</f>
        <v>1</v>
      </c>
      <c r="X444" s="117">
        <f t="shared" si="44"/>
        <v>7.9541405444305555</v>
      </c>
      <c r="Y444" s="117">
        <f t="shared" si="45"/>
        <v>4.662726546916355</v>
      </c>
      <c r="Z444" s="119">
        <f t="shared" si="46"/>
        <v>4.662726546916355</v>
      </c>
      <c r="AA444" s="55" t="str">
        <f t="shared" si="47"/>
        <v>Tidak Layak</v>
      </c>
    </row>
    <row r="445" spans="1:27" x14ac:dyDescent="0.35">
      <c r="A445" s="1">
        <v>14</v>
      </c>
      <c r="B445" s="2" t="s">
        <v>46</v>
      </c>
      <c r="C445" s="11" t="s">
        <v>13</v>
      </c>
      <c r="D445" s="32" t="str">
        <f>'B.kriteria &amp; R.kecocokan'!$B$24</f>
        <v>Cukup</v>
      </c>
      <c r="E445" s="111">
        <f>_xlfn.IFS(D445="Banyak",'B.kriteria &amp; R.kecocokan'!$C$23,D445="Cukup",'B.kriteria &amp; R.kecocokan'!$C$24,D445="Sedikit",'B.kriteria &amp; R.kecocokan'!$C$25)</f>
        <v>5</v>
      </c>
      <c r="F445" s="9" t="str">
        <f>'B.kriteria &amp; R.kecocokan'!$B$35</f>
        <v>Sangat Tinggi</v>
      </c>
      <c r="G445" s="8">
        <f>_xlfn.IFS(F445="Tinggi",'B.kriteria &amp; R.kecocokan'!$C$34,F445="Sangat Tinggi",'B.kriteria &amp; R.kecocokan'!$C$35)</f>
        <v>10</v>
      </c>
      <c r="H445" s="8" t="str">
        <f>'B.kriteria &amp; R.kecocokan'!$B$41</f>
        <v>Rendah</v>
      </c>
      <c r="I445" s="8">
        <f>_xlfn.IFS(H445="Rendah",'B.kriteria &amp; R.kecocokan'!$C$41,H445="Sedang",'B.kriteria &amp; R.kecocokan'!$C$42,H445="Tinggi",'B.kriteria &amp; R.kecocokan'!$C$43)</f>
        <v>2.5</v>
      </c>
      <c r="J445" s="8" t="str">
        <f>'B.kriteria &amp; R.kecocokan'!$B$72</f>
        <v>Rendah</v>
      </c>
      <c r="K445" s="8">
        <f>_xlfn.IFS(J445="Rendah",'B.kriteria &amp; R.kecocokan'!$C$72,J445="Sedang",'B.kriteria &amp; R.kecocokan'!$C$73,J445="Tinggi",'B.kriteria &amp; R.kecocokan'!$C$74)</f>
        <v>2.5</v>
      </c>
      <c r="L445" s="8" t="str">
        <f>'B.kriteria &amp; R.kecocokan'!$B$95</f>
        <v>Rendah</v>
      </c>
      <c r="M445" s="8">
        <f>_xlfn.IFS(L445="Rendah",'B.kriteria &amp; R.kecocokan'!$C$95,L445="Tinggi",'B.kriteria &amp; R.kecocokan'!$C$96)</f>
        <v>2.5</v>
      </c>
      <c r="N445" s="8" t="str">
        <f>'B.kriteria &amp; R.kecocokan'!$B$80</f>
        <v>Rendah</v>
      </c>
      <c r="O445" s="8">
        <f>_xlfn.IFS(N445="Rendah",'B.kriteria &amp; R.kecocokan'!$C$80,N445="Tinggi",'B.kriteria &amp; R.kecocokan'!$C$81)</f>
        <v>2.5</v>
      </c>
      <c r="P445" s="8" t="str">
        <f>'B.kriteria &amp; R.kecocokan'!$B$89</f>
        <v>Sedikit</v>
      </c>
      <c r="Q445" s="8">
        <f>_xlfn.IFS(P445="Sedikit",'B.kriteria &amp; R.kecocokan'!$C$89,P445="Sedang",'B.kriteria &amp; R.kecocokan'!$C$88,P445="Sangat Sedikit",'B.kriteria &amp; R.kecocokan'!$C$90)</f>
        <v>2.5</v>
      </c>
      <c r="R445" s="8" t="str">
        <f>'B.kriteria &amp; R.kecocokan'!$B$49</f>
        <v>Rendah</v>
      </c>
      <c r="S445" s="8">
        <f>_xlfn.IFS(R445="Rendah",'B.kriteria &amp; R.kecocokan'!$C$49,R445="Sedang",'B.kriteria &amp; R.kecocokan'!$C$50,R445="Tinggi",'B.kriteria &amp; R.kecocokan'!$C$51)</f>
        <v>2.5</v>
      </c>
      <c r="T445" s="9" t="str">
        <f>'B.kriteria &amp; R.kecocokan'!$B$58</f>
        <v>Sedang</v>
      </c>
      <c r="U445" s="51">
        <f>_xlfn.IFS(T445="Rendah",'B.kriteria &amp; R.kecocokan'!$C$57,T445="Sedang",'B.kriteria &amp; R.kecocokan'!$C$58,T445="Tinggi",'B.kriteria &amp; R.kecocokan'!$C$59)</f>
        <v>5</v>
      </c>
      <c r="V445" s="51" t="str">
        <f>'B.kriteria &amp; R.kecocokan'!$B$65</f>
        <v>Rendah</v>
      </c>
      <c r="W445" s="9">
        <f>_xlfn.IFS(V445="Rendah",'B.kriteria &amp; R.kecocokan'!$C$65,V445="Sedang",'B.kriteria &amp; R.kecocokan'!$C$66,V445="Tinggi",'B.kriteria &amp; R.kecocokan'!$C$67)</f>
        <v>1</v>
      </c>
      <c r="X445" s="117">
        <f t="shared" si="44"/>
        <v>5.8471706347713992</v>
      </c>
      <c r="Y445" s="117">
        <f t="shared" si="45"/>
        <v>3.3521087223427348</v>
      </c>
      <c r="Z445" s="119">
        <f t="shared" si="46"/>
        <v>3.3521087223427348</v>
      </c>
      <c r="AA445" s="55" t="str">
        <f t="shared" si="47"/>
        <v>Tidak Layak</v>
      </c>
    </row>
    <row r="446" spans="1:27" x14ac:dyDescent="0.35">
      <c r="A446" s="5">
        <v>15</v>
      </c>
      <c r="B446" s="2" t="s">
        <v>48</v>
      </c>
      <c r="C446" s="11" t="s">
        <v>13</v>
      </c>
      <c r="D446" s="9" t="str">
        <f>'B.kriteria &amp; R.kecocokan'!$B$23</f>
        <v>Banyak</v>
      </c>
      <c r="E446" s="111">
        <f>_xlfn.IFS(D446="Banyak",'B.kriteria &amp; R.kecocokan'!$C$23,D446="Cukup",'B.kriteria &amp; R.kecocokan'!$C$24,D446="Sedikit",'B.kriteria &amp; R.kecocokan'!$C$25)</f>
        <v>2.5</v>
      </c>
      <c r="F446" s="9" t="str">
        <f>'B.kriteria &amp; R.kecocokan'!$B$35</f>
        <v>Sangat Tinggi</v>
      </c>
      <c r="G446" s="8">
        <f>_xlfn.IFS(F446="Tinggi",'B.kriteria &amp; R.kecocokan'!$C$34,F446="Sangat Tinggi",'B.kriteria &amp; R.kecocokan'!$C$35)</f>
        <v>10</v>
      </c>
      <c r="H446" s="8" t="str">
        <f>'B.kriteria &amp; R.kecocokan'!$B$41</f>
        <v>Rendah</v>
      </c>
      <c r="I446" s="8">
        <f>_xlfn.IFS(H446="Rendah",'B.kriteria &amp; R.kecocokan'!$C$41,H446="Sedang",'B.kriteria &amp; R.kecocokan'!$C$42,H446="Tinggi",'B.kriteria &amp; R.kecocokan'!$C$43)</f>
        <v>2.5</v>
      </c>
      <c r="J446" s="8" t="str">
        <f>'B.kriteria &amp; R.kecocokan'!$B$72</f>
        <v>Rendah</v>
      </c>
      <c r="K446" s="8">
        <f>_xlfn.IFS(J446="Rendah",'B.kriteria &amp; R.kecocokan'!$C$72,J446="Sedang",'B.kriteria &amp; R.kecocokan'!$C$73,J446="Tinggi",'B.kriteria &amp; R.kecocokan'!$C$74)</f>
        <v>2.5</v>
      </c>
      <c r="L446" s="8" t="str">
        <f>'B.kriteria &amp; R.kecocokan'!$B$95</f>
        <v>Rendah</v>
      </c>
      <c r="M446" s="8">
        <f>_xlfn.IFS(L446="Rendah",'B.kriteria &amp; R.kecocokan'!$C$95,L446="Tinggi",'B.kriteria &amp; R.kecocokan'!$C$96)</f>
        <v>2.5</v>
      </c>
      <c r="N446" s="8" t="str">
        <f>'B.kriteria &amp; R.kecocokan'!$B$80</f>
        <v>Rendah</v>
      </c>
      <c r="O446" s="8">
        <f>_xlfn.IFS(N446="Rendah",'B.kriteria &amp; R.kecocokan'!$C$80,N446="Tinggi",'B.kriteria &amp; R.kecocokan'!$C$81)</f>
        <v>2.5</v>
      </c>
      <c r="P446" s="9" t="str">
        <f>'B.kriteria &amp; R.kecocokan'!$B$88</f>
        <v>Sedang</v>
      </c>
      <c r="Q446" s="8">
        <f>_xlfn.IFS(P446="Sedikit",'B.kriteria &amp; R.kecocokan'!$C$89,P446="Sedang",'B.kriteria &amp; R.kecocokan'!$C$88,P446="Sangat Sedikit",'B.kriteria &amp; R.kecocokan'!$C$90)</f>
        <v>5</v>
      </c>
      <c r="R446" s="8" t="str">
        <f>'B.kriteria &amp; R.kecocokan'!$B$49</f>
        <v>Rendah</v>
      </c>
      <c r="S446" s="8">
        <f>_xlfn.IFS(R446="Rendah",'B.kriteria &amp; R.kecocokan'!$C$49,R446="Sedang",'B.kriteria &amp; R.kecocokan'!$C$50,R446="Tinggi",'B.kriteria &amp; R.kecocokan'!$C$51)</f>
        <v>2.5</v>
      </c>
      <c r="T446" s="8" t="str">
        <f>'B.kriteria &amp; R.kecocokan'!$B$57</f>
        <v>Rendah</v>
      </c>
      <c r="U446" s="51">
        <f>_xlfn.IFS(T446="Rendah",'B.kriteria &amp; R.kecocokan'!$C$57,T446="Sedang",'B.kriteria &amp; R.kecocokan'!$C$58,T446="Tinggi",'B.kriteria &amp; R.kecocokan'!$C$59)</f>
        <v>2.5</v>
      </c>
      <c r="V446" s="51" t="str">
        <f>'B.kriteria &amp; R.kecocokan'!$B$65</f>
        <v>Rendah</v>
      </c>
      <c r="W446" s="9">
        <f>_xlfn.IFS(V446="Rendah",'B.kriteria &amp; R.kecocokan'!$C$65,V446="Sedang",'B.kriteria &amp; R.kecocokan'!$C$66,V446="Tinggi",'B.kriteria &amp; R.kecocokan'!$C$67)</f>
        <v>1</v>
      </c>
      <c r="X446" s="117">
        <f t="shared" si="44"/>
        <v>7.5292366433877591</v>
      </c>
      <c r="Y446" s="117">
        <f t="shared" si="45"/>
        <v>3.8031965946768915</v>
      </c>
      <c r="Z446" s="119">
        <f t="shared" si="46"/>
        <v>3.8031965946768915</v>
      </c>
      <c r="AA446" s="55" t="str">
        <f t="shared" si="47"/>
        <v>Tidak Layak</v>
      </c>
    </row>
    <row r="447" spans="1:27" x14ac:dyDescent="0.35">
      <c r="A447" s="5">
        <v>16</v>
      </c>
      <c r="B447" s="2" t="s">
        <v>49</v>
      </c>
      <c r="C447" s="11" t="s">
        <v>13</v>
      </c>
      <c r="D447" s="32" t="str">
        <f>'B.kriteria &amp; R.kecocokan'!$B$24</f>
        <v>Cukup</v>
      </c>
      <c r="E447" s="111">
        <f>_xlfn.IFS(D447="Banyak",'B.kriteria &amp; R.kecocokan'!$C$23,D447="Cukup",'B.kriteria &amp; R.kecocokan'!$C$24,D447="Sedikit",'B.kriteria &amp; R.kecocokan'!$C$25)</f>
        <v>5</v>
      </c>
      <c r="F447" s="9" t="str">
        <f>'B.kriteria &amp; R.kecocokan'!$B$34</f>
        <v>Tinggi</v>
      </c>
      <c r="G447" s="8">
        <f>_xlfn.IFS(F447="Tinggi",'B.kriteria &amp; R.kecocokan'!$C$34,F447="Sangat Tinggi",'B.kriteria &amp; R.kecocokan'!$C$35)</f>
        <v>7.5</v>
      </c>
      <c r="H447" s="8" t="str">
        <f>'B.kriteria &amp; R.kecocokan'!$B$41</f>
        <v>Rendah</v>
      </c>
      <c r="I447" s="8">
        <f>_xlfn.IFS(H447="Rendah",'B.kriteria &amp; R.kecocokan'!$C$41,H447="Sedang",'B.kriteria &amp; R.kecocokan'!$C$42,H447="Tinggi",'B.kriteria &amp; R.kecocokan'!$C$43)</f>
        <v>2.5</v>
      </c>
      <c r="J447" s="8" t="str">
        <f>'B.kriteria &amp; R.kecocokan'!$B$72</f>
        <v>Rendah</v>
      </c>
      <c r="K447" s="8">
        <f>_xlfn.IFS(J447="Rendah",'B.kriteria &amp; R.kecocokan'!$C$72,J447="Sedang",'B.kriteria &amp; R.kecocokan'!$C$73,J447="Tinggi",'B.kriteria &amp; R.kecocokan'!$C$74)</f>
        <v>2.5</v>
      </c>
      <c r="L447" s="8" t="str">
        <f>'B.kriteria &amp; R.kecocokan'!$B$95</f>
        <v>Rendah</v>
      </c>
      <c r="M447" s="8">
        <f>_xlfn.IFS(L447="Rendah",'B.kriteria &amp; R.kecocokan'!$C$95,L447="Tinggi",'B.kriteria &amp; R.kecocokan'!$C$96)</f>
        <v>2.5</v>
      </c>
      <c r="N447" s="9" t="str">
        <f>'B.kriteria &amp; R.kecocokan'!$B$81</f>
        <v>Tinggi</v>
      </c>
      <c r="O447" s="8">
        <f>_xlfn.IFS(N447="Rendah",'B.kriteria &amp; R.kecocokan'!$C$80,N447="Tinggi",'B.kriteria &amp; R.kecocokan'!$C$81)</f>
        <v>7.5</v>
      </c>
      <c r="P447" s="9" t="str">
        <f>'B.kriteria &amp; R.kecocokan'!$B$90</f>
        <v>Sangat Sedikit</v>
      </c>
      <c r="Q447" s="8">
        <f>_xlfn.IFS(P447="Sedikit",'B.kriteria &amp; R.kecocokan'!$C$89,P447="Sedang",'B.kriteria &amp; R.kecocokan'!$C$88,P447="Sangat Sedikit",'B.kriteria &amp; R.kecocokan'!$C$90)</f>
        <v>1</v>
      </c>
      <c r="R447" s="8" t="str">
        <f>'B.kriteria &amp; R.kecocokan'!$B$49</f>
        <v>Rendah</v>
      </c>
      <c r="S447" s="8">
        <f>_xlfn.IFS(R447="Rendah",'B.kriteria &amp; R.kecocokan'!$C$49,R447="Sedang",'B.kriteria &amp; R.kecocokan'!$C$50,R447="Tinggi",'B.kriteria &amp; R.kecocokan'!$C$51)</f>
        <v>2.5</v>
      </c>
      <c r="T447" s="8" t="str">
        <f>'B.kriteria &amp; R.kecocokan'!$B$57</f>
        <v>Rendah</v>
      </c>
      <c r="U447" s="51">
        <f>_xlfn.IFS(T447="Rendah",'B.kriteria &amp; R.kecocokan'!$C$57,T447="Sedang",'B.kriteria &amp; R.kecocokan'!$C$58,T447="Tinggi",'B.kriteria &amp; R.kecocokan'!$C$59)</f>
        <v>2.5</v>
      </c>
      <c r="V447" s="51" t="str">
        <f>'B.kriteria &amp; R.kecocokan'!$B$65</f>
        <v>Rendah</v>
      </c>
      <c r="W447" s="9">
        <f>_xlfn.IFS(V447="Rendah",'B.kriteria &amp; R.kecocokan'!$C$65,V447="Sedang",'B.kriteria &amp; R.kecocokan'!$C$66,V447="Tinggi",'B.kriteria &amp; R.kecocokan'!$C$67)</f>
        <v>1</v>
      </c>
      <c r="X447" s="117">
        <f t="shared" si="44"/>
        <v>1.8078583463739675</v>
      </c>
      <c r="Y447" s="117">
        <f t="shared" si="45"/>
        <v>5.6401413359875132</v>
      </c>
      <c r="Z447" s="119">
        <f t="shared" si="46"/>
        <v>1.8078583463739675</v>
      </c>
      <c r="AA447" s="55" t="str">
        <f t="shared" si="47"/>
        <v>Layak</v>
      </c>
    </row>
    <row r="448" spans="1:27" x14ac:dyDescent="0.35">
      <c r="A448" s="1">
        <v>17</v>
      </c>
      <c r="B448" s="2" t="s">
        <v>257</v>
      </c>
      <c r="C448" s="11" t="s">
        <v>13</v>
      </c>
      <c r="D448" s="32" t="str">
        <f>'B.kriteria &amp; R.kecocokan'!$B$24</f>
        <v>Cukup</v>
      </c>
      <c r="E448" s="111">
        <f>_xlfn.IFS(D448="Banyak",'B.kriteria &amp; R.kecocokan'!$C$23,D448="Cukup",'B.kriteria &amp; R.kecocokan'!$C$24,D448="Sedikit",'B.kriteria &amp; R.kecocokan'!$C$25)</f>
        <v>5</v>
      </c>
      <c r="F448" s="9" t="str">
        <f>'B.kriteria &amp; R.kecocokan'!$B$35</f>
        <v>Sangat Tinggi</v>
      </c>
      <c r="G448" s="8">
        <f>_xlfn.IFS(F448="Tinggi",'B.kriteria &amp; R.kecocokan'!$C$34,F448="Sangat Tinggi",'B.kriteria &amp; R.kecocokan'!$C$35)</f>
        <v>10</v>
      </c>
      <c r="H448" s="8" t="str">
        <f>'B.kriteria &amp; R.kecocokan'!$B$41</f>
        <v>Rendah</v>
      </c>
      <c r="I448" s="8">
        <f>_xlfn.IFS(H448="Rendah",'B.kriteria &amp; R.kecocokan'!$C$41,H448="Sedang",'B.kriteria &amp; R.kecocokan'!$C$42,H448="Tinggi",'B.kriteria &amp; R.kecocokan'!$C$43)</f>
        <v>2.5</v>
      </c>
      <c r="J448" s="8" t="str">
        <f>'B.kriteria &amp; R.kecocokan'!$B$72</f>
        <v>Rendah</v>
      </c>
      <c r="K448" s="8">
        <f>_xlfn.IFS(J448="Rendah",'B.kriteria &amp; R.kecocokan'!$C$72,J448="Sedang",'B.kriteria &amp; R.kecocokan'!$C$73,J448="Tinggi",'B.kriteria &amp; R.kecocokan'!$C$74)</f>
        <v>2.5</v>
      </c>
      <c r="L448" s="8" t="str">
        <f>'B.kriteria &amp; R.kecocokan'!$B$95</f>
        <v>Rendah</v>
      </c>
      <c r="M448" s="8">
        <f>_xlfn.IFS(L448="Rendah",'B.kriteria &amp; R.kecocokan'!$C$95,L448="Tinggi",'B.kriteria &amp; R.kecocokan'!$C$96)</f>
        <v>2.5</v>
      </c>
      <c r="N448" s="8" t="str">
        <f>'B.kriteria &amp; R.kecocokan'!$B$80</f>
        <v>Rendah</v>
      </c>
      <c r="O448" s="8">
        <f>_xlfn.IFS(N448="Rendah",'B.kriteria &amp; R.kecocokan'!$C$80,N448="Tinggi",'B.kriteria &amp; R.kecocokan'!$C$81)</f>
        <v>2.5</v>
      </c>
      <c r="P448" s="9" t="str">
        <f>'B.kriteria &amp; R.kecocokan'!$B$88</f>
        <v>Sedang</v>
      </c>
      <c r="Q448" s="8">
        <f>_xlfn.IFS(P448="Sedikit",'B.kriteria &amp; R.kecocokan'!$C$89,P448="Sedang",'B.kriteria &amp; R.kecocokan'!$C$88,P448="Sangat Sedikit",'B.kriteria &amp; R.kecocokan'!$C$90)</f>
        <v>5</v>
      </c>
      <c r="R448" s="9" t="str">
        <f>'B.kriteria &amp; R.kecocokan'!$B$51</f>
        <v>Tinggi</v>
      </c>
      <c r="S448" s="8">
        <f>_xlfn.IFS(R448="Rendah",'B.kriteria &amp; R.kecocokan'!$C$49,R448="Sedang",'B.kriteria &amp; R.kecocokan'!$C$50,R448="Tinggi",'B.kriteria &amp; R.kecocokan'!$C$51)</f>
        <v>7.5</v>
      </c>
      <c r="T448" s="9" t="str">
        <f>'B.kriteria &amp; R.kecocokan'!$B$58</f>
        <v>Sedang</v>
      </c>
      <c r="U448" s="51">
        <f>_xlfn.IFS(T448="Rendah",'B.kriteria &amp; R.kecocokan'!$C$57,T448="Sedang",'B.kriteria &amp; R.kecocokan'!$C$58,T448="Tinggi",'B.kriteria &amp; R.kecocokan'!$C$59)</f>
        <v>5</v>
      </c>
      <c r="V448" s="51" t="str">
        <f>'B.kriteria &amp; R.kecocokan'!$B$65</f>
        <v>Rendah</v>
      </c>
      <c r="W448" s="9">
        <f>_xlfn.IFS(V448="Rendah",'B.kriteria &amp; R.kecocokan'!$C$65,V448="Sedang",'B.kriteria &amp; R.kecocokan'!$C$66,V448="Tinggi",'B.kriteria &amp; R.kecocokan'!$C$67)</f>
        <v>1</v>
      </c>
      <c r="X448" s="117">
        <f t="shared" si="44"/>
        <v>8.0159337513365951</v>
      </c>
      <c r="Y448" s="117">
        <f t="shared" si="45"/>
        <v>6.0722811033982067</v>
      </c>
      <c r="Z448" s="119">
        <f t="shared" si="46"/>
        <v>6.0722811033982067</v>
      </c>
      <c r="AA448" s="55" t="str">
        <f t="shared" si="47"/>
        <v>Tidak Layak</v>
      </c>
    </row>
    <row r="449" spans="1:27" x14ac:dyDescent="0.35">
      <c r="A449" s="5">
        <v>18</v>
      </c>
      <c r="B449" s="2" t="s">
        <v>52</v>
      </c>
      <c r="C449" s="11" t="s">
        <v>13</v>
      </c>
      <c r="D449" s="32" t="str">
        <f>'B.kriteria &amp; R.kecocokan'!$B$24</f>
        <v>Cukup</v>
      </c>
      <c r="E449" s="111">
        <f>_xlfn.IFS(D449="Banyak",'B.kriteria &amp; R.kecocokan'!$C$23,D449="Cukup",'B.kriteria &amp; R.kecocokan'!$C$24,D449="Sedikit",'B.kriteria &amp; R.kecocokan'!$C$25)</f>
        <v>5</v>
      </c>
      <c r="F449" s="9" t="str">
        <f>'B.kriteria &amp; R.kecocokan'!$B$35</f>
        <v>Sangat Tinggi</v>
      </c>
      <c r="G449" s="8">
        <f>_xlfn.IFS(F449="Tinggi",'B.kriteria &amp; R.kecocokan'!$C$34,F449="Sangat Tinggi",'B.kriteria &amp; R.kecocokan'!$C$35)</f>
        <v>10</v>
      </c>
      <c r="H449" s="8" t="str">
        <f>'B.kriteria &amp; R.kecocokan'!$B$41</f>
        <v>Rendah</v>
      </c>
      <c r="I449" s="8">
        <f>_xlfn.IFS(H449="Rendah",'B.kriteria &amp; R.kecocokan'!$C$41,H449="Sedang",'B.kriteria &amp; R.kecocokan'!$C$42,H449="Tinggi",'B.kriteria &amp; R.kecocokan'!$C$43)</f>
        <v>2.5</v>
      </c>
      <c r="J449" s="8" t="str">
        <f>'B.kriteria &amp; R.kecocokan'!$B$72</f>
        <v>Rendah</v>
      </c>
      <c r="K449" s="8">
        <f>_xlfn.IFS(J449="Rendah",'B.kriteria &amp; R.kecocokan'!$C$72,J449="Sedang",'B.kriteria &amp; R.kecocokan'!$C$73,J449="Tinggi",'B.kriteria &amp; R.kecocokan'!$C$74)</f>
        <v>2.5</v>
      </c>
      <c r="L449" s="8" t="str">
        <f>'B.kriteria &amp; R.kecocokan'!$B$95</f>
        <v>Rendah</v>
      </c>
      <c r="M449" s="8">
        <f>_xlfn.IFS(L449="Rendah",'B.kriteria &amp; R.kecocokan'!$C$95,L449="Tinggi",'B.kriteria &amp; R.kecocokan'!$C$96)</f>
        <v>2.5</v>
      </c>
      <c r="N449" s="8" t="str">
        <f>'B.kriteria &amp; R.kecocokan'!$B$80</f>
        <v>Rendah</v>
      </c>
      <c r="O449" s="8">
        <f>_xlfn.IFS(N449="Rendah",'B.kriteria &amp; R.kecocokan'!$C$80,N449="Tinggi",'B.kriteria &amp; R.kecocokan'!$C$81)</f>
        <v>2.5</v>
      </c>
      <c r="P449" s="9" t="str">
        <f>'B.kriteria &amp; R.kecocokan'!$B$88</f>
        <v>Sedang</v>
      </c>
      <c r="Q449" s="8">
        <f>_xlfn.IFS(P449="Sedikit",'B.kriteria &amp; R.kecocokan'!$C$89,P449="Sedang",'B.kriteria &amp; R.kecocokan'!$C$88,P449="Sangat Sedikit",'B.kriteria &amp; R.kecocokan'!$C$90)</f>
        <v>5</v>
      </c>
      <c r="R449" s="9" t="str">
        <f>'B.kriteria &amp; R.kecocokan'!$B$50</f>
        <v>Sedang</v>
      </c>
      <c r="S449" s="8">
        <f>_xlfn.IFS(R449="Rendah",'B.kriteria &amp; R.kecocokan'!$C$49,R449="Sedang",'B.kriteria &amp; R.kecocokan'!$C$50,R449="Tinggi",'B.kriteria &amp; R.kecocokan'!$C$51)</f>
        <v>5</v>
      </c>
      <c r="T449" s="9" t="str">
        <f>'B.kriteria &amp; R.kecocokan'!$B$58</f>
        <v>Sedang</v>
      </c>
      <c r="U449" s="51">
        <f>_xlfn.IFS(T449="Rendah",'B.kriteria &amp; R.kecocokan'!$C$57,T449="Sedang",'B.kriteria &amp; R.kecocokan'!$C$58,T449="Tinggi",'B.kriteria &amp; R.kecocokan'!$C$59)</f>
        <v>5</v>
      </c>
      <c r="V449" s="51" t="str">
        <f>'B.kriteria &amp; R.kecocokan'!$B$65</f>
        <v>Rendah</v>
      </c>
      <c r="W449" s="9">
        <f>_xlfn.IFS(V449="Rendah",'B.kriteria &amp; R.kecocokan'!$C$65,V449="Sedang",'B.kriteria &amp; R.kecocokan'!$C$66,V449="Tinggi",'B.kriteria &amp; R.kecocokan'!$C$67)</f>
        <v>1</v>
      </c>
      <c r="X449" s="117">
        <f t="shared" si="44"/>
        <v>6.9853180020688894</v>
      </c>
      <c r="Y449" s="117">
        <f t="shared" si="45"/>
        <v>4.358874944425807</v>
      </c>
      <c r="Z449" s="119">
        <f t="shared" si="46"/>
        <v>4.358874944425807</v>
      </c>
      <c r="AA449" s="55" t="str">
        <f t="shared" si="47"/>
        <v>Tidak Layak</v>
      </c>
    </row>
    <row r="450" spans="1:27" x14ac:dyDescent="0.35">
      <c r="A450" s="5">
        <v>19</v>
      </c>
      <c r="B450" s="2" t="s">
        <v>55</v>
      </c>
      <c r="C450" s="11" t="s">
        <v>13</v>
      </c>
      <c r="D450" s="9" t="str">
        <f>'B.kriteria &amp; R.kecocokan'!$B$25</f>
        <v>Sedikit</v>
      </c>
      <c r="E450" s="111">
        <f>_xlfn.IFS(D450="Banyak",'B.kriteria &amp; R.kecocokan'!$C$23,D450="Cukup",'B.kriteria &amp; R.kecocokan'!$C$24,D450="Sedikit",'B.kriteria &amp; R.kecocokan'!$C$25)</f>
        <v>7.5</v>
      </c>
      <c r="F450" s="9" t="str">
        <f>'B.kriteria &amp; R.kecocokan'!$B$34</f>
        <v>Tinggi</v>
      </c>
      <c r="G450" s="8">
        <f>_xlfn.IFS(F450="Tinggi",'B.kriteria &amp; R.kecocokan'!$C$34,F450="Sangat Tinggi",'B.kriteria &amp; R.kecocokan'!$C$35)</f>
        <v>7.5</v>
      </c>
      <c r="H450" s="8" t="str">
        <f>'B.kriteria &amp; R.kecocokan'!$B$41</f>
        <v>Rendah</v>
      </c>
      <c r="I450" s="8">
        <f>_xlfn.IFS(H450="Rendah",'B.kriteria &amp; R.kecocokan'!$C$41,H450="Sedang",'B.kriteria &amp; R.kecocokan'!$C$42,H450="Tinggi",'B.kriteria &amp; R.kecocokan'!$C$43)</f>
        <v>2.5</v>
      </c>
      <c r="J450" s="8" t="str">
        <f>'B.kriteria &amp; R.kecocokan'!$B$72</f>
        <v>Rendah</v>
      </c>
      <c r="K450" s="8">
        <f>_xlfn.IFS(J450="Rendah",'B.kriteria &amp; R.kecocokan'!$C$72,J450="Sedang",'B.kriteria &amp; R.kecocokan'!$C$73,J450="Tinggi",'B.kriteria &amp; R.kecocokan'!$C$74)</f>
        <v>2.5</v>
      </c>
      <c r="L450" s="8" t="str">
        <f>'B.kriteria &amp; R.kecocokan'!$B$95</f>
        <v>Rendah</v>
      </c>
      <c r="M450" s="8">
        <f>_xlfn.IFS(L450="Rendah",'B.kriteria &amp; R.kecocokan'!$C$95,L450="Tinggi",'B.kriteria &amp; R.kecocokan'!$C$96)</f>
        <v>2.5</v>
      </c>
      <c r="N450" s="9" t="str">
        <f>'B.kriteria &amp; R.kecocokan'!$B$81</f>
        <v>Tinggi</v>
      </c>
      <c r="O450" s="8">
        <f>_xlfn.IFS(N450="Rendah",'B.kriteria &amp; R.kecocokan'!$C$80,N450="Tinggi",'B.kriteria &amp; R.kecocokan'!$C$81)</f>
        <v>7.5</v>
      </c>
      <c r="P450" s="9" t="str">
        <f>'B.kriteria &amp; R.kecocokan'!$B$90</f>
        <v>Sangat Sedikit</v>
      </c>
      <c r="Q450" s="8">
        <f>_xlfn.IFS(P450="Sedikit",'B.kriteria &amp; R.kecocokan'!$C$89,P450="Sedang",'B.kriteria &amp; R.kecocokan'!$C$88,P450="Sangat Sedikit",'B.kriteria &amp; R.kecocokan'!$C$90)</f>
        <v>1</v>
      </c>
      <c r="R450" s="8" t="str">
        <f>'B.kriteria &amp; R.kecocokan'!$B$49</f>
        <v>Rendah</v>
      </c>
      <c r="S450" s="8">
        <f>_xlfn.IFS(R450="Rendah",'B.kriteria &amp; R.kecocokan'!$C$49,R450="Sedang",'B.kriteria &amp; R.kecocokan'!$C$50,R450="Tinggi",'B.kriteria &amp; R.kecocokan'!$C$51)</f>
        <v>2.5</v>
      </c>
      <c r="T450" s="9" t="str">
        <f>'B.kriteria &amp; R.kecocokan'!$B$58</f>
        <v>Sedang</v>
      </c>
      <c r="U450" s="51">
        <f>_xlfn.IFS(T450="Rendah",'B.kriteria &amp; R.kecocokan'!$C$57,T450="Sedang",'B.kriteria &amp; R.kecocokan'!$C$58,T450="Tinggi",'B.kriteria &amp; R.kecocokan'!$C$59)</f>
        <v>5</v>
      </c>
      <c r="V450" s="51" t="str">
        <f>'B.kriteria &amp; R.kecocokan'!$B$65</f>
        <v>Rendah</v>
      </c>
      <c r="W450" s="9">
        <f>_xlfn.IFS(V450="Rendah",'B.kriteria &amp; R.kecocokan'!$C$65,V450="Sedang",'B.kriteria &amp; R.kecocokan'!$C$66,V450="Tinggi",'B.kriteria &amp; R.kecocokan'!$C$67)</f>
        <v>1</v>
      </c>
      <c r="X450" s="117">
        <f t="shared" si="44"/>
        <v>2.2165488135069982</v>
      </c>
      <c r="Y450" s="117">
        <f t="shared" si="45"/>
        <v>6.5934720531562379</v>
      </c>
      <c r="Z450" s="119">
        <f t="shared" si="46"/>
        <v>2.2165488135069982</v>
      </c>
      <c r="AA450" s="55" t="str">
        <f t="shared" si="47"/>
        <v>Layak</v>
      </c>
    </row>
    <row r="451" spans="1:27" x14ac:dyDescent="0.35">
      <c r="A451" s="1">
        <v>20</v>
      </c>
      <c r="B451" s="2" t="s">
        <v>56</v>
      </c>
      <c r="C451" s="11" t="s">
        <v>13</v>
      </c>
      <c r="D451" s="32" t="str">
        <f>'B.kriteria &amp; R.kecocokan'!$B$24</f>
        <v>Cukup</v>
      </c>
      <c r="E451" s="111">
        <f>_xlfn.IFS(D451="Banyak",'B.kriteria &amp; R.kecocokan'!$C$23,D451="Cukup",'B.kriteria &amp; R.kecocokan'!$C$24,D451="Sedikit",'B.kriteria &amp; R.kecocokan'!$C$25)</f>
        <v>5</v>
      </c>
      <c r="F451" s="9" t="str">
        <f>'B.kriteria &amp; R.kecocokan'!$B$34</f>
        <v>Tinggi</v>
      </c>
      <c r="G451" s="8">
        <f>_xlfn.IFS(F451="Tinggi",'B.kriteria &amp; R.kecocokan'!$C$34,F451="Sangat Tinggi",'B.kriteria &amp; R.kecocokan'!$C$35)</f>
        <v>7.5</v>
      </c>
      <c r="H451" s="8" t="str">
        <f>'B.kriteria &amp; R.kecocokan'!$B$41</f>
        <v>Rendah</v>
      </c>
      <c r="I451" s="8">
        <f>_xlfn.IFS(H451="Rendah",'B.kriteria &amp; R.kecocokan'!$C$41,H451="Sedang",'B.kriteria &amp; R.kecocokan'!$C$42,H451="Tinggi",'B.kriteria &amp; R.kecocokan'!$C$43)</f>
        <v>2.5</v>
      </c>
      <c r="J451" s="8" t="str">
        <f>'B.kriteria &amp; R.kecocokan'!$B$72</f>
        <v>Rendah</v>
      </c>
      <c r="K451" s="8">
        <f>_xlfn.IFS(J451="Rendah",'B.kriteria &amp; R.kecocokan'!$C$72,J451="Sedang",'B.kriteria &amp; R.kecocokan'!$C$73,J451="Tinggi",'B.kriteria &amp; R.kecocokan'!$C$74)</f>
        <v>2.5</v>
      </c>
      <c r="L451" s="8" t="str">
        <f>'B.kriteria &amp; R.kecocokan'!$B$95</f>
        <v>Rendah</v>
      </c>
      <c r="M451" s="8">
        <f>_xlfn.IFS(L451="Rendah",'B.kriteria &amp; R.kecocokan'!$C$95,L451="Tinggi",'B.kriteria &amp; R.kecocokan'!$C$96)</f>
        <v>2.5</v>
      </c>
      <c r="N451" s="8" t="str">
        <f>'B.kriteria &amp; R.kecocokan'!$B$80</f>
        <v>Rendah</v>
      </c>
      <c r="O451" s="8">
        <f>_xlfn.IFS(N451="Rendah",'B.kriteria &amp; R.kecocokan'!$C$80,N451="Tinggi",'B.kriteria &amp; R.kecocokan'!$C$81)</f>
        <v>2.5</v>
      </c>
      <c r="P451" s="8" t="str">
        <f>'B.kriteria &amp; R.kecocokan'!$B$89</f>
        <v>Sedikit</v>
      </c>
      <c r="Q451" s="8">
        <f>_xlfn.IFS(P451="Sedikit",'B.kriteria &amp; R.kecocokan'!$C$89,P451="Sedang",'B.kriteria &amp; R.kecocokan'!$C$88,P451="Sangat Sedikit",'B.kriteria &amp; R.kecocokan'!$C$90)</f>
        <v>2.5</v>
      </c>
      <c r="R451" s="8" t="str">
        <f>'B.kriteria &amp; R.kecocokan'!$B$49</f>
        <v>Rendah</v>
      </c>
      <c r="S451" s="8">
        <f>_xlfn.IFS(R451="Rendah",'B.kriteria &amp; R.kecocokan'!$C$49,R451="Sedang",'B.kriteria &amp; R.kecocokan'!$C$50,R451="Tinggi",'B.kriteria &amp; R.kecocokan'!$C$51)</f>
        <v>2.5</v>
      </c>
      <c r="T451" s="9" t="str">
        <f>'B.kriteria &amp; R.kecocokan'!$B$58</f>
        <v>Sedang</v>
      </c>
      <c r="U451" s="51">
        <f>_xlfn.IFS(T451="Rendah",'B.kriteria &amp; R.kecocokan'!$C$57,T451="Sedang",'B.kriteria &amp; R.kecocokan'!$C$58,T451="Tinggi",'B.kriteria &amp; R.kecocokan'!$C$59)</f>
        <v>5</v>
      </c>
      <c r="V451" s="51" t="str">
        <f>'B.kriteria &amp; R.kecocokan'!$B$65</f>
        <v>Rendah</v>
      </c>
      <c r="W451" s="9">
        <f>_xlfn.IFS(V451="Rendah",'B.kriteria &amp; R.kecocokan'!$C$65,V451="Sedang",'B.kriteria &amp; R.kecocokan'!$C$66,V451="Tinggi",'B.kriteria &amp; R.kecocokan'!$C$67)</f>
        <v>1</v>
      </c>
      <c r="X451" s="117">
        <f t="shared" si="44"/>
        <v>5.499275953348798</v>
      </c>
      <c r="Y451" s="117">
        <f t="shared" si="45"/>
        <v>2.3758214628309822</v>
      </c>
      <c r="Z451" s="119">
        <f t="shared" si="46"/>
        <v>2.3758214628309822</v>
      </c>
      <c r="AA451" s="55" t="str">
        <f t="shared" si="47"/>
        <v>Tidak Layak</v>
      </c>
    </row>
    <row r="452" spans="1:27" x14ac:dyDescent="0.35">
      <c r="A452" s="5">
        <v>21</v>
      </c>
      <c r="B452" s="2" t="s">
        <v>57</v>
      </c>
      <c r="C452" s="11" t="s">
        <v>13</v>
      </c>
      <c r="D452" s="9" t="str">
        <f>'B.kriteria &amp; R.kecocokan'!$B$25</f>
        <v>Sedikit</v>
      </c>
      <c r="E452" s="111">
        <f>_xlfn.IFS(D452="Banyak",'B.kriteria &amp; R.kecocokan'!$C$23,D452="Cukup",'B.kriteria &amp; R.kecocokan'!$C$24,D452="Sedikit",'B.kriteria &amp; R.kecocokan'!$C$25)</f>
        <v>7.5</v>
      </c>
      <c r="F452" s="9" t="str">
        <f>'B.kriteria &amp; R.kecocokan'!$B$35</f>
        <v>Sangat Tinggi</v>
      </c>
      <c r="G452" s="8">
        <f>_xlfn.IFS(F452="Tinggi",'B.kriteria &amp; R.kecocokan'!$C$34,F452="Sangat Tinggi",'B.kriteria &amp; R.kecocokan'!$C$35)</f>
        <v>10</v>
      </c>
      <c r="H452" s="8" t="str">
        <f>'B.kriteria &amp; R.kecocokan'!$B$41</f>
        <v>Rendah</v>
      </c>
      <c r="I452" s="8">
        <f>_xlfn.IFS(H452="Rendah",'B.kriteria &amp; R.kecocokan'!$C$41,H452="Sedang",'B.kriteria &amp; R.kecocokan'!$C$42,H452="Tinggi",'B.kriteria &amp; R.kecocokan'!$C$43)</f>
        <v>2.5</v>
      </c>
      <c r="J452" s="8" t="str">
        <f>'B.kriteria &amp; R.kecocokan'!$B$72</f>
        <v>Rendah</v>
      </c>
      <c r="K452" s="8">
        <f>_xlfn.IFS(J452="Rendah",'B.kriteria &amp; R.kecocokan'!$C$72,J452="Sedang",'B.kriteria &amp; R.kecocokan'!$C$73,J452="Tinggi",'B.kriteria &amp; R.kecocokan'!$C$74)</f>
        <v>2.5</v>
      </c>
      <c r="L452" s="8" t="str">
        <f>'B.kriteria &amp; R.kecocokan'!$B$95</f>
        <v>Rendah</v>
      </c>
      <c r="M452" s="8">
        <f>_xlfn.IFS(L452="Rendah",'B.kriteria &amp; R.kecocokan'!$C$95,L452="Tinggi",'B.kriteria &amp; R.kecocokan'!$C$96)</f>
        <v>2.5</v>
      </c>
      <c r="N452" s="9" t="str">
        <f>'B.kriteria &amp; R.kecocokan'!$B$81</f>
        <v>Tinggi</v>
      </c>
      <c r="O452" s="8">
        <f>_xlfn.IFS(N452="Rendah",'B.kriteria &amp; R.kecocokan'!$C$80,N452="Tinggi",'B.kriteria &amp; R.kecocokan'!$C$81)</f>
        <v>7.5</v>
      </c>
      <c r="P452" s="9" t="str">
        <f>'B.kriteria &amp; R.kecocokan'!$B$90</f>
        <v>Sangat Sedikit</v>
      </c>
      <c r="Q452" s="8">
        <f>_xlfn.IFS(P452="Sedikit",'B.kriteria &amp; R.kecocokan'!$C$89,P452="Sedang",'B.kriteria &amp; R.kecocokan'!$C$88,P452="Sangat Sedikit",'B.kriteria &amp; R.kecocokan'!$C$90)</f>
        <v>1</v>
      </c>
      <c r="R452" s="8" t="str">
        <f>'B.kriteria &amp; R.kecocokan'!$B$49</f>
        <v>Rendah</v>
      </c>
      <c r="S452" s="8">
        <f>_xlfn.IFS(R452="Rendah",'B.kriteria &amp; R.kecocokan'!$C$49,R452="Sedang",'B.kriteria &amp; R.kecocokan'!$C$50,R452="Tinggi",'B.kriteria &amp; R.kecocokan'!$C$51)</f>
        <v>2.5</v>
      </c>
      <c r="T452" s="9" t="str">
        <f>'B.kriteria &amp; R.kecocokan'!$B$58</f>
        <v>Sedang</v>
      </c>
      <c r="U452" s="51">
        <f>_xlfn.IFS(T452="Rendah",'B.kriteria &amp; R.kecocokan'!$C$57,T452="Sedang",'B.kriteria &amp; R.kecocokan'!$C$58,T452="Tinggi",'B.kriteria &amp; R.kecocokan'!$C$59)</f>
        <v>5</v>
      </c>
      <c r="V452" s="51" t="str">
        <f>'B.kriteria &amp; R.kecocokan'!$B$65</f>
        <v>Rendah</v>
      </c>
      <c r="W452" s="9">
        <f>_xlfn.IFS(V452="Rendah",'B.kriteria &amp; R.kecocokan'!$C$65,V452="Sedang",'B.kriteria &amp; R.kecocokan'!$C$66,V452="Tinggi",'B.kriteria &amp; R.kecocokan'!$C$67)</f>
        <v>1</v>
      </c>
      <c r="X452" s="117">
        <f t="shared" si="44"/>
        <v>2.9766519890158327</v>
      </c>
      <c r="Y452" s="117">
        <f t="shared" si="45"/>
        <v>7.0047111988225632</v>
      </c>
      <c r="Z452" s="119">
        <f t="shared" si="46"/>
        <v>2.9766519890158327</v>
      </c>
      <c r="AA452" s="55" t="str">
        <f t="shared" si="47"/>
        <v>Layak</v>
      </c>
    </row>
    <row r="453" spans="1:27" x14ac:dyDescent="0.35">
      <c r="A453" s="5">
        <v>22</v>
      </c>
      <c r="B453" s="2" t="s">
        <v>59</v>
      </c>
      <c r="C453" s="11" t="s">
        <v>13</v>
      </c>
      <c r="D453" s="9" t="str">
        <f>'B.kriteria &amp; R.kecocokan'!$B$23</f>
        <v>Banyak</v>
      </c>
      <c r="E453" s="111">
        <f>_xlfn.IFS(D453="Banyak",'B.kriteria &amp; R.kecocokan'!$C$23,D453="Cukup",'B.kriteria &amp; R.kecocokan'!$C$24,D453="Sedikit",'B.kriteria &amp; R.kecocokan'!$C$25)</f>
        <v>2.5</v>
      </c>
      <c r="F453" s="9" t="str">
        <f>'B.kriteria &amp; R.kecocokan'!$B$34</f>
        <v>Tinggi</v>
      </c>
      <c r="G453" s="8">
        <f>_xlfn.IFS(F453="Tinggi",'B.kriteria &amp; R.kecocokan'!$C$34,F453="Sangat Tinggi",'B.kriteria &amp; R.kecocokan'!$C$35)</f>
        <v>7.5</v>
      </c>
      <c r="H453" s="8" t="str">
        <f>'B.kriteria &amp; R.kecocokan'!$B$41</f>
        <v>Rendah</v>
      </c>
      <c r="I453" s="8">
        <f>_xlfn.IFS(H453="Rendah",'B.kriteria &amp; R.kecocokan'!$C$41,H453="Sedang",'B.kriteria &amp; R.kecocokan'!$C$42,H453="Tinggi",'B.kriteria &amp; R.kecocokan'!$C$43)</f>
        <v>2.5</v>
      </c>
      <c r="J453" s="8" t="str">
        <f>'B.kriteria &amp; R.kecocokan'!$B$72</f>
        <v>Rendah</v>
      </c>
      <c r="K453" s="8">
        <f>_xlfn.IFS(J453="Rendah",'B.kriteria &amp; R.kecocokan'!$C$72,J453="Sedang",'B.kriteria &amp; R.kecocokan'!$C$73,J453="Tinggi",'B.kriteria &amp; R.kecocokan'!$C$74)</f>
        <v>2.5</v>
      </c>
      <c r="L453" s="8" t="str">
        <f>'B.kriteria &amp; R.kecocokan'!$B$95</f>
        <v>Rendah</v>
      </c>
      <c r="M453" s="8">
        <f>_xlfn.IFS(L453="Rendah",'B.kriteria &amp; R.kecocokan'!$C$95,L453="Tinggi",'B.kriteria &amp; R.kecocokan'!$C$96)</f>
        <v>2.5</v>
      </c>
      <c r="N453" s="8" t="str">
        <f>'B.kriteria &amp; R.kecocokan'!$B$80</f>
        <v>Rendah</v>
      </c>
      <c r="O453" s="8">
        <f>_xlfn.IFS(N453="Rendah",'B.kriteria &amp; R.kecocokan'!$C$80,N453="Tinggi",'B.kriteria &amp; R.kecocokan'!$C$81)</f>
        <v>2.5</v>
      </c>
      <c r="P453" s="9" t="str">
        <f>'B.kriteria &amp; R.kecocokan'!$B$88</f>
        <v>Sedang</v>
      </c>
      <c r="Q453" s="8">
        <f>_xlfn.IFS(P453="Sedikit",'B.kriteria &amp; R.kecocokan'!$C$89,P453="Sedang",'B.kriteria &amp; R.kecocokan'!$C$88,P453="Sangat Sedikit",'B.kriteria &amp; R.kecocokan'!$C$90)</f>
        <v>5</v>
      </c>
      <c r="R453" s="8" t="str">
        <f>'B.kriteria &amp; R.kecocokan'!$B$49</f>
        <v>Rendah</v>
      </c>
      <c r="S453" s="8">
        <f>_xlfn.IFS(R453="Rendah",'B.kriteria &amp; R.kecocokan'!$C$49,R453="Sedang",'B.kriteria &amp; R.kecocokan'!$C$50,R453="Tinggi",'B.kriteria &amp; R.kecocokan'!$C$51)</f>
        <v>2.5</v>
      </c>
      <c r="T453" s="8" t="str">
        <f>'B.kriteria &amp; R.kecocokan'!$B$57</f>
        <v>Rendah</v>
      </c>
      <c r="U453" s="51">
        <f>_xlfn.IFS(T453="Rendah",'B.kriteria &amp; R.kecocokan'!$C$57,T453="Sedang",'B.kriteria &amp; R.kecocokan'!$C$58,T453="Tinggi",'B.kriteria &amp; R.kecocokan'!$C$59)</f>
        <v>2.5</v>
      </c>
      <c r="V453" s="51" t="str">
        <f>'B.kriteria &amp; R.kecocokan'!$B$65</f>
        <v>Rendah</v>
      </c>
      <c r="W453" s="9">
        <f>_xlfn.IFS(V453="Rendah",'B.kriteria &amp; R.kecocokan'!$C$65,V453="Sedang",'B.kriteria &amp; R.kecocokan'!$C$66,V453="Tinggi",'B.kriteria &amp; R.kecocokan'!$C$67)</f>
        <v>1</v>
      </c>
      <c r="X453" s="117">
        <f t="shared" si="44"/>
        <v>7.2623712388640893</v>
      </c>
      <c r="Y453" s="117">
        <f t="shared" si="45"/>
        <v>2.9786236879814156</v>
      </c>
      <c r="Z453" s="119">
        <f t="shared" si="46"/>
        <v>2.9786236879814156</v>
      </c>
      <c r="AA453" s="55" t="str">
        <f t="shared" si="47"/>
        <v>Tidak Layak</v>
      </c>
    </row>
    <row r="454" spans="1:27" x14ac:dyDescent="0.35">
      <c r="A454" s="1">
        <v>23</v>
      </c>
      <c r="B454" s="2" t="s">
        <v>61</v>
      </c>
      <c r="C454" s="11" t="s">
        <v>13</v>
      </c>
      <c r="D454" s="32" t="str">
        <f>'B.kriteria &amp; R.kecocokan'!$B$24</f>
        <v>Cukup</v>
      </c>
      <c r="E454" s="111">
        <f>_xlfn.IFS(D454="Banyak",'B.kriteria &amp; R.kecocokan'!$C$23,D454="Cukup",'B.kriteria &amp; R.kecocokan'!$C$24,D454="Sedikit",'B.kriteria &amp; R.kecocokan'!$C$25)</f>
        <v>5</v>
      </c>
      <c r="F454" s="9" t="str">
        <f>'B.kriteria &amp; R.kecocokan'!$B$34</f>
        <v>Tinggi</v>
      </c>
      <c r="G454" s="8">
        <f>_xlfn.IFS(F454="Tinggi",'B.kriteria &amp; R.kecocokan'!$C$34,F454="Sangat Tinggi",'B.kriteria &amp; R.kecocokan'!$C$35)</f>
        <v>7.5</v>
      </c>
      <c r="H454" s="8" t="str">
        <f>'B.kriteria &amp; R.kecocokan'!$B$41</f>
        <v>Rendah</v>
      </c>
      <c r="I454" s="8">
        <f>_xlfn.IFS(H454="Rendah",'B.kriteria &amp; R.kecocokan'!$C$41,H454="Sedang",'B.kriteria &amp; R.kecocokan'!$C$42,H454="Tinggi",'B.kriteria &amp; R.kecocokan'!$C$43)</f>
        <v>2.5</v>
      </c>
      <c r="J454" s="8" t="str">
        <f>'B.kriteria &amp; R.kecocokan'!$B$72</f>
        <v>Rendah</v>
      </c>
      <c r="K454" s="8">
        <f>_xlfn.IFS(J454="Rendah",'B.kriteria &amp; R.kecocokan'!$C$72,J454="Sedang",'B.kriteria &amp; R.kecocokan'!$C$73,J454="Tinggi",'B.kriteria &amp; R.kecocokan'!$C$74)</f>
        <v>2.5</v>
      </c>
      <c r="L454" s="8" t="str">
        <f>'B.kriteria &amp; R.kecocokan'!$B$95</f>
        <v>Rendah</v>
      </c>
      <c r="M454" s="8">
        <f>_xlfn.IFS(L454="Rendah",'B.kriteria &amp; R.kecocokan'!$C$95,L454="Tinggi",'B.kriteria &amp; R.kecocokan'!$C$96)</f>
        <v>2.5</v>
      </c>
      <c r="N454" s="8" t="str">
        <f>'B.kriteria &amp; R.kecocokan'!$B$80</f>
        <v>Rendah</v>
      </c>
      <c r="O454" s="8">
        <f>_xlfn.IFS(N454="Rendah",'B.kriteria &amp; R.kecocokan'!$C$80,N454="Tinggi",'B.kriteria &amp; R.kecocokan'!$C$81)</f>
        <v>2.5</v>
      </c>
      <c r="P454" s="9" t="str">
        <f>'B.kriteria &amp; R.kecocokan'!$B$88</f>
        <v>Sedang</v>
      </c>
      <c r="Q454" s="8">
        <f>_xlfn.IFS(P454="Sedikit",'B.kriteria &amp; R.kecocokan'!$C$89,P454="Sedang",'B.kriteria &amp; R.kecocokan'!$C$88,P454="Sangat Sedikit",'B.kriteria &amp; R.kecocokan'!$C$90)</f>
        <v>5</v>
      </c>
      <c r="R454" s="8" t="str">
        <f>'B.kriteria &amp; R.kecocokan'!$B$49</f>
        <v>Rendah</v>
      </c>
      <c r="S454" s="8">
        <f>_xlfn.IFS(R454="Rendah",'B.kriteria &amp; R.kecocokan'!$C$49,R454="Sedang",'B.kriteria &amp; R.kecocokan'!$C$50,R454="Tinggi",'B.kriteria &amp; R.kecocokan'!$C$51)</f>
        <v>2.5</v>
      </c>
      <c r="T454" s="8" t="str">
        <f>'B.kriteria &amp; R.kecocokan'!$B$57</f>
        <v>Rendah</v>
      </c>
      <c r="U454" s="51">
        <f>_xlfn.IFS(T454="Rendah",'B.kriteria &amp; R.kecocokan'!$C$57,T454="Sedang",'B.kriteria &amp; R.kecocokan'!$C$58,T454="Tinggi",'B.kriteria &amp; R.kecocokan'!$C$59)</f>
        <v>2.5</v>
      </c>
      <c r="V454" s="51" t="str">
        <f>'B.kriteria &amp; R.kecocokan'!$B$65</f>
        <v>Rendah</v>
      </c>
      <c r="W454" s="9">
        <f>_xlfn.IFS(V454="Rendah",'B.kriteria &amp; R.kecocokan'!$C$65,V454="Sedang",'B.kriteria &amp; R.kecocokan'!$C$66,V454="Tinggi",'B.kriteria &amp; R.kecocokan'!$C$67)</f>
        <v>1</v>
      </c>
      <c r="X454" s="117">
        <f t="shared" si="44"/>
        <v>6.3953053678399474</v>
      </c>
      <c r="Y454" s="117">
        <f t="shared" si="45"/>
        <v>1.9387012949311315</v>
      </c>
      <c r="Z454" s="119">
        <f t="shared" si="46"/>
        <v>1.9387012949311315</v>
      </c>
      <c r="AA454" s="55" t="str">
        <f t="shared" si="47"/>
        <v>Tidak Layak</v>
      </c>
    </row>
    <row r="455" spans="1:27" x14ac:dyDescent="0.35">
      <c r="A455" s="122">
        <v>24</v>
      </c>
      <c r="B455" s="88" t="s">
        <v>62</v>
      </c>
      <c r="C455" s="123" t="s">
        <v>13</v>
      </c>
      <c r="D455" s="124" t="str">
        <f>'B.kriteria &amp; R.kecocokan'!$B$24</f>
        <v>Cukup</v>
      </c>
      <c r="E455" s="125">
        <f>_xlfn.IFS(D455="Banyak",'B.kriteria &amp; R.kecocokan'!$C$23,D455="Cukup",'B.kriteria &amp; R.kecocokan'!$C$24,D455="Sedikit",'B.kriteria &amp; R.kecocokan'!$C$25)</f>
        <v>5</v>
      </c>
      <c r="F455" s="126" t="str">
        <f>'B.kriteria &amp; R.kecocokan'!$B$35</f>
        <v>Sangat Tinggi</v>
      </c>
      <c r="G455" s="127">
        <f>_xlfn.IFS(F455="Tinggi",'B.kriteria &amp; R.kecocokan'!$C$34,F455="Sangat Tinggi",'B.kriteria &amp; R.kecocokan'!$C$35)</f>
        <v>10</v>
      </c>
      <c r="H455" s="127" t="str">
        <f>'B.kriteria &amp; R.kecocokan'!$B$41</f>
        <v>Rendah</v>
      </c>
      <c r="I455" s="127">
        <f>_xlfn.IFS(H455="Rendah",'B.kriteria &amp; R.kecocokan'!$C$41,H455="Sedang",'B.kriteria &amp; R.kecocokan'!$C$42,H455="Tinggi",'B.kriteria &amp; R.kecocokan'!$C$43)</f>
        <v>2.5</v>
      </c>
      <c r="J455" s="127" t="str">
        <f>'B.kriteria &amp; R.kecocokan'!$B$72</f>
        <v>Rendah</v>
      </c>
      <c r="K455" s="127">
        <f>_xlfn.IFS(J455="Rendah",'B.kriteria &amp; R.kecocokan'!$C$72,J455="Sedang",'B.kriteria &amp; R.kecocokan'!$C$73,J455="Tinggi",'B.kriteria &amp; R.kecocokan'!$C$74)</f>
        <v>2.5</v>
      </c>
      <c r="L455" s="127" t="str">
        <f>'B.kriteria &amp; R.kecocokan'!$B$95</f>
        <v>Rendah</v>
      </c>
      <c r="M455" s="127">
        <f>_xlfn.IFS(L455="Rendah",'B.kriteria &amp; R.kecocokan'!$C$95,L455="Tinggi",'B.kriteria &amp; R.kecocokan'!$C$96)</f>
        <v>2.5</v>
      </c>
      <c r="N455" s="127" t="str">
        <f>'B.kriteria &amp; R.kecocokan'!$B$80</f>
        <v>Rendah</v>
      </c>
      <c r="O455" s="127">
        <f>_xlfn.IFS(N455="Rendah",'B.kriteria &amp; R.kecocokan'!$C$80,N455="Tinggi",'B.kriteria &amp; R.kecocokan'!$C$81)</f>
        <v>2.5</v>
      </c>
      <c r="P455" s="126" t="str">
        <f>'B.kriteria &amp; R.kecocokan'!$B$88</f>
        <v>Sedang</v>
      </c>
      <c r="Q455" s="127">
        <f>_xlfn.IFS(P455="Sedikit",'B.kriteria &amp; R.kecocokan'!$C$89,P455="Sedang",'B.kriteria &amp; R.kecocokan'!$C$88,P455="Sangat Sedikit",'B.kriteria &amp; R.kecocokan'!$C$90)</f>
        <v>5</v>
      </c>
      <c r="R455" s="127" t="str">
        <f>'B.kriteria &amp; R.kecocokan'!$B$49</f>
        <v>Rendah</v>
      </c>
      <c r="S455" s="127">
        <f>_xlfn.IFS(R455="Rendah",'B.kriteria &amp; R.kecocokan'!$C$49,R455="Sedang",'B.kriteria &amp; R.kecocokan'!$C$50,R455="Tinggi",'B.kriteria &amp; R.kecocokan'!$C$51)</f>
        <v>2.5</v>
      </c>
      <c r="T455" s="127" t="str">
        <f>'B.kriteria &amp; R.kecocokan'!$B$57</f>
        <v>Rendah</v>
      </c>
      <c r="U455" s="128">
        <f>_xlfn.IFS(T455="Rendah",'B.kriteria &amp; R.kecocokan'!$C$57,T455="Sedang",'B.kriteria &amp; R.kecocokan'!$C$58,T455="Tinggi",'B.kriteria &amp; R.kecocokan'!$C$59)</f>
        <v>2.5</v>
      </c>
      <c r="V455" s="128" t="str">
        <f>'B.kriteria &amp; R.kecocokan'!$B$65</f>
        <v>Rendah</v>
      </c>
      <c r="W455" s="126">
        <f>_xlfn.IFS(V455="Rendah",'B.kriteria &amp; R.kecocokan'!$C$65,V455="Sedang",'B.kriteria &amp; R.kecocokan'!$C$66,V455="Tinggi",'B.kriteria &amp; R.kecocokan'!$C$67)</f>
        <v>1</v>
      </c>
      <c r="X455" s="117">
        <f t="shared" si="44"/>
        <v>6.6968126126520122</v>
      </c>
      <c r="Y455" s="117">
        <f t="shared" si="45"/>
        <v>3.0578861937824859</v>
      </c>
      <c r="Z455" s="130">
        <f t="shared" si="46"/>
        <v>3.0578861937824859</v>
      </c>
      <c r="AA455" s="131" t="str">
        <f t="shared" si="47"/>
        <v>Tidak Layak</v>
      </c>
    </row>
    <row r="456" spans="1:27" x14ac:dyDescent="0.35">
      <c r="A456" s="5">
        <v>25</v>
      </c>
      <c r="B456" s="2" t="s">
        <v>64</v>
      </c>
      <c r="C456" s="11" t="s">
        <v>13</v>
      </c>
      <c r="D456" s="9" t="str">
        <f>'B.kriteria &amp; R.kecocokan'!$B$25</f>
        <v>Sedikit</v>
      </c>
      <c r="E456" s="111">
        <f>_xlfn.IFS(D456="Banyak",'B.kriteria &amp; R.kecocokan'!$C$23,D456="Cukup",'B.kriteria &amp; R.kecocokan'!$C$24,D456="Sedikit",'B.kriteria &amp; R.kecocokan'!$C$25)</f>
        <v>7.5</v>
      </c>
      <c r="F456" s="9" t="str">
        <f>'B.kriteria &amp; R.kecocokan'!$B$35</f>
        <v>Sangat Tinggi</v>
      </c>
      <c r="G456" s="8">
        <f>_xlfn.IFS(F456="Tinggi",'B.kriteria &amp; R.kecocokan'!$C$34,F456="Sangat Tinggi",'B.kriteria &amp; R.kecocokan'!$C$35)</f>
        <v>10</v>
      </c>
      <c r="H456" s="8" t="str">
        <f>'B.kriteria &amp; R.kecocokan'!$B$41</f>
        <v>Rendah</v>
      </c>
      <c r="I456" s="8">
        <f>_xlfn.IFS(H456="Rendah",'B.kriteria &amp; R.kecocokan'!$C$41,H456="Sedang",'B.kriteria &amp; R.kecocokan'!$C$42,H456="Tinggi",'B.kriteria &amp; R.kecocokan'!$C$43)</f>
        <v>2.5</v>
      </c>
      <c r="J456" s="8" t="str">
        <f>'B.kriteria &amp; R.kecocokan'!$B$72</f>
        <v>Rendah</v>
      </c>
      <c r="K456" s="8">
        <f>_xlfn.IFS(J456="Rendah",'B.kriteria &amp; R.kecocokan'!$C$72,J456="Sedang",'B.kriteria &amp; R.kecocokan'!$C$73,J456="Tinggi",'B.kriteria &amp; R.kecocokan'!$C$74)</f>
        <v>2.5</v>
      </c>
      <c r="L456" s="8" t="str">
        <f>'B.kriteria &amp; R.kecocokan'!$B$95</f>
        <v>Rendah</v>
      </c>
      <c r="M456" s="8">
        <f>_xlfn.IFS(L456="Rendah",'B.kriteria &amp; R.kecocokan'!$C$95,L456="Tinggi",'B.kriteria &amp; R.kecocokan'!$C$96)</f>
        <v>2.5</v>
      </c>
      <c r="N456" s="9" t="str">
        <f>'B.kriteria &amp; R.kecocokan'!$B$81</f>
        <v>Tinggi</v>
      </c>
      <c r="O456" s="8">
        <f>_xlfn.IFS(N456="Rendah",'B.kriteria &amp; R.kecocokan'!$C$80,N456="Tinggi",'B.kriteria &amp; R.kecocokan'!$C$81)</f>
        <v>7.5</v>
      </c>
      <c r="P456" s="9" t="str">
        <f>'B.kriteria &amp; R.kecocokan'!$B$90</f>
        <v>Sangat Sedikit</v>
      </c>
      <c r="Q456" s="8">
        <f>_xlfn.IFS(P456="Sedikit",'B.kriteria &amp; R.kecocokan'!$C$89,P456="Sedang",'B.kriteria &amp; R.kecocokan'!$C$88,P456="Sangat Sedikit",'B.kriteria &amp; R.kecocokan'!$C$90)</f>
        <v>1</v>
      </c>
      <c r="R456" s="8" t="str">
        <f>'B.kriteria &amp; R.kecocokan'!$B$49</f>
        <v>Rendah</v>
      </c>
      <c r="S456" s="8">
        <f>_xlfn.IFS(R456="Rendah",'B.kriteria &amp; R.kecocokan'!$C$49,R456="Sedang",'B.kriteria &amp; R.kecocokan'!$C$50,R456="Tinggi",'B.kriteria &amp; R.kecocokan'!$C$51)</f>
        <v>2.5</v>
      </c>
      <c r="T456" s="9" t="str">
        <f>'B.kriteria &amp; R.kecocokan'!$B$58</f>
        <v>Sedang</v>
      </c>
      <c r="U456" s="51">
        <f>_xlfn.IFS(T456="Rendah",'B.kriteria &amp; R.kecocokan'!$C$57,T456="Sedang",'B.kriteria &amp; R.kecocokan'!$C$58,T456="Tinggi",'B.kriteria &amp; R.kecocokan'!$C$59)</f>
        <v>5</v>
      </c>
      <c r="V456" s="51" t="str">
        <f>'B.kriteria &amp; R.kecocokan'!$B$65</f>
        <v>Rendah</v>
      </c>
      <c r="W456" s="9">
        <f>_xlfn.IFS(V456="Rendah",'B.kriteria &amp; R.kecocokan'!$C$65,V456="Sedang",'B.kriteria &amp; R.kecocokan'!$C$66,V456="Tinggi",'B.kriteria &amp; R.kecocokan'!$C$67)</f>
        <v>1</v>
      </c>
      <c r="X456" s="117">
        <f t="shared" si="44"/>
        <v>2.9766519890158327</v>
      </c>
      <c r="Y456" s="117">
        <f t="shared" si="45"/>
        <v>7.0047111988225632</v>
      </c>
      <c r="Z456" s="119">
        <f t="shared" si="46"/>
        <v>2.9766519890158327</v>
      </c>
      <c r="AA456" s="55" t="str">
        <f t="shared" si="47"/>
        <v>Layak</v>
      </c>
    </row>
    <row r="457" spans="1:27" x14ac:dyDescent="0.35">
      <c r="A457" s="1">
        <v>26</v>
      </c>
      <c r="B457" s="2" t="s">
        <v>66</v>
      </c>
      <c r="C457" s="11" t="s">
        <v>13</v>
      </c>
      <c r="D457" s="9" t="str">
        <f>'B.kriteria &amp; R.kecocokan'!$B$25</f>
        <v>Sedikit</v>
      </c>
      <c r="E457" s="111">
        <f>_xlfn.IFS(D457="Banyak",'B.kriteria &amp; R.kecocokan'!$C$23,D457="Cukup",'B.kriteria &amp; R.kecocokan'!$C$24,D457="Sedikit",'B.kriteria &amp; R.kecocokan'!$C$25)</f>
        <v>7.5</v>
      </c>
      <c r="F457" s="9" t="str">
        <f>'B.kriteria &amp; R.kecocokan'!$B$34</f>
        <v>Tinggi</v>
      </c>
      <c r="G457" s="8">
        <f>_xlfn.IFS(F457="Tinggi",'B.kriteria &amp; R.kecocokan'!$C$34,F457="Sangat Tinggi",'B.kriteria &amp; R.kecocokan'!$C$35)</f>
        <v>7.5</v>
      </c>
      <c r="H457" s="8" t="str">
        <f>'B.kriteria &amp; R.kecocokan'!$B$41</f>
        <v>Rendah</v>
      </c>
      <c r="I457" s="8">
        <f>_xlfn.IFS(H457="Rendah",'B.kriteria &amp; R.kecocokan'!$C$41,H457="Sedang",'B.kriteria &amp; R.kecocokan'!$C$42,H457="Tinggi",'B.kriteria &amp; R.kecocokan'!$C$43)</f>
        <v>2.5</v>
      </c>
      <c r="J457" s="8" t="str">
        <f>'B.kriteria &amp; R.kecocokan'!$B$72</f>
        <v>Rendah</v>
      </c>
      <c r="K457" s="8">
        <f>_xlfn.IFS(J457="Rendah",'B.kriteria &amp; R.kecocokan'!$C$72,J457="Sedang",'B.kriteria &amp; R.kecocokan'!$C$73,J457="Tinggi",'B.kriteria &amp; R.kecocokan'!$C$74)</f>
        <v>2.5</v>
      </c>
      <c r="L457" s="8" t="str">
        <f>'B.kriteria &amp; R.kecocokan'!$B$95</f>
        <v>Rendah</v>
      </c>
      <c r="M457" s="8">
        <f>_xlfn.IFS(L457="Rendah",'B.kriteria &amp; R.kecocokan'!$C$95,L457="Tinggi",'B.kriteria &amp; R.kecocokan'!$C$96)</f>
        <v>2.5</v>
      </c>
      <c r="N457" s="9" t="str">
        <f>'B.kriteria &amp; R.kecocokan'!$B$81</f>
        <v>Tinggi</v>
      </c>
      <c r="O457" s="8">
        <f>_xlfn.IFS(N457="Rendah",'B.kriteria &amp; R.kecocokan'!$C$80,N457="Tinggi",'B.kriteria &amp; R.kecocokan'!$C$81)</f>
        <v>7.5</v>
      </c>
      <c r="P457" s="9" t="str">
        <f>'B.kriteria &amp; R.kecocokan'!$B$90</f>
        <v>Sangat Sedikit</v>
      </c>
      <c r="Q457" s="8">
        <f>_xlfn.IFS(P457="Sedikit",'B.kriteria &amp; R.kecocokan'!$C$89,P457="Sedang",'B.kriteria &amp; R.kecocokan'!$C$88,P457="Sangat Sedikit",'B.kriteria &amp; R.kecocokan'!$C$90)</f>
        <v>1</v>
      </c>
      <c r="R457" s="8" t="str">
        <f>'B.kriteria &amp; R.kecocokan'!$B$49</f>
        <v>Rendah</v>
      </c>
      <c r="S457" s="8">
        <f>_xlfn.IFS(R457="Rendah",'B.kriteria &amp; R.kecocokan'!$C$49,R457="Sedang",'B.kriteria &amp; R.kecocokan'!$C$50,R457="Tinggi",'B.kriteria &amp; R.kecocokan'!$C$51)</f>
        <v>2.5</v>
      </c>
      <c r="T457" s="8" t="str">
        <f>'B.kriteria &amp; R.kecocokan'!$B$57</f>
        <v>Rendah</v>
      </c>
      <c r="U457" s="51">
        <f>_xlfn.IFS(T457="Rendah",'B.kriteria &amp; R.kecocokan'!$C$57,T457="Sedang",'B.kriteria &amp; R.kecocokan'!$C$58,T457="Tinggi",'B.kriteria &amp; R.kecocokan'!$C$59)</f>
        <v>2.5</v>
      </c>
      <c r="V457" s="51" t="str">
        <f>'B.kriteria &amp; R.kecocokan'!$B$65</f>
        <v>Rendah</v>
      </c>
      <c r="W457" s="9">
        <f>_xlfn.IFS(V457="Rendah",'B.kriteria &amp; R.kecocokan'!$C$65,V457="Sedang",'B.kriteria &amp; R.kecocokan'!$C$66,V457="Tinggi",'B.kriteria &amp; R.kecocokan'!$C$67)</f>
        <v>1</v>
      </c>
      <c r="X457" s="117">
        <f t="shared" si="44"/>
        <v>1.9814758482999792</v>
      </c>
      <c r="Y457" s="117">
        <f t="shared" si="45"/>
        <v>6.2607953110031191</v>
      </c>
      <c r="Z457" s="119">
        <f t="shared" si="46"/>
        <v>1.9814758482999792</v>
      </c>
      <c r="AA457" s="55" t="str">
        <f t="shared" si="47"/>
        <v>Layak</v>
      </c>
    </row>
    <row r="458" spans="1:27" x14ac:dyDescent="0.35">
      <c r="A458" s="5">
        <v>27</v>
      </c>
      <c r="B458" s="2" t="s">
        <v>68</v>
      </c>
      <c r="C458" s="11" t="s">
        <v>13</v>
      </c>
      <c r="D458" s="32" t="str">
        <f>'B.kriteria &amp; R.kecocokan'!$B$24</f>
        <v>Cukup</v>
      </c>
      <c r="E458" s="111">
        <f>_xlfn.IFS(D458="Banyak",'B.kriteria &amp; R.kecocokan'!$C$23,D458="Cukup",'B.kriteria &amp; R.kecocokan'!$C$24,D458="Sedikit",'B.kriteria &amp; R.kecocokan'!$C$25)</f>
        <v>5</v>
      </c>
      <c r="F458" s="9" t="str">
        <f>'B.kriteria &amp; R.kecocokan'!$B$34</f>
        <v>Tinggi</v>
      </c>
      <c r="G458" s="8">
        <f>_xlfn.IFS(F458="Tinggi",'B.kriteria &amp; R.kecocokan'!$C$34,F458="Sangat Tinggi",'B.kriteria &amp; R.kecocokan'!$C$35)</f>
        <v>7.5</v>
      </c>
      <c r="H458" s="9" t="str">
        <f>'B.kriteria &amp; R.kecocokan'!$B$43</f>
        <v>Tinggi</v>
      </c>
      <c r="I458" s="8">
        <f>_xlfn.IFS(H458="Rendah",'B.kriteria &amp; R.kecocokan'!$C$41,H458="Sedang",'B.kriteria &amp; R.kecocokan'!$C$42,H458="Tinggi",'B.kriteria &amp; R.kecocokan'!$C$43)</f>
        <v>7.5</v>
      </c>
      <c r="J458" s="8" t="str">
        <f>'B.kriteria &amp; R.kecocokan'!$B$72</f>
        <v>Rendah</v>
      </c>
      <c r="K458" s="8">
        <f>_xlfn.IFS(J458="Rendah",'B.kriteria &amp; R.kecocokan'!$C$72,J458="Sedang",'B.kriteria &amp; R.kecocokan'!$C$73,J458="Tinggi",'B.kriteria &amp; R.kecocokan'!$C$74)</f>
        <v>2.5</v>
      </c>
      <c r="L458" s="8" t="str">
        <f>'B.kriteria &amp; R.kecocokan'!$B$95</f>
        <v>Rendah</v>
      </c>
      <c r="M458" s="8">
        <f>_xlfn.IFS(L458="Rendah",'B.kriteria &amp; R.kecocokan'!$C$95,L458="Tinggi",'B.kriteria &amp; R.kecocokan'!$C$96)</f>
        <v>2.5</v>
      </c>
      <c r="N458" s="8" t="str">
        <f>'B.kriteria &amp; R.kecocokan'!$B$80</f>
        <v>Rendah</v>
      </c>
      <c r="O458" s="8">
        <f>_xlfn.IFS(N458="Rendah",'B.kriteria &amp; R.kecocokan'!$C$80,N458="Tinggi",'B.kriteria &amp; R.kecocokan'!$C$81)</f>
        <v>2.5</v>
      </c>
      <c r="P458" s="9" t="str">
        <f>'B.kriteria &amp; R.kecocokan'!$B$88</f>
        <v>Sedang</v>
      </c>
      <c r="Q458" s="8">
        <f>_xlfn.IFS(P458="Sedikit",'B.kriteria &amp; R.kecocokan'!$C$89,P458="Sedang",'B.kriteria &amp; R.kecocokan'!$C$88,P458="Sangat Sedikit",'B.kriteria &amp; R.kecocokan'!$C$90)</f>
        <v>5</v>
      </c>
      <c r="R458" s="8" t="str">
        <f>'B.kriteria &amp; R.kecocokan'!$B$49</f>
        <v>Rendah</v>
      </c>
      <c r="S458" s="8">
        <f>_xlfn.IFS(R458="Rendah",'B.kriteria &amp; R.kecocokan'!$C$49,R458="Sedang",'B.kriteria &amp; R.kecocokan'!$C$50,R458="Tinggi",'B.kriteria &amp; R.kecocokan'!$C$51)</f>
        <v>2.5</v>
      </c>
      <c r="T458" s="8" t="str">
        <f>'B.kriteria &amp; R.kecocokan'!$B$57</f>
        <v>Rendah</v>
      </c>
      <c r="U458" s="51">
        <f>_xlfn.IFS(T458="Rendah",'B.kriteria &amp; R.kecocokan'!$C$57,T458="Sedang",'B.kriteria &amp; R.kecocokan'!$C$58,T458="Tinggi",'B.kriteria &amp; R.kecocokan'!$C$59)</f>
        <v>2.5</v>
      </c>
      <c r="V458" s="51" t="str">
        <f>'B.kriteria &amp; R.kecocokan'!$B$65</f>
        <v>Rendah</v>
      </c>
      <c r="W458" s="9">
        <f>_xlfn.IFS(V458="Rendah",'B.kriteria &amp; R.kecocokan'!$C$65,V458="Sedang",'B.kriteria &amp; R.kecocokan'!$C$66,V458="Tinggi",'B.kriteria &amp; R.kecocokan'!$C$67)</f>
        <v>1</v>
      </c>
      <c r="X458" s="117">
        <f t="shared" si="44"/>
        <v>7.9541405444305555</v>
      </c>
      <c r="Y458" s="117">
        <f t="shared" si="45"/>
        <v>4.662726546916355</v>
      </c>
      <c r="Z458" s="119">
        <f t="shared" si="46"/>
        <v>4.662726546916355</v>
      </c>
      <c r="AA458" s="55" t="str">
        <f t="shared" si="47"/>
        <v>Tidak Layak</v>
      </c>
    </row>
    <row r="459" spans="1:27" x14ac:dyDescent="0.35">
      <c r="A459" s="5">
        <v>28</v>
      </c>
      <c r="B459" s="2" t="s">
        <v>69</v>
      </c>
      <c r="C459" s="11" t="s">
        <v>13</v>
      </c>
      <c r="D459" s="32" t="str">
        <f>'B.kriteria &amp; R.kecocokan'!$B$24</f>
        <v>Cukup</v>
      </c>
      <c r="E459" s="111">
        <f>_xlfn.IFS(D459="Banyak",'B.kriteria &amp; R.kecocokan'!$C$23,D459="Cukup",'B.kriteria &amp; R.kecocokan'!$C$24,D459="Sedikit",'B.kriteria &amp; R.kecocokan'!$C$25)</f>
        <v>5</v>
      </c>
      <c r="F459" s="9" t="str">
        <f>'B.kriteria &amp; R.kecocokan'!$B$34</f>
        <v>Tinggi</v>
      </c>
      <c r="G459" s="8">
        <f>_xlfn.IFS(F459="Tinggi",'B.kriteria &amp; R.kecocokan'!$C$34,F459="Sangat Tinggi",'B.kriteria &amp; R.kecocokan'!$C$35)</f>
        <v>7.5</v>
      </c>
      <c r="H459" s="8" t="str">
        <f>'B.kriteria &amp; R.kecocokan'!$B$41</f>
        <v>Rendah</v>
      </c>
      <c r="I459" s="8">
        <f>_xlfn.IFS(H459="Rendah",'B.kriteria &amp; R.kecocokan'!$C$41,H459="Sedang",'B.kriteria &amp; R.kecocokan'!$C$42,H459="Tinggi",'B.kriteria &amp; R.kecocokan'!$C$43)</f>
        <v>2.5</v>
      </c>
      <c r="J459" s="8" t="str">
        <f>'B.kriteria &amp; R.kecocokan'!$B$72</f>
        <v>Rendah</v>
      </c>
      <c r="K459" s="8">
        <f>_xlfn.IFS(J459="Rendah",'B.kriteria &amp; R.kecocokan'!$C$72,J459="Sedang",'B.kriteria &amp; R.kecocokan'!$C$73,J459="Tinggi",'B.kriteria &amp; R.kecocokan'!$C$74)</f>
        <v>2.5</v>
      </c>
      <c r="L459" s="8" t="str">
        <f>'B.kriteria &amp; R.kecocokan'!$B$95</f>
        <v>Rendah</v>
      </c>
      <c r="M459" s="8">
        <f>_xlfn.IFS(L459="Rendah",'B.kriteria &amp; R.kecocokan'!$C$95,L459="Tinggi",'B.kriteria &amp; R.kecocokan'!$C$96)</f>
        <v>2.5</v>
      </c>
      <c r="N459" s="8" t="str">
        <f>'B.kriteria &amp; R.kecocokan'!$B$80</f>
        <v>Rendah</v>
      </c>
      <c r="O459" s="8">
        <f>_xlfn.IFS(N459="Rendah",'B.kriteria &amp; R.kecocokan'!$C$80,N459="Tinggi",'B.kriteria &amp; R.kecocokan'!$C$81)</f>
        <v>2.5</v>
      </c>
      <c r="P459" s="8" t="str">
        <f>'B.kriteria &amp; R.kecocokan'!$B$89</f>
        <v>Sedikit</v>
      </c>
      <c r="Q459" s="8">
        <f>_xlfn.IFS(P459="Sedikit",'B.kriteria &amp; R.kecocokan'!$C$89,P459="Sedang",'B.kriteria &amp; R.kecocokan'!$C$88,P459="Sangat Sedikit",'B.kriteria &amp; R.kecocokan'!$C$90)</f>
        <v>2.5</v>
      </c>
      <c r="R459" s="8" t="str">
        <f>'B.kriteria &amp; R.kecocokan'!$B$49</f>
        <v>Rendah</v>
      </c>
      <c r="S459" s="8">
        <f>_xlfn.IFS(R459="Rendah",'B.kriteria &amp; R.kecocokan'!$C$49,R459="Sedang",'B.kriteria &amp; R.kecocokan'!$C$50,R459="Tinggi",'B.kriteria &amp; R.kecocokan'!$C$51)</f>
        <v>2.5</v>
      </c>
      <c r="T459" s="9" t="str">
        <f>'B.kriteria &amp; R.kecocokan'!$B$58</f>
        <v>Sedang</v>
      </c>
      <c r="U459" s="51">
        <f>_xlfn.IFS(T459="Rendah",'B.kriteria &amp; R.kecocokan'!$C$57,T459="Sedang",'B.kriteria &amp; R.kecocokan'!$C$58,T459="Tinggi",'B.kriteria &amp; R.kecocokan'!$C$59)</f>
        <v>5</v>
      </c>
      <c r="V459" s="51" t="str">
        <f>'B.kriteria &amp; R.kecocokan'!$B$65</f>
        <v>Rendah</v>
      </c>
      <c r="W459" s="9">
        <f>_xlfn.IFS(V459="Rendah",'B.kriteria &amp; R.kecocokan'!$C$65,V459="Sedang",'B.kriteria &amp; R.kecocokan'!$C$66,V459="Tinggi",'B.kriteria &amp; R.kecocokan'!$C$67)</f>
        <v>1</v>
      </c>
      <c r="X459" s="117">
        <f t="shared" si="44"/>
        <v>5.499275953348798</v>
      </c>
      <c r="Y459" s="117">
        <f t="shared" si="45"/>
        <v>2.3758214628309822</v>
      </c>
      <c r="Z459" s="119">
        <f t="shared" si="46"/>
        <v>2.3758214628309822</v>
      </c>
      <c r="AA459" s="55" t="str">
        <f t="shared" si="47"/>
        <v>Tidak Layak</v>
      </c>
    </row>
    <row r="460" spans="1:27" x14ac:dyDescent="0.35">
      <c r="A460" s="1">
        <v>29</v>
      </c>
      <c r="B460" s="2" t="s">
        <v>70</v>
      </c>
      <c r="C460" s="11" t="s">
        <v>13</v>
      </c>
      <c r="D460" s="9" t="str">
        <f>'B.kriteria &amp; R.kecocokan'!$B$23</f>
        <v>Banyak</v>
      </c>
      <c r="E460" s="111">
        <f>_xlfn.IFS(D460="Banyak",'B.kriteria &amp; R.kecocokan'!$C$23,D460="Cukup",'B.kriteria &amp; R.kecocokan'!$C$24,D460="Sedikit",'B.kriteria &amp; R.kecocokan'!$C$25)</f>
        <v>2.5</v>
      </c>
      <c r="F460" s="9" t="str">
        <f>'B.kriteria &amp; R.kecocokan'!$B$35</f>
        <v>Sangat Tinggi</v>
      </c>
      <c r="G460" s="8">
        <f>_xlfn.IFS(F460="Tinggi",'B.kriteria &amp; R.kecocokan'!$C$34,F460="Sangat Tinggi",'B.kriteria &amp; R.kecocokan'!$C$35)</f>
        <v>10</v>
      </c>
      <c r="H460" s="8" t="str">
        <f>'B.kriteria &amp; R.kecocokan'!$B$41</f>
        <v>Rendah</v>
      </c>
      <c r="I460" s="8">
        <f>_xlfn.IFS(H460="Rendah",'B.kriteria &amp; R.kecocokan'!$C$41,H460="Sedang",'B.kriteria &amp; R.kecocokan'!$C$42,H460="Tinggi",'B.kriteria &amp; R.kecocokan'!$C$43)</f>
        <v>2.5</v>
      </c>
      <c r="J460" s="8" t="str">
        <f>'B.kriteria &amp; R.kecocokan'!$B$72</f>
        <v>Rendah</v>
      </c>
      <c r="K460" s="8">
        <f>_xlfn.IFS(J460="Rendah",'B.kriteria &amp; R.kecocokan'!$C$72,J460="Sedang",'B.kriteria &amp; R.kecocokan'!$C$73,J460="Tinggi",'B.kriteria &amp; R.kecocokan'!$C$74)</f>
        <v>2.5</v>
      </c>
      <c r="L460" s="8" t="str">
        <f>'B.kriteria &amp; R.kecocokan'!$B$95</f>
        <v>Rendah</v>
      </c>
      <c r="M460" s="8">
        <f>_xlfn.IFS(L460="Rendah",'B.kriteria &amp; R.kecocokan'!$C$95,L460="Tinggi",'B.kriteria &amp; R.kecocokan'!$C$96)</f>
        <v>2.5</v>
      </c>
      <c r="N460" s="8" t="str">
        <f>'B.kriteria &amp; R.kecocokan'!$B$80</f>
        <v>Rendah</v>
      </c>
      <c r="O460" s="8">
        <f>_xlfn.IFS(N460="Rendah",'B.kriteria &amp; R.kecocokan'!$C$80,N460="Tinggi",'B.kriteria &amp; R.kecocokan'!$C$81)</f>
        <v>2.5</v>
      </c>
      <c r="P460" s="9" t="str">
        <f>'B.kriteria &amp; R.kecocokan'!$B$90</f>
        <v>Sangat Sedikit</v>
      </c>
      <c r="Q460" s="8">
        <f>_xlfn.IFS(P460="Sedikit",'B.kriteria &amp; R.kecocokan'!$C$89,P460="Sedang",'B.kriteria &amp; R.kecocokan'!$C$88,P460="Sangat Sedikit",'B.kriteria &amp; R.kecocokan'!$C$90)</f>
        <v>1</v>
      </c>
      <c r="R460" s="8" t="str">
        <f>'B.kriteria &amp; R.kecocokan'!$B$49</f>
        <v>Rendah</v>
      </c>
      <c r="S460" s="8">
        <f>_xlfn.IFS(R460="Rendah",'B.kriteria &amp; R.kecocokan'!$C$49,R460="Sedang",'B.kriteria &amp; R.kecocokan'!$C$50,R460="Tinggi",'B.kriteria &amp; R.kecocokan'!$C$51)</f>
        <v>2.5</v>
      </c>
      <c r="T460" s="8" t="str">
        <f>'B.kriteria &amp; R.kecocokan'!$B$57</f>
        <v>Rendah</v>
      </c>
      <c r="U460" s="51">
        <f>_xlfn.IFS(T460="Rendah",'B.kriteria &amp; R.kecocokan'!$C$57,T460="Sedang",'B.kriteria &amp; R.kecocokan'!$C$58,T460="Tinggi",'B.kriteria &amp; R.kecocokan'!$C$59)</f>
        <v>2.5</v>
      </c>
      <c r="V460" s="51" t="str">
        <f>'B.kriteria &amp; R.kecocokan'!$B$65</f>
        <v>Rendah</v>
      </c>
      <c r="W460" s="9">
        <f>_xlfn.IFS(V460="Rendah",'B.kriteria &amp; R.kecocokan'!$C$65,V460="Sedang",'B.kriteria &amp; R.kecocokan'!$C$66,V460="Tinggi",'B.kriteria &amp; R.kecocokan'!$C$67)</f>
        <v>1</v>
      </c>
      <c r="X460" s="117">
        <f t="shared" si="44"/>
        <v>6.6376069094790893</v>
      </c>
      <c r="Y460" s="117">
        <f t="shared" si="45"/>
        <v>4.0791841015395631</v>
      </c>
      <c r="Z460" s="119">
        <f t="shared" si="46"/>
        <v>4.0791841015395631</v>
      </c>
      <c r="AA460" s="55" t="str">
        <f t="shared" si="47"/>
        <v>Tidak Layak</v>
      </c>
    </row>
    <row r="461" spans="1:27" x14ac:dyDescent="0.35">
      <c r="A461" s="5">
        <v>30</v>
      </c>
      <c r="B461" s="2" t="s">
        <v>71</v>
      </c>
      <c r="C461" s="11" t="s">
        <v>13</v>
      </c>
      <c r="D461" s="9" t="str">
        <f>'B.kriteria &amp; R.kecocokan'!$B$25</f>
        <v>Sedikit</v>
      </c>
      <c r="E461" s="111">
        <f>_xlfn.IFS(D461="Banyak",'B.kriteria &amp; R.kecocokan'!$C$23,D461="Cukup",'B.kriteria &amp; R.kecocokan'!$C$24,D461="Sedikit",'B.kriteria &amp; R.kecocokan'!$C$25)</f>
        <v>7.5</v>
      </c>
      <c r="F461" s="9" t="str">
        <f>'B.kriteria &amp; R.kecocokan'!$B$35</f>
        <v>Sangat Tinggi</v>
      </c>
      <c r="G461" s="8">
        <f>_xlfn.IFS(F461="Tinggi",'B.kriteria &amp; R.kecocokan'!$C$34,F461="Sangat Tinggi",'B.kriteria &amp; R.kecocokan'!$C$35)</f>
        <v>10</v>
      </c>
      <c r="H461" s="8" t="str">
        <f>'B.kriteria &amp; R.kecocokan'!$B$41</f>
        <v>Rendah</v>
      </c>
      <c r="I461" s="8">
        <f>_xlfn.IFS(H461="Rendah",'B.kriteria &amp; R.kecocokan'!$C$41,H461="Sedang",'B.kriteria &amp; R.kecocokan'!$C$42,H461="Tinggi",'B.kriteria &amp; R.kecocokan'!$C$43)</f>
        <v>2.5</v>
      </c>
      <c r="J461" s="8" t="str">
        <f>'B.kriteria &amp; R.kecocokan'!$B$72</f>
        <v>Rendah</v>
      </c>
      <c r="K461" s="8">
        <f>_xlfn.IFS(J461="Rendah",'B.kriteria &amp; R.kecocokan'!$C$72,J461="Sedang",'B.kriteria &amp; R.kecocokan'!$C$73,J461="Tinggi",'B.kriteria &amp; R.kecocokan'!$C$74)</f>
        <v>2.5</v>
      </c>
      <c r="L461" s="8" t="str">
        <f>'B.kriteria &amp; R.kecocokan'!$B$95</f>
        <v>Rendah</v>
      </c>
      <c r="M461" s="8">
        <f>_xlfn.IFS(L461="Rendah",'B.kriteria &amp; R.kecocokan'!$C$95,L461="Tinggi",'B.kriteria &amp; R.kecocokan'!$C$96)</f>
        <v>2.5</v>
      </c>
      <c r="N461" s="9" t="str">
        <f>'B.kriteria &amp; R.kecocokan'!$B$81</f>
        <v>Tinggi</v>
      </c>
      <c r="O461" s="8">
        <f>_xlfn.IFS(N461="Rendah",'B.kriteria &amp; R.kecocokan'!$C$80,N461="Tinggi",'B.kriteria &amp; R.kecocokan'!$C$81)</f>
        <v>7.5</v>
      </c>
      <c r="P461" s="9" t="str">
        <f>'B.kriteria &amp; R.kecocokan'!$B$88</f>
        <v>Sedang</v>
      </c>
      <c r="Q461" s="8">
        <f>_xlfn.IFS(P461="Sedikit",'B.kriteria &amp; R.kecocokan'!$C$89,P461="Sedang",'B.kriteria &amp; R.kecocokan'!$C$88,P461="Sangat Sedikit",'B.kriteria &amp; R.kecocokan'!$C$90)</f>
        <v>5</v>
      </c>
      <c r="R461" s="9" t="str">
        <f>'B.kriteria &amp; R.kecocokan'!$B$51</f>
        <v>Tinggi</v>
      </c>
      <c r="S461" s="8">
        <f>_xlfn.IFS(R461="Rendah",'B.kriteria &amp; R.kecocokan'!$C$49,R461="Sedang",'B.kriteria &amp; R.kecocokan'!$C$50,R461="Tinggi",'B.kriteria &amp; R.kecocokan'!$C$51)</f>
        <v>7.5</v>
      </c>
      <c r="T461" s="9" t="str">
        <f>'B.kriteria &amp; R.kecocokan'!$B$59</f>
        <v>Tinggi</v>
      </c>
      <c r="U461" s="51">
        <f>_xlfn.IFS(T461="Rendah",'B.kriteria &amp; R.kecocokan'!$C$57,T461="Sedang",'B.kriteria &amp; R.kecocokan'!$C$58,T461="Tinggi",'B.kriteria &amp; R.kecocokan'!$C$59)</f>
        <v>7.5</v>
      </c>
      <c r="V461" s="51" t="str">
        <f>'B.kriteria &amp; R.kecocokan'!$B$65</f>
        <v>Rendah</v>
      </c>
      <c r="W461" s="9">
        <f>_xlfn.IFS(V461="Rendah",'B.kriteria &amp; R.kecocokan'!$C$65,V461="Sedang",'B.kriteria &amp; R.kecocokan'!$C$66,V461="Tinggi",'B.kriteria &amp; R.kecocokan'!$C$67)</f>
        <v>1</v>
      </c>
      <c r="X461" s="117">
        <f t="shared" si="44"/>
        <v>7.3075256241714568</v>
      </c>
      <c r="Y461" s="117">
        <f t="shared" si="45"/>
        <v>9.3226857829157996</v>
      </c>
      <c r="Z461" s="119">
        <f t="shared" si="46"/>
        <v>7.3075256241714568</v>
      </c>
      <c r="AA461" s="55" t="str">
        <f t="shared" si="47"/>
        <v>Layak</v>
      </c>
    </row>
    <row r="462" spans="1:27" x14ac:dyDescent="0.35">
      <c r="A462" s="5">
        <v>31</v>
      </c>
      <c r="B462" s="2" t="s">
        <v>74</v>
      </c>
      <c r="C462" s="11" t="s">
        <v>13</v>
      </c>
      <c r="D462" s="32" t="str">
        <f>'B.kriteria &amp; R.kecocokan'!$B$24</f>
        <v>Cukup</v>
      </c>
      <c r="E462" s="111">
        <f>_xlfn.IFS(D462="Banyak",'B.kriteria &amp; R.kecocokan'!$C$23,D462="Cukup",'B.kriteria &amp; R.kecocokan'!$C$24,D462="Sedikit",'B.kriteria &amp; R.kecocokan'!$C$25)</f>
        <v>5</v>
      </c>
      <c r="F462" s="9" t="str">
        <f>'B.kriteria &amp; R.kecocokan'!$B$35</f>
        <v>Sangat Tinggi</v>
      </c>
      <c r="G462" s="8">
        <f>_xlfn.IFS(F462="Tinggi",'B.kriteria &amp; R.kecocokan'!$C$34,F462="Sangat Tinggi",'B.kriteria &amp; R.kecocokan'!$C$35)</f>
        <v>10</v>
      </c>
      <c r="H462" s="8" t="str">
        <f>'B.kriteria &amp; R.kecocokan'!$B$41</f>
        <v>Rendah</v>
      </c>
      <c r="I462" s="8">
        <f>_xlfn.IFS(H462="Rendah",'B.kriteria &amp; R.kecocokan'!$C$41,H462="Sedang",'B.kriteria &amp; R.kecocokan'!$C$42,H462="Tinggi",'B.kriteria &amp; R.kecocokan'!$C$43)</f>
        <v>2.5</v>
      </c>
      <c r="J462" s="8" t="str">
        <f>'B.kriteria &amp; R.kecocokan'!$B$72</f>
        <v>Rendah</v>
      </c>
      <c r="K462" s="8">
        <f>_xlfn.IFS(J462="Rendah",'B.kriteria &amp; R.kecocokan'!$C$72,J462="Sedang",'B.kriteria &amp; R.kecocokan'!$C$73,J462="Tinggi",'B.kriteria &amp; R.kecocokan'!$C$74)</f>
        <v>2.5</v>
      </c>
      <c r="L462" s="8" t="str">
        <f>'B.kriteria &amp; R.kecocokan'!$B$95</f>
        <v>Rendah</v>
      </c>
      <c r="M462" s="8">
        <f>_xlfn.IFS(L462="Rendah",'B.kriteria &amp; R.kecocokan'!$C$95,L462="Tinggi",'B.kriteria &amp; R.kecocokan'!$C$96)</f>
        <v>2.5</v>
      </c>
      <c r="N462" s="8" t="str">
        <f>'B.kriteria &amp; R.kecocokan'!$B$80</f>
        <v>Rendah</v>
      </c>
      <c r="O462" s="8">
        <f>_xlfn.IFS(N462="Rendah",'B.kriteria &amp; R.kecocokan'!$C$80,N462="Tinggi",'B.kriteria &amp; R.kecocokan'!$C$81)</f>
        <v>2.5</v>
      </c>
      <c r="P462" s="8" t="str">
        <f>'B.kriteria &amp; R.kecocokan'!$B$89</f>
        <v>Sedikit</v>
      </c>
      <c r="Q462" s="8">
        <f>_xlfn.IFS(P462="Sedikit",'B.kriteria &amp; R.kecocokan'!$C$89,P462="Sedang",'B.kriteria &amp; R.kecocokan'!$C$88,P462="Sangat Sedikit",'B.kriteria &amp; R.kecocokan'!$C$90)</f>
        <v>2.5</v>
      </c>
      <c r="R462" s="8" t="str">
        <f>'B.kriteria &amp; R.kecocokan'!$B$49</f>
        <v>Rendah</v>
      </c>
      <c r="S462" s="8">
        <f>_xlfn.IFS(R462="Rendah",'B.kriteria &amp; R.kecocokan'!$C$49,R462="Sedang",'B.kriteria &amp; R.kecocokan'!$C$50,R462="Tinggi",'B.kriteria &amp; R.kecocokan'!$C$51)</f>
        <v>2.5</v>
      </c>
      <c r="T462" s="9" t="str">
        <f>'B.kriteria &amp; R.kecocokan'!$B$58</f>
        <v>Sedang</v>
      </c>
      <c r="U462" s="51">
        <f>_xlfn.IFS(T462="Rendah",'B.kriteria &amp; R.kecocokan'!$C$57,T462="Sedang",'B.kriteria &amp; R.kecocokan'!$C$58,T462="Tinggi",'B.kriteria &amp; R.kecocokan'!$C$59)</f>
        <v>5</v>
      </c>
      <c r="V462" s="51" t="str">
        <f>'B.kriteria &amp; R.kecocokan'!$B$65</f>
        <v>Rendah</v>
      </c>
      <c r="W462" s="9">
        <f>_xlfn.IFS(V462="Rendah",'B.kriteria &amp; R.kecocokan'!$C$65,V462="Sedang",'B.kriteria &amp; R.kecocokan'!$C$66,V462="Tinggi",'B.kriteria &amp; R.kecocokan'!$C$67)</f>
        <v>1</v>
      </c>
      <c r="X462" s="117">
        <f t="shared" si="44"/>
        <v>5.8471706347713992</v>
      </c>
      <c r="Y462" s="117">
        <f t="shared" si="45"/>
        <v>3.3521087223427348</v>
      </c>
      <c r="Z462" s="119">
        <f t="shared" si="46"/>
        <v>3.3521087223427348</v>
      </c>
      <c r="AA462" s="55" t="str">
        <f t="shared" si="47"/>
        <v>Tidak Layak</v>
      </c>
    </row>
    <row r="463" spans="1:27" x14ac:dyDescent="0.35">
      <c r="A463" s="1">
        <v>32</v>
      </c>
      <c r="B463" s="2" t="s">
        <v>76</v>
      </c>
      <c r="C463" s="11" t="s">
        <v>13</v>
      </c>
      <c r="D463" s="32" t="str">
        <f>'B.kriteria &amp; R.kecocokan'!$B$24</f>
        <v>Cukup</v>
      </c>
      <c r="E463" s="111">
        <f>_xlfn.IFS(D463="Banyak",'B.kriteria &amp; R.kecocokan'!$C$23,D463="Cukup",'B.kriteria &amp; R.kecocokan'!$C$24,D463="Sedikit",'B.kriteria &amp; R.kecocokan'!$C$25)</f>
        <v>5</v>
      </c>
      <c r="F463" s="9" t="str">
        <f>'B.kriteria &amp; R.kecocokan'!$B$34</f>
        <v>Tinggi</v>
      </c>
      <c r="G463" s="8">
        <f>_xlfn.IFS(F463="Tinggi",'B.kriteria &amp; R.kecocokan'!$C$34,F463="Sangat Tinggi",'B.kriteria &amp; R.kecocokan'!$C$35)</f>
        <v>7.5</v>
      </c>
      <c r="H463" s="8" t="str">
        <f>'B.kriteria &amp; R.kecocokan'!$B$41</f>
        <v>Rendah</v>
      </c>
      <c r="I463" s="8">
        <f>_xlfn.IFS(H463="Rendah",'B.kriteria &amp; R.kecocokan'!$C$41,H463="Sedang",'B.kriteria &amp; R.kecocokan'!$C$42,H463="Tinggi",'B.kriteria &amp; R.kecocokan'!$C$43)</f>
        <v>2.5</v>
      </c>
      <c r="J463" s="8" t="str">
        <f>'B.kriteria &amp; R.kecocokan'!$B$72</f>
        <v>Rendah</v>
      </c>
      <c r="K463" s="8">
        <f>_xlfn.IFS(J463="Rendah",'B.kriteria &amp; R.kecocokan'!$C$72,J463="Sedang",'B.kriteria &amp; R.kecocokan'!$C$73,J463="Tinggi",'B.kriteria &amp; R.kecocokan'!$C$74)</f>
        <v>2.5</v>
      </c>
      <c r="L463" s="8" t="str">
        <f>'B.kriteria &amp; R.kecocokan'!$B$95</f>
        <v>Rendah</v>
      </c>
      <c r="M463" s="8">
        <f>_xlfn.IFS(L463="Rendah",'B.kriteria &amp; R.kecocokan'!$C$95,L463="Tinggi",'B.kriteria &amp; R.kecocokan'!$C$96)</f>
        <v>2.5</v>
      </c>
      <c r="N463" s="8" t="str">
        <f>'B.kriteria &amp; R.kecocokan'!$B$80</f>
        <v>Rendah</v>
      </c>
      <c r="O463" s="8">
        <f>_xlfn.IFS(N463="Rendah",'B.kriteria &amp; R.kecocokan'!$C$80,N463="Tinggi",'B.kriteria &amp; R.kecocokan'!$C$81)</f>
        <v>2.5</v>
      </c>
      <c r="P463" s="9" t="str">
        <f>'B.kriteria &amp; R.kecocokan'!$B$88</f>
        <v>Sedang</v>
      </c>
      <c r="Q463" s="8">
        <f>_xlfn.IFS(P463="Sedikit",'B.kriteria &amp; R.kecocokan'!$C$89,P463="Sedang",'B.kriteria &amp; R.kecocokan'!$C$88,P463="Sangat Sedikit",'B.kriteria &amp; R.kecocokan'!$C$90)</f>
        <v>5</v>
      </c>
      <c r="R463" s="8" t="str">
        <f>'B.kriteria &amp; R.kecocokan'!$B$49</f>
        <v>Rendah</v>
      </c>
      <c r="S463" s="8">
        <f>_xlfn.IFS(R463="Rendah",'B.kriteria &amp; R.kecocokan'!$C$49,R463="Sedang",'B.kriteria &amp; R.kecocokan'!$C$50,R463="Tinggi",'B.kriteria &amp; R.kecocokan'!$C$51)</f>
        <v>2.5</v>
      </c>
      <c r="T463" s="8" t="str">
        <f>'B.kriteria &amp; R.kecocokan'!$B$57</f>
        <v>Rendah</v>
      </c>
      <c r="U463" s="51">
        <f>_xlfn.IFS(T463="Rendah",'B.kriteria &amp; R.kecocokan'!$C$57,T463="Sedang",'B.kriteria &amp; R.kecocokan'!$C$58,T463="Tinggi",'B.kriteria &amp; R.kecocokan'!$C$59)</f>
        <v>2.5</v>
      </c>
      <c r="V463" s="51" t="str">
        <f>'B.kriteria &amp; R.kecocokan'!$B$65</f>
        <v>Rendah</v>
      </c>
      <c r="W463" s="9">
        <f>_xlfn.IFS(V463="Rendah",'B.kriteria &amp; R.kecocokan'!$C$65,V463="Sedang",'B.kriteria &amp; R.kecocokan'!$C$66,V463="Tinggi",'B.kriteria &amp; R.kecocokan'!$C$67)</f>
        <v>1</v>
      </c>
      <c r="X463" s="117">
        <f t="shared" si="44"/>
        <v>6.3953053678399474</v>
      </c>
      <c r="Y463" s="117">
        <f t="shared" si="45"/>
        <v>1.9387012949311315</v>
      </c>
      <c r="Z463" s="119">
        <f t="shared" si="46"/>
        <v>1.9387012949311315</v>
      </c>
      <c r="AA463" s="55" t="str">
        <f t="shared" si="47"/>
        <v>Tidak Layak</v>
      </c>
    </row>
    <row r="464" spans="1:27" x14ac:dyDescent="0.35">
      <c r="A464" s="5">
        <v>33</v>
      </c>
      <c r="B464" s="2" t="s">
        <v>79</v>
      </c>
      <c r="C464" s="11" t="s">
        <v>13</v>
      </c>
      <c r="D464" s="9" t="str">
        <f>'B.kriteria &amp; R.kecocokan'!$B$25</f>
        <v>Sedikit</v>
      </c>
      <c r="E464" s="111">
        <f>_xlfn.IFS(D464="Banyak",'B.kriteria &amp; R.kecocokan'!$C$23,D464="Cukup",'B.kriteria &amp; R.kecocokan'!$C$24,D464="Sedikit",'B.kriteria &amp; R.kecocokan'!$C$25)</f>
        <v>7.5</v>
      </c>
      <c r="F464" s="9" t="str">
        <f>'B.kriteria &amp; R.kecocokan'!$B$34</f>
        <v>Tinggi</v>
      </c>
      <c r="G464" s="8">
        <f>_xlfn.IFS(F464="Tinggi",'B.kriteria &amp; R.kecocokan'!$C$34,F464="Sangat Tinggi",'B.kriteria &amp; R.kecocokan'!$C$35)</f>
        <v>7.5</v>
      </c>
      <c r="H464" s="9" t="str">
        <f>'B.kriteria &amp; R.kecocokan'!$B$43</f>
        <v>Tinggi</v>
      </c>
      <c r="I464" s="8">
        <f>_xlfn.IFS(H464="Rendah",'B.kriteria &amp; R.kecocokan'!$C$41,H464="Sedang",'B.kriteria &amp; R.kecocokan'!$C$42,H464="Tinggi",'B.kriteria &amp; R.kecocokan'!$C$43)</f>
        <v>7.5</v>
      </c>
      <c r="J464" s="8" t="str">
        <f>'B.kriteria &amp; R.kecocokan'!$B$72</f>
        <v>Rendah</v>
      </c>
      <c r="K464" s="8">
        <f>_xlfn.IFS(J464="Rendah",'B.kriteria &amp; R.kecocokan'!$C$72,J464="Sedang",'B.kriteria &amp; R.kecocokan'!$C$73,J464="Tinggi",'B.kriteria &amp; R.kecocokan'!$C$74)</f>
        <v>2.5</v>
      </c>
      <c r="L464" s="8" t="str">
        <f>'B.kriteria &amp; R.kecocokan'!$B$95</f>
        <v>Rendah</v>
      </c>
      <c r="M464" s="8">
        <f>_xlfn.IFS(L464="Rendah",'B.kriteria &amp; R.kecocokan'!$C$95,L464="Tinggi",'B.kriteria &amp; R.kecocokan'!$C$96)</f>
        <v>2.5</v>
      </c>
      <c r="N464" s="9" t="str">
        <f>'B.kriteria &amp; R.kecocokan'!$B$81</f>
        <v>Tinggi</v>
      </c>
      <c r="O464" s="8">
        <f>_xlfn.IFS(N464="Rendah",'B.kriteria &amp; R.kecocokan'!$C$80,N464="Tinggi",'B.kriteria &amp; R.kecocokan'!$C$81)</f>
        <v>7.5</v>
      </c>
      <c r="P464" s="9" t="str">
        <f>'B.kriteria &amp; R.kecocokan'!$B$90</f>
        <v>Sangat Sedikit</v>
      </c>
      <c r="Q464" s="8">
        <f>_xlfn.IFS(P464="Sedikit",'B.kriteria &amp; R.kecocokan'!$C$89,P464="Sedang",'B.kriteria &amp; R.kecocokan'!$C$88,P464="Sangat Sedikit",'B.kriteria &amp; R.kecocokan'!$C$90)</f>
        <v>1</v>
      </c>
      <c r="R464" s="8" t="str">
        <f>'B.kriteria &amp; R.kecocokan'!$B$49</f>
        <v>Rendah</v>
      </c>
      <c r="S464" s="8">
        <f>_xlfn.IFS(R464="Rendah",'B.kriteria &amp; R.kecocokan'!$C$49,R464="Sedang",'B.kriteria &amp; R.kecocokan'!$C$50,R464="Tinggi",'B.kriteria &amp; R.kecocokan'!$C$51)</f>
        <v>2.5</v>
      </c>
      <c r="T464" s="8" t="str">
        <f>'B.kriteria &amp; R.kecocokan'!$B$57</f>
        <v>Rendah</v>
      </c>
      <c r="U464" s="51">
        <f>_xlfn.IFS(T464="Rendah",'B.kriteria &amp; R.kecocokan'!$C$57,T464="Sedang",'B.kriteria &amp; R.kecocokan'!$C$58,T464="Tinggi",'B.kriteria &amp; R.kecocokan'!$C$59)</f>
        <v>2.5</v>
      </c>
      <c r="V464" s="51" t="str">
        <f>'B.kriteria &amp; R.kecocokan'!$B$65</f>
        <v>Rendah</v>
      </c>
      <c r="W464" s="9">
        <f>_xlfn.IFS(V464="Rendah",'B.kriteria &amp; R.kecocokan'!$C$65,V464="Sedang",'B.kriteria &amp; R.kecocokan'!$C$66,V464="Tinggi",'B.kriteria &amp; R.kecocokan'!$C$67)</f>
        <v>1</v>
      </c>
      <c r="X464" s="117">
        <f t="shared" si="44"/>
        <v>5.1278326406024304</v>
      </c>
      <c r="Y464" s="117">
        <f t="shared" si="45"/>
        <v>7.5617467602816166</v>
      </c>
      <c r="Z464" s="119">
        <f t="shared" si="46"/>
        <v>5.1278326406024304</v>
      </c>
      <c r="AA464" s="55" t="str">
        <f t="shared" si="47"/>
        <v>Layak</v>
      </c>
    </row>
    <row r="465" spans="1:27" x14ac:dyDescent="0.35">
      <c r="A465" s="5">
        <v>34</v>
      </c>
      <c r="B465" s="2" t="s">
        <v>81</v>
      </c>
      <c r="C465" s="11" t="s">
        <v>13</v>
      </c>
      <c r="D465" s="9" t="str">
        <f>'B.kriteria &amp; R.kecocokan'!$B$23</f>
        <v>Banyak</v>
      </c>
      <c r="E465" s="111">
        <f>_xlfn.IFS(D465="Banyak",'B.kriteria &amp; R.kecocokan'!$C$23,D465="Cukup",'B.kriteria &amp; R.kecocokan'!$C$24,D465="Sedikit",'B.kriteria &amp; R.kecocokan'!$C$25)</f>
        <v>2.5</v>
      </c>
      <c r="F465" s="9" t="str">
        <f>'B.kriteria &amp; R.kecocokan'!$B$34</f>
        <v>Tinggi</v>
      </c>
      <c r="G465" s="8">
        <f>_xlfn.IFS(F465="Tinggi",'B.kriteria &amp; R.kecocokan'!$C$34,F465="Sangat Tinggi",'B.kriteria &amp; R.kecocokan'!$C$35)</f>
        <v>7.5</v>
      </c>
      <c r="H465" s="8" t="str">
        <f>'B.kriteria &amp; R.kecocokan'!$B$41</f>
        <v>Rendah</v>
      </c>
      <c r="I465" s="8">
        <f>_xlfn.IFS(H465="Rendah",'B.kriteria &amp; R.kecocokan'!$C$41,H465="Sedang",'B.kriteria &amp; R.kecocokan'!$C$42,H465="Tinggi",'B.kriteria &amp; R.kecocokan'!$C$43)</f>
        <v>2.5</v>
      </c>
      <c r="J465" s="8" t="str">
        <f>'B.kriteria &amp; R.kecocokan'!$B$72</f>
        <v>Rendah</v>
      </c>
      <c r="K465" s="8">
        <f>_xlfn.IFS(J465="Rendah",'B.kriteria &amp; R.kecocokan'!$C$72,J465="Sedang",'B.kriteria &amp; R.kecocokan'!$C$73,J465="Tinggi",'B.kriteria &amp; R.kecocokan'!$C$74)</f>
        <v>2.5</v>
      </c>
      <c r="L465" s="8" t="str">
        <f>'B.kriteria &amp; R.kecocokan'!$B$95</f>
        <v>Rendah</v>
      </c>
      <c r="M465" s="8">
        <f>_xlfn.IFS(L465="Rendah",'B.kriteria &amp; R.kecocokan'!$C$95,L465="Tinggi",'B.kriteria &amp; R.kecocokan'!$C$96)</f>
        <v>2.5</v>
      </c>
      <c r="N465" s="9" t="str">
        <f>'B.kriteria &amp; R.kecocokan'!$B$81</f>
        <v>Tinggi</v>
      </c>
      <c r="O465" s="8">
        <f>_xlfn.IFS(N465="Rendah",'B.kriteria &amp; R.kecocokan'!$C$80,N465="Tinggi",'B.kriteria &amp; R.kecocokan'!$C$81)</f>
        <v>7.5</v>
      </c>
      <c r="P465" s="9" t="str">
        <f>'B.kriteria &amp; R.kecocokan'!$B$90</f>
        <v>Sangat Sedikit</v>
      </c>
      <c r="Q465" s="8">
        <f>_xlfn.IFS(P465="Sedikit",'B.kriteria &amp; R.kecocokan'!$C$89,P465="Sedang",'B.kriteria &amp; R.kecocokan'!$C$88,P465="Sangat Sedikit",'B.kriteria &amp; R.kecocokan'!$C$90)</f>
        <v>1</v>
      </c>
      <c r="R465" s="8" t="str">
        <f>'B.kriteria &amp; R.kecocokan'!$B$49</f>
        <v>Rendah</v>
      </c>
      <c r="S465" s="8">
        <f>_xlfn.IFS(R465="Rendah",'B.kriteria &amp; R.kecocokan'!$C$49,R465="Sedang",'B.kriteria &amp; R.kecocokan'!$C$50,R465="Tinggi",'B.kriteria &amp; R.kecocokan'!$C$51)</f>
        <v>2.5</v>
      </c>
      <c r="T465" s="8" t="str">
        <f>'B.kriteria &amp; R.kecocokan'!$B$57</f>
        <v>Rendah</v>
      </c>
      <c r="U465" s="51">
        <f>_xlfn.IFS(T465="Rendah",'B.kriteria &amp; R.kecocokan'!$C$57,T465="Sedang",'B.kriteria &amp; R.kecocokan'!$C$58,T465="Tinggi",'B.kriteria &amp; R.kecocokan'!$C$59)</f>
        <v>2.5</v>
      </c>
      <c r="V465" s="51" t="str">
        <f>'B.kriteria &amp; R.kecocokan'!$B$65</f>
        <v>Rendah</v>
      </c>
      <c r="W465" s="9">
        <f>_xlfn.IFS(V465="Rendah",'B.kriteria &amp; R.kecocokan'!$C$65,V465="Sedang",'B.kriteria &amp; R.kecocokan'!$C$66,V465="Tinggi",'B.kriteria &amp; R.kecocokan'!$C$67)</f>
        <v>1</v>
      </c>
      <c r="X465" s="117">
        <f t="shared" si="44"/>
        <v>3.8872171361671977</v>
      </c>
      <c r="Y465" s="117">
        <f t="shared" si="45"/>
        <v>6.0765805066296439</v>
      </c>
      <c r="Z465" s="119">
        <f t="shared" si="46"/>
        <v>3.8872171361671977</v>
      </c>
      <c r="AA465" s="55" t="str">
        <f t="shared" si="47"/>
        <v>Layak</v>
      </c>
    </row>
    <row r="466" spans="1:27" x14ac:dyDescent="0.35">
      <c r="A466" s="1">
        <v>35</v>
      </c>
      <c r="B466" s="2" t="s">
        <v>83</v>
      </c>
      <c r="C466" s="11" t="s">
        <v>13</v>
      </c>
      <c r="D466" s="9" t="str">
        <f>'B.kriteria &amp; R.kecocokan'!$B$25</f>
        <v>Sedikit</v>
      </c>
      <c r="E466" s="111">
        <f>_xlfn.IFS(D466="Banyak",'B.kriteria &amp; R.kecocokan'!$C$23,D466="Cukup",'B.kriteria &amp; R.kecocokan'!$C$24,D466="Sedikit",'B.kriteria &amp; R.kecocokan'!$C$25)</f>
        <v>7.5</v>
      </c>
      <c r="F466" s="9" t="str">
        <f>'B.kriteria &amp; R.kecocokan'!$B$34</f>
        <v>Tinggi</v>
      </c>
      <c r="G466" s="8">
        <f>_xlfn.IFS(F466="Tinggi",'B.kriteria &amp; R.kecocokan'!$C$34,F466="Sangat Tinggi",'B.kriteria &amp; R.kecocokan'!$C$35)</f>
        <v>7.5</v>
      </c>
      <c r="H466" s="8" t="str">
        <f>'B.kriteria &amp; R.kecocokan'!$B$41</f>
        <v>Rendah</v>
      </c>
      <c r="I466" s="8">
        <f>_xlfn.IFS(H466="Rendah",'B.kriteria &amp; R.kecocokan'!$C$41,H466="Sedang",'B.kriteria &amp; R.kecocokan'!$C$42,H466="Tinggi",'B.kriteria &amp; R.kecocokan'!$C$43)</f>
        <v>2.5</v>
      </c>
      <c r="J466" s="9" t="str">
        <f>'B.kriteria &amp; R.kecocokan'!$B$74</f>
        <v>Tinggi</v>
      </c>
      <c r="K466" s="8">
        <f>_xlfn.IFS(J466="Rendah",'B.kriteria &amp; R.kecocokan'!$C$72,J466="Sedang",'B.kriteria &amp; R.kecocokan'!$C$73,J466="Tinggi",'B.kriteria &amp; R.kecocokan'!$C$74)</f>
        <v>7.5</v>
      </c>
      <c r="L466" s="8" t="str">
        <f>'B.kriteria &amp; R.kecocokan'!$B$95</f>
        <v>Rendah</v>
      </c>
      <c r="M466" s="8">
        <f>_xlfn.IFS(L466="Rendah",'B.kriteria &amp; R.kecocokan'!$C$95,L466="Tinggi",'B.kriteria &amp; R.kecocokan'!$C$96)</f>
        <v>2.5</v>
      </c>
      <c r="N466" s="9" t="str">
        <f>'B.kriteria &amp; R.kecocokan'!$B$81</f>
        <v>Tinggi</v>
      </c>
      <c r="O466" s="8">
        <f>_xlfn.IFS(N466="Rendah",'B.kriteria &amp; R.kecocokan'!$C$80,N466="Tinggi",'B.kriteria &amp; R.kecocokan'!$C$81)</f>
        <v>7.5</v>
      </c>
      <c r="P466" s="9" t="str">
        <f>'B.kriteria &amp; R.kecocokan'!$B$90</f>
        <v>Sangat Sedikit</v>
      </c>
      <c r="Q466" s="8">
        <f>_xlfn.IFS(P466="Sedikit",'B.kriteria &amp; R.kecocokan'!$C$89,P466="Sedang",'B.kriteria &amp; R.kecocokan'!$C$88,P466="Sangat Sedikit",'B.kriteria &amp; R.kecocokan'!$C$90)</f>
        <v>1</v>
      </c>
      <c r="R466" s="9" t="str">
        <f>'B.kriteria &amp; R.kecocokan'!$B$50</f>
        <v>Sedang</v>
      </c>
      <c r="S466" s="8">
        <f>_xlfn.IFS(R466="Rendah",'B.kriteria &amp; R.kecocokan'!$C$49,R466="Sedang",'B.kriteria &amp; R.kecocokan'!$C$50,R466="Tinggi",'B.kriteria &amp; R.kecocokan'!$C$51)</f>
        <v>5</v>
      </c>
      <c r="T466" s="9" t="str">
        <f>'B.kriteria &amp; R.kecocokan'!$B$59</f>
        <v>Tinggi</v>
      </c>
      <c r="U466" s="51">
        <f>_xlfn.IFS(T466="Rendah",'B.kriteria &amp; R.kecocokan'!$C$57,T466="Sedang",'B.kriteria &amp; R.kecocokan'!$C$58,T466="Tinggi",'B.kriteria &amp; R.kecocokan'!$C$59)</f>
        <v>7.5</v>
      </c>
      <c r="V466" s="51" t="str">
        <f>'B.kriteria &amp; R.kecocokan'!$B$65</f>
        <v>Rendah</v>
      </c>
      <c r="W466" s="9">
        <f>_xlfn.IFS(V466="Rendah",'B.kriteria &amp; R.kecocokan'!$C$65,V466="Sedang",'B.kriteria &amp; R.kecocokan'!$C$66,V466="Tinggi",'B.kriteria &amp; R.kecocokan'!$C$67)</f>
        <v>1</v>
      </c>
      <c r="X466" s="117">
        <f t="shared" si="44"/>
        <v>6.7115324323158632</v>
      </c>
      <c r="Y466" s="117">
        <f t="shared" si="45"/>
        <v>9.5655731404462134</v>
      </c>
      <c r="Z466" s="119">
        <f t="shared" si="46"/>
        <v>6.7115324323158632</v>
      </c>
      <c r="AA466" s="55" t="str">
        <f t="shared" si="47"/>
        <v>Layak</v>
      </c>
    </row>
    <row r="467" spans="1:27" x14ac:dyDescent="0.35">
      <c r="A467" s="5">
        <v>36</v>
      </c>
      <c r="B467" s="2" t="s">
        <v>84</v>
      </c>
      <c r="C467" s="11" t="s">
        <v>13</v>
      </c>
      <c r="D467" s="32" t="str">
        <f>'B.kriteria &amp; R.kecocokan'!$B$24</f>
        <v>Cukup</v>
      </c>
      <c r="E467" s="111">
        <f>_xlfn.IFS(D467="Banyak",'B.kriteria &amp; R.kecocokan'!$C$23,D467="Cukup",'B.kriteria &amp; R.kecocokan'!$C$24,D467="Sedikit",'B.kriteria &amp; R.kecocokan'!$C$25)</f>
        <v>5</v>
      </c>
      <c r="F467" s="9" t="str">
        <f>'B.kriteria &amp; R.kecocokan'!$B$34</f>
        <v>Tinggi</v>
      </c>
      <c r="G467" s="8">
        <f>_xlfn.IFS(F467="Tinggi",'B.kriteria &amp; R.kecocokan'!$C$34,F467="Sangat Tinggi",'B.kriteria &amp; R.kecocokan'!$C$35)</f>
        <v>7.5</v>
      </c>
      <c r="H467" s="8" t="str">
        <f>'B.kriteria &amp; R.kecocokan'!$B$41</f>
        <v>Rendah</v>
      </c>
      <c r="I467" s="8">
        <f>_xlfn.IFS(H467="Rendah",'B.kriteria &amp; R.kecocokan'!$C$41,H467="Sedang",'B.kriteria &amp; R.kecocokan'!$C$42,H467="Tinggi",'B.kriteria &amp; R.kecocokan'!$C$43)</f>
        <v>2.5</v>
      </c>
      <c r="J467" s="8" t="str">
        <f>'B.kriteria &amp; R.kecocokan'!$B$72</f>
        <v>Rendah</v>
      </c>
      <c r="K467" s="8">
        <f>_xlfn.IFS(J467="Rendah",'B.kriteria &amp; R.kecocokan'!$C$72,J467="Sedang",'B.kriteria &amp; R.kecocokan'!$C$73,J467="Tinggi",'B.kriteria &amp; R.kecocokan'!$C$74)</f>
        <v>2.5</v>
      </c>
      <c r="L467" s="8" t="str">
        <f>'B.kriteria &amp; R.kecocokan'!$B$95</f>
        <v>Rendah</v>
      </c>
      <c r="M467" s="8">
        <f>_xlfn.IFS(L467="Rendah",'B.kriteria &amp; R.kecocokan'!$C$95,L467="Tinggi",'B.kriteria &amp; R.kecocokan'!$C$96)</f>
        <v>2.5</v>
      </c>
      <c r="N467" s="8" t="str">
        <f>'B.kriteria &amp; R.kecocokan'!$B$80</f>
        <v>Rendah</v>
      </c>
      <c r="O467" s="8">
        <f>_xlfn.IFS(N467="Rendah",'B.kriteria &amp; R.kecocokan'!$C$80,N467="Tinggi",'B.kriteria &amp; R.kecocokan'!$C$81)</f>
        <v>2.5</v>
      </c>
      <c r="P467" s="9" t="str">
        <f>'B.kriteria &amp; R.kecocokan'!$B$90</f>
        <v>Sangat Sedikit</v>
      </c>
      <c r="Q467" s="8">
        <f>_xlfn.IFS(P467="Sedikit",'B.kriteria &amp; R.kecocokan'!$C$89,P467="Sedang",'B.kriteria &amp; R.kecocokan'!$C$88,P467="Sangat Sedikit",'B.kriteria &amp; R.kecocokan'!$C$90)</f>
        <v>1</v>
      </c>
      <c r="R467" s="8" t="str">
        <f>'B.kriteria &amp; R.kecocokan'!$B$49</f>
        <v>Rendah</v>
      </c>
      <c r="S467" s="8">
        <f>_xlfn.IFS(R467="Rendah",'B.kriteria &amp; R.kecocokan'!$C$49,R467="Sedang",'B.kriteria &amp; R.kecocokan'!$C$50,R467="Tinggi",'B.kriteria &amp; R.kecocokan'!$C$51)</f>
        <v>2.5</v>
      </c>
      <c r="T467" s="8" t="str">
        <f>'B.kriteria &amp; R.kecocokan'!$B$57</f>
        <v>Rendah</v>
      </c>
      <c r="U467" s="51">
        <f>_xlfn.IFS(T467="Rendah",'B.kriteria &amp; R.kecocokan'!$C$57,T467="Sedang",'B.kriteria &amp; R.kecocokan'!$C$58,T467="Tinggi",'B.kriteria &amp; R.kecocokan'!$C$59)</f>
        <v>2.5</v>
      </c>
      <c r="V467" s="51" t="str">
        <f>'B.kriteria &amp; R.kecocokan'!$B$65</f>
        <v>Rendah</v>
      </c>
      <c r="W467" s="9">
        <f>_xlfn.IFS(V467="Rendah",'B.kriteria &amp; R.kecocokan'!$C$65,V467="Sedang",'B.kriteria &amp; R.kecocokan'!$C$66,V467="Tinggi",'B.kriteria &amp; R.kecocokan'!$C$67)</f>
        <v>1</v>
      </c>
      <c r="X467" s="117">
        <f t="shared" si="44"/>
        <v>5.3167990182584495</v>
      </c>
      <c r="Y467" s="117">
        <f t="shared" si="45"/>
        <v>2.4359805638508032</v>
      </c>
      <c r="Z467" s="119">
        <f t="shared" si="46"/>
        <v>2.4359805638508032</v>
      </c>
      <c r="AA467" s="55" t="str">
        <f t="shared" si="47"/>
        <v>Tidak Layak</v>
      </c>
    </row>
    <row r="468" spans="1:27" x14ac:dyDescent="0.35">
      <c r="A468" s="5">
        <v>37</v>
      </c>
      <c r="B468" s="2" t="s">
        <v>85</v>
      </c>
      <c r="C468" s="11" t="s">
        <v>13</v>
      </c>
      <c r="D468" s="32" t="str">
        <f>'B.kriteria &amp; R.kecocokan'!$B$24</f>
        <v>Cukup</v>
      </c>
      <c r="E468" s="111">
        <f>_xlfn.IFS(D468="Banyak",'B.kriteria &amp; R.kecocokan'!$C$23,D468="Cukup",'B.kriteria &amp; R.kecocokan'!$C$24,D468="Sedikit",'B.kriteria &amp; R.kecocokan'!$C$25)</f>
        <v>5</v>
      </c>
      <c r="F468" s="9" t="str">
        <f>'B.kriteria &amp; R.kecocokan'!$B$34</f>
        <v>Tinggi</v>
      </c>
      <c r="G468" s="8">
        <f>_xlfn.IFS(F468="Tinggi",'B.kriteria &amp; R.kecocokan'!$C$34,F468="Sangat Tinggi",'B.kriteria &amp; R.kecocokan'!$C$35)</f>
        <v>7.5</v>
      </c>
      <c r="H468" s="8" t="str">
        <f>'B.kriteria &amp; R.kecocokan'!$B$41</f>
        <v>Rendah</v>
      </c>
      <c r="I468" s="8">
        <f>_xlfn.IFS(H468="Rendah",'B.kriteria &amp; R.kecocokan'!$C$41,H468="Sedang",'B.kriteria &amp; R.kecocokan'!$C$42,H468="Tinggi",'B.kriteria &amp; R.kecocokan'!$C$43)</f>
        <v>2.5</v>
      </c>
      <c r="J468" s="8" t="str">
        <f>'B.kriteria &amp; R.kecocokan'!$B$72</f>
        <v>Rendah</v>
      </c>
      <c r="K468" s="8">
        <f>_xlfn.IFS(J468="Rendah",'B.kriteria &amp; R.kecocokan'!$C$72,J468="Sedang",'B.kriteria &amp; R.kecocokan'!$C$73,J468="Tinggi",'B.kriteria &amp; R.kecocokan'!$C$74)</f>
        <v>2.5</v>
      </c>
      <c r="L468" s="8" t="str">
        <f>'B.kriteria &amp; R.kecocokan'!$B$95</f>
        <v>Rendah</v>
      </c>
      <c r="M468" s="8">
        <f>_xlfn.IFS(L468="Rendah",'B.kriteria &amp; R.kecocokan'!$C$95,L468="Tinggi",'B.kriteria &amp; R.kecocokan'!$C$96)</f>
        <v>2.5</v>
      </c>
      <c r="N468" s="8" t="str">
        <f>'B.kriteria &amp; R.kecocokan'!$B$80</f>
        <v>Rendah</v>
      </c>
      <c r="O468" s="8">
        <f>_xlfn.IFS(N468="Rendah",'B.kriteria &amp; R.kecocokan'!$C$80,N468="Tinggi",'B.kriteria &amp; R.kecocokan'!$C$81)</f>
        <v>2.5</v>
      </c>
      <c r="P468" s="9" t="str">
        <f>'B.kriteria &amp; R.kecocokan'!$B$88</f>
        <v>Sedang</v>
      </c>
      <c r="Q468" s="8">
        <f>_xlfn.IFS(P468="Sedikit",'B.kriteria &amp; R.kecocokan'!$C$89,P468="Sedang",'B.kriteria &amp; R.kecocokan'!$C$88,P468="Sangat Sedikit",'B.kriteria &amp; R.kecocokan'!$C$90)</f>
        <v>5</v>
      </c>
      <c r="R468" s="8" t="str">
        <f>'B.kriteria &amp; R.kecocokan'!$B$49</f>
        <v>Rendah</v>
      </c>
      <c r="S468" s="8">
        <f>_xlfn.IFS(R468="Rendah",'B.kriteria &amp; R.kecocokan'!$C$49,R468="Sedang",'B.kriteria &amp; R.kecocokan'!$C$50,R468="Tinggi",'B.kriteria &amp; R.kecocokan'!$C$51)</f>
        <v>2.5</v>
      </c>
      <c r="T468" s="8" t="str">
        <f>'B.kriteria &amp; R.kecocokan'!$B$57</f>
        <v>Rendah</v>
      </c>
      <c r="U468" s="51">
        <f>_xlfn.IFS(T468="Rendah",'B.kriteria &amp; R.kecocokan'!$C$57,T468="Sedang",'B.kriteria &amp; R.kecocokan'!$C$58,T468="Tinggi",'B.kriteria &amp; R.kecocokan'!$C$59)</f>
        <v>2.5</v>
      </c>
      <c r="V468" s="51" t="str">
        <f>'B.kriteria &amp; R.kecocokan'!$B$65</f>
        <v>Rendah</v>
      </c>
      <c r="W468" s="9">
        <f>_xlfn.IFS(V468="Rendah",'B.kriteria &amp; R.kecocokan'!$C$65,V468="Sedang",'B.kriteria &amp; R.kecocokan'!$C$66,V468="Tinggi",'B.kriteria &amp; R.kecocokan'!$C$67)</f>
        <v>1</v>
      </c>
      <c r="X468" s="117">
        <f t="shared" si="44"/>
        <v>6.3953053678399474</v>
      </c>
      <c r="Y468" s="117">
        <f t="shared" si="45"/>
        <v>1.9387012949311315</v>
      </c>
      <c r="Z468" s="119">
        <f t="shared" si="46"/>
        <v>1.9387012949311315</v>
      </c>
      <c r="AA468" s="55" t="str">
        <f t="shared" si="47"/>
        <v>Tidak Layak</v>
      </c>
    </row>
    <row r="469" spans="1:27" x14ac:dyDescent="0.35">
      <c r="A469" s="1">
        <v>38</v>
      </c>
      <c r="B469" s="2" t="s">
        <v>86</v>
      </c>
      <c r="C469" s="11" t="s">
        <v>13</v>
      </c>
      <c r="D469" s="9" t="str">
        <f>'B.kriteria &amp; R.kecocokan'!$B$25</f>
        <v>Sedikit</v>
      </c>
      <c r="E469" s="111">
        <f>_xlfn.IFS(D469="Banyak",'B.kriteria &amp; R.kecocokan'!$C$23,D469="Cukup",'B.kriteria &amp; R.kecocokan'!$C$24,D469="Sedikit",'B.kriteria &amp; R.kecocokan'!$C$25)</f>
        <v>7.5</v>
      </c>
      <c r="F469" s="9" t="str">
        <f>'B.kriteria &amp; R.kecocokan'!$B$34</f>
        <v>Tinggi</v>
      </c>
      <c r="G469" s="8">
        <f>_xlfn.IFS(F469="Tinggi",'B.kriteria &amp; R.kecocokan'!$C$34,F469="Sangat Tinggi",'B.kriteria &amp; R.kecocokan'!$C$35)</f>
        <v>7.5</v>
      </c>
      <c r="H469" s="9" t="str">
        <f>'B.kriteria &amp; R.kecocokan'!$B$43</f>
        <v>Tinggi</v>
      </c>
      <c r="I469" s="8">
        <f>_xlfn.IFS(H469="Rendah",'B.kriteria &amp; R.kecocokan'!$C$41,H469="Sedang",'B.kriteria &amp; R.kecocokan'!$C$42,H469="Tinggi",'B.kriteria &amp; R.kecocokan'!$C$43)</f>
        <v>7.5</v>
      </c>
      <c r="J469" s="8" t="str">
        <f>'B.kriteria &amp; R.kecocokan'!$B$72</f>
        <v>Rendah</v>
      </c>
      <c r="K469" s="8">
        <f>_xlfn.IFS(J469="Rendah",'B.kriteria &amp; R.kecocokan'!$C$72,J469="Sedang",'B.kriteria &amp; R.kecocokan'!$C$73,J469="Tinggi",'B.kriteria &amp; R.kecocokan'!$C$74)</f>
        <v>2.5</v>
      </c>
      <c r="L469" s="8" t="str">
        <f>'B.kriteria &amp; R.kecocokan'!$B$95</f>
        <v>Rendah</v>
      </c>
      <c r="M469" s="8">
        <f>_xlfn.IFS(L469="Rendah",'B.kriteria &amp; R.kecocokan'!$C$95,L469="Tinggi",'B.kriteria &amp; R.kecocokan'!$C$96)</f>
        <v>2.5</v>
      </c>
      <c r="N469" s="9" t="str">
        <f>'B.kriteria &amp; R.kecocokan'!$B$81</f>
        <v>Tinggi</v>
      </c>
      <c r="O469" s="8">
        <f>_xlfn.IFS(N469="Rendah",'B.kriteria &amp; R.kecocokan'!$C$80,N469="Tinggi",'B.kriteria &amp; R.kecocokan'!$C$81)</f>
        <v>7.5</v>
      </c>
      <c r="P469" s="9" t="str">
        <f>'B.kriteria &amp; R.kecocokan'!$B$90</f>
        <v>Sangat Sedikit</v>
      </c>
      <c r="Q469" s="8">
        <f>_xlfn.IFS(P469="Sedikit",'B.kriteria &amp; R.kecocokan'!$C$89,P469="Sedang",'B.kriteria &amp; R.kecocokan'!$C$88,P469="Sangat Sedikit",'B.kriteria &amp; R.kecocokan'!$C$90)</f>
        <v>1</v>
      </c>
      <c r="R469" s="8" t="str">
        <f>'B.kriteria &amp; R.kecocokan'!$B$49</f>
        <v>Rendah</v>
      </c>
      <c r="S469" s="8">
        <f>_xlfn.IFS(R469="Rendah",'B.kriteria &amp; R.kecocokan'!$C$49,R469="Sedang",'B.kriteria &amp; R.kecocokan'!$C$50,R469="Tinggi",'B.kriteria &amp; R.kecocokan'!$C$51)</f>
        <v>2.5</v>
      </c>
      <c r="T469" s="8" t="str">
        <f>'B.kriteria &amp; R.kecocokan'!$B$57</f>
        <v>Rendah</v>
      </c>
      <c r="U469" s="51">
        <f>_xlfn.IFS(T469="Rendah",'B.kriteria &amp; R.kecocokan'!$C$57,T469="Sedang",'B.kriteria &amp; R.kecocokan'!$C$58,T469="Tinggi",'B.kriteria &amp; R.kecocokan'!$C$59)</f>
        <v>2.5</v>
      </c>
      <c r="V469" s="51" t="str">
        <f>'B.kriteria &amp; R.kecocokan'!$B$65</f>
        <v>Rendah</v>
      </c>
      <c r="W469" s="9">
        <f>_xlfn.IFS(V469="Rendah",'B.kriteria &amp; R.kecocokan'!$C$65,V469="Sedang",'B.kriteria &amp; R.kecocokan'!$C$66,V469="Tinggi",'B.kriteria &amp; R.kecocokan'!$C$67)</f>
        <v>1</v>
      </c>
      <c r="X469" s="117">
        <f t="shared" si="44"/>
        <v>5.1278326406024304</v>
      </c>
      <c r="Y469" s="117">
        <f t="shared" si="45"/>
        <v>7.5617467602816166</v>
      </c>
      <c r="Z469" s="119">
        <f t="shared" si="46"/>
        <v>5.1278326406024304</v>
      </c>
      <c r="AA469" s="55" t="str">
        <f t="shared" si="47"/>
        <v>Layak</v>
      </c>
    </row>
    <row r="470" spans="1:27" x14ac:dyDescent="0.35">
      <c r="A470" s="5">
        <v>39</v>
      </c>
      <c r="B470" s="2" t="s">
        <v>87</v>
      </c>
      <c r="C470" s="11" t="s">
        <v>13</v>
      </c>
      <c r="D470" s="9" t="str">
        <f>'B.kriteria &amp; R.kecocokan'!$B$25</f>
        <v>Sedikit</v>
      </c>
      <c r="E470" s="111">
        <f>_xlfn.IFS(D470="Banyak",'B.kriteria &amp; R.kecocokan'!$C$23,D470="Cukup",'B.kriteria &amp; R.kecocokan'!$C$24,D470="Sedikit",'B.kriteria &amp; R.kecocokan'!$C$25)</f>
        <v>7.5</v>
      </c>
      <c r="F470" s="9" t="str">
        <f>'B.kriteria &amp; R.kecocokan'!$B$34</f>
        <v>Tinggi</v>
      </c>
      <c r="G470" s="8">
        <f>_xlfn.IFS(F470="Tinggi",'B.kriteria &amp; R.kecocokan'!$C$34,F470="Sangat Tinggi",'B.kriteria &amp; R.kecocokan'!$C$35)</f>
        <v>7.5</v>
      </c>
      <c r="H470" s="8" t="str">
        <f>'B.kriteria &amp; R.kecocokan'!$B$41</f>
        <v>Rendah</v>
      </c>
      <c r="I470" s="8">
        <f>_xlfn.IFS(H470="Rendah",'B.kriteria &amp; R.kecocokan'!$C$41,H470="Sedang",'B.kriteria &amp; R.kecocokan'!$C$42,H470="Tinggi",'B.kriteria &amp; R.kecocokan'!$C$43)</f>
        <v>2.5</v>
      </c>
      <c r="J470" s="8" t="str">
        <f>'B.kriteria &amp; R.kecocokan'!$B$72</f>
        <v>Rendah</v>
      </c>
      <c r="K470" s="8">
        <f>_xlfn.IFS(J470="Rendah",'B.kriteria &amp; R.kecocokan'!$C$72,J470="Sedang",'B.kriteria &amp; R.kecocokan'!$C$73,J470="Tinggi",'B.kriteria &amp; R.kecocokan'!$C$74)</f>
        <v>2.5</v>
      </c>
      <c r="L470" s="8" t="str">
        <f>'B.kriteria &amp; R.kecocokan'!$B$95</f>
        <v>Rendah</v>
      </c>
      <c r="M470" s="8">
        <f>_xlfn.IFS(L470="Rendah",'B.kriteria &amp; R.kecocokan'!$C$95,L470="Tinggi",'B.kriteria &amp; R.kecocokan'!$C$96)</f>
        <v>2.5</v>
      </c>
      <c r="N470" s="9" t="str">
        <f>'B.kriteria &amp; R.kecocokan'!$B$81</f>
        <v>Tinggi</v>
      </c>
      <c r="O470" s="8">
        <f>_xlfn.IFS(N470="Rendah",'B.kriteria &amp; R.kecocokan'!$C$80,N470="Tinggi",'B.kriteria &amp; R.kecocokan'!$C$81)</f>
        <v>7.5</v>
      </c>
      <c r="P470" s="9" t="str">
        <f>'B.kriteria &amp; R.kecocokan'!$B$90</f>
        <v>Sangat Sedikit</v>
      </c>
      <c r="Q470" s="8">
        <f>_xlfn.IFS(P470="Sedikit",'B.kriteria &amp; R.kecocokan'!$C$89,P470="Sedang",'B.kriteria &amp; R.kecocokan'!$C$88,P470="Sangat Sedikit",'B.kriteria &amp; R.kecocokan'!$C$90)</f>
        <v>1</v>
      </c>
      <c r="R470" s="8" t="str">
        <f>'B.kriteria &amp; R.kecocokan'!$B$49</f>
        <v>Rendah</v>
      </c>
      <c r="S470" s="8">
        <f>_xlfn.IFS(R470="Rendah",'B.kriteria &amp; R.kecocokan'!$C$49,R470="Sedang",'B.kriteria &amp; R.kecocokan'!$C$50,R470="Tinggi",'B.kriteria &amp; R.kecocokan'!$C$51)</f>
        <v>2.5</v>
      </c>
      <c r="T470" s="8" t="str">
        <f>'B.kriteria &amp; R.kecocokan'!$B$57</f>
        <v>Rendah</v>
      </c>
      <c r="U470" s="51">
        <f>_xlfn.IFS(T470="Rendah",'B.kriteria &amp; R.kecocokan'!$C$57,T470="Sedang",'B.kriteria &amp; R.kecocokan'!$C$58,T470="Tinggi",'B.kriteria &amp; R.kecocokan'!$C$59)</f>
        <v>2.5</v>
      </c>
      <c r="V470" s="51" t="str">
        <f>'B.kriteria &amp; R.kecocokan'!$B$65</f>
        <v>Rendah</v>
      </c>
      <c r="W470" s="9">
        <f>_xlfn.IFS(V470="Rendah",'B.kriteria &amp; R.kecocokan'!$C$65,V470="Sedang",'B.kriteria &amp; R.kecocokan'!$C$66,V470="Tinggi",'B.kriteria &amp; R.kecocokan'!$C$67)</f>
        <v>1</v>
      </c>
      <c r="X470" s="117">
        <f t="shared" si="44"/>
        <v>1.9814758482999792</v>
      </c>
      <c r="Y470" s="117">
        <f t="shared" si="45"/>
        <v>6.2607953110031191</v>
      </c>
      <c r="Z470" s="119">
        <f t="shared" si="46"/>
        <v>1.9814758482999792</v>
      </c>
      <c r="AA470" s="55" t="str">
        <f t="shared" si="47"/>
        <v>Layak</v>
      </c>
    </row>
    <row r="471" spans="1:27" x14ac:dyDescent="0.35">
      <c r="A471" s="5">
        <v>40</v>
      </c>
      <c r="B471" s="2" t="s">
        <v>88</v>
      </c>
      <c r="C471" s="11" t="s">
        <v>13</v>
      </c>
      <c r="D471" s="32" t="str">
        <f>'B.kriteria &amp; R.kecocokan'!$B$24</f>
        <v>Cukup</v>
      </c>
      <c r="E471" s="111">
        <f>_xlfn.IFS(D471="Banyak",'B.kriteria &amp; R.kecocokan'!$C$23,D471="Cukup",'B.kriteria &amp; R.kecocokan'!$C$24,D471="Sedikit",'B.kriteria &amp; R.kecocokan'!$C$25)</f>
        <v>5</v>
      </c>
      <c r="F471" s="9" t="str">
        <f>'B.kriteria &amp; R.kecocokan'!$B$34</f>
        <v>Tinggi</v>
      </c>
      <c r="G471" s="8">
        <f>_xlfn.IFS(F471="Tinggi",'B.kriteria &amp; R.kecocokan'!$C$34,F471="Sangat Tinggi",'B.kriteria &amp; R.kecocokan'!$C$35)</f>
        <v>7.5</v>
      </c>
      <c r="H471" s="9" t="str">
        <f>'B.kriteria &amp; R.kecocokan'!$B$43</f>
        <v>Tinggi</v>
      </c>
      <c r="I471" s="8">
        <f>_xlfn.IFS(H471="Rendah",'B.kriteria &amp; R.kecocokan'!$C$41,H471="Sedang",'B.kriteria &amp; R.kecocokan'!$C$42,H471="Tinggi",'B.kriteria &amp; R.kecocokan'!$C$43)</f>
        <v>7.5</v>
      </c>
      <c r="J471" s="8" t="str">
        <f>'B.kriteria &amp; R.kecocokan'!$B$72</f>
        <v>Rendah</v>
      </c>
      <c r="K471" s="8">
        <f>_xlfn.IFS(J471="Rendah",'B.kriteria &amp; R.kecocokan'!$C$72,J471="Sedang",'B.kriteria &amp; R.kecocokan'!$C$73,J471="Tinggi",'B.kriteria &amp; R.kecocokan'!$C$74)</f>
        <v>2.5</v>
      </c>
      <c r="L471" s="8" t="str">
        <f>'B.kriteria &amp; R.kecocokan'!$B$95</f>
        <v>Rendah</v>
      </c>
      <c r="M471" s="8">
        <f>_xlfn.IFS(L471="Rendah",'B.kriteria &amp; R.kecocokan'!$C$95,L471="Tinggi",'B.kriteria &amp; R.kecocokan'!$C$96)</f>
        <v>2.5</v>
      </c>
      <c r="N471" s="8" t="str">
        <f>'B.kriteria &amp; R.kecocokan'!$B$80</f>
        <v>Rendah</v>
      </c>
      <c r="O471" s="8">
        <f>_xlfn.IFS(N471="Rendah",'B.kriteria &amp; R.kecocokan'!$C$80,N471="Tinggi",'B.kriteria &amp; R.kecocokan'!$C$81)</f>
        <v>2.5</v>
      </c>
      <c r="P471" s="9" t="str">
        <f>'B.kriteria &amp; R.kecocokan'!$B$88</f>
        <v>Sedang</v>
      </c>
      <c r="Q471" s="8">
        <f>_xlfn.IFS(P471="Sedikit",'B.kriteria &amp; R.kecocokan'!$C$89,P471="Sedang",'B.kriteria &amp; R.kecocokan'!$C$88,P471="Sangat Sedikit",'B.kriteria &amp; R.kecocokan'!$C$90)</f>
        <v>5</v>
      </c>
      <c r="R471" s="8" t="str">
        <f>'B.kriteria &amp; R.kecocokan'!$B$49</f>
        <v>Rendah</v>
      </c>
      <c r="S471" s="8">
        <f>_xlfn.IFS(R471="Rendah",'B.kriteria &amp; R.kecocokan'!$C$49,R471="Sedang",'B.kriteria &amp; R.kecocokan'!$C$50,R471="Tinggi",'B.kriteria &amp; R.kecocokan'!$C$51)</f>
        <v>2.5</v>
      </c>
      <c r="T471" s="8" t="str">
        <f>'B.kriteria &amp; R.kecocokan'!$B$57</f>
        <v>Rendah</v>
      </c>
      <c r="U471" s="51">
        <f>_xlfn.IFS(T471="Rendah",'B.kriteria &amp; R.kecocokan'!$C$57,T471="Sedang",'B.kriteria &amp; R.kecocokan'!$C$58,T471="Tinggi",'B.kriteria &amp; R.kecocokan'!$C$59)</f>
        <v>2.5</v>
      </c>
      <c r="V471" s="51" t="str">
        <f>'B.kriteria &amp; R.kecocokan'!$B$65</f>
        <v>Rendah</v>
      </c>
      <c r="W471" s="9">
        <f>_xlfn.IFS(V471="Rendah",'B.kriteria &amp; R.kecocokan'!$C$65,V471="Sedang",'B.kriteria &amp; R.kecocokan'!$C$66,V471="Tinggi",'B.kriteria &amp; R.kecocokan'!$C$67)</f>
        <v>1</v>
      </c>
      <c r="X471" s="117">
        <f t="shared" si="44"/>
        <v>7.9541405444305555</v>
      </c>
      <c r="Y471" s="117">
        <f t="shared" si="45"/>
        <v>4.662726546916355</v>
      </c>
      <c r="Z471" s="119">
        <f t="shared" si="46"/>
        <v>4.662726546916355</v>
      </c>
      <c r="AA471" s="55" t="str">
        <f t="shared" si="47"/>
        <v>Tidak Layak</v>
      </c>
    </row>
    <row r="472" spans="1:27" x14ac:dyDescent="0.35">
      <c r="A472" s="1">
        <v>41</v>
      </c>
      <c r="B472" s="2" t="s">
        <v>89</v>
      </c>
      <c r="C472" s="11" t="s">
        <v>13</v>
      </c>
      <c r="D472" s="9" t="str">
        <f>'B.kriteria &amp; R.kecocokan'!$B$23</f>
        <v>Banyak</v>
      </c>
      <c r="E472" s="111">
        <f>_xlfn.IFS(D472="Banyak",'B.kriteria &amp; R.kecocokan'!$C$23,D472="Cukup",'B.kriteria &amp; R.kecocokan'!$C$24,D472="Sedikit",'B.kriteria &amp; R.kecocokan'!$C$25)</f>
        <v>2.5</v>
      </c>
      <c r="F472" s="9" t="str">
        <f>'B.kriteria &amp; R.kecocokan'!$B$34</f>
        <v>Tinggi</v>
      </c>
      <c r="G472" s="8">
        <f>_xlfn.IFS(F472="Tinggi",'B.kriteria &amp; R.kecocokan'!$C$34,F472="Sangat Tinggi",'B.kriteria &amp; R.kecocokan'!$C$35)</f>
        <v>7.5</v>
      </c>
      <c r="H472" s="8" t="str">
        <f>'B.kriteria &amp; R.kecocokan'!$B$41</f>
        <v>Rendah</v>
      </c>
      <c r="I472" s="8">
        <f>_xlfn.IFS(H472="Rendah",'B.kriteria &amp; R.kecocokan'!$C$41,H472="Sedang",'B.kriteria &amp; R.kecocokan'!$C$42,H472="Tinggi",'B.kriteria &amp; R.kecocokan'!$C$43)</f>
        <v>2.5</v>
      </c>
      <c r="J472" s="8" t="str">
        <f>'B.kriteria &amp; R.kecocokan'!$B$72</f>
        <v>Rendah</v>
      </c>
      <c r="K472" s="8">
        <f>_xlfn.IFS(J472="Rendah",'B.kriteria &amp; R.kecocokan'!$C$72,J472="Sedang",'B.kriteria &amp; R.kecocokan'!$C$73,J472="Tinggi",'B.kriteria &amp; R.kecocokan'!$C$74)</f>
        <v>2.5</v>
      </c>
      <c r="L472" s="8" t="str">
        <f>'B.kriteria &amp; R.kecocokan'!$B$95</f>
        <v>Rendah</v>
      </c>
      <c r="M472" s="8">
        <f>_xlfn.IFS(L472="Rendah",'B.kriteria &amp; R.kecocokan'!$C$95,L472="Tinggi",'B.kriteria &amp; R.kecocokan'!$C$96)</f>
        <v>2.5</v>
      </c>
      <c r="N472" s="9" t="str">
        <f>'B.kriteria &amp; R.kecocokan'!$B$81</f>
        <v>Tinggi</v>
      </c>
      <c r="O472" s="8">
        <f>_xlfn.IFS(N472="Rendah",'B.kriteria &amp; R.kecocokan'!$C$80,N472="Tinggi",'B.kriteria &amp; R.kecocokan'!$C$81)</f>
        <v>7.5</v>
      </c>
      <c r="P472" s="9" t="str">
        <f>'B.kriteria &amp; R.kecocokan'!$B$90</f>
        <v>Sangat Sedikit</v>
      </c>
      <c r="Q472" s="8">
        <f>_xlfn.IFS(P472="Sedikit",'B.kriteria &amp; R.kecocokan'!$C$89,P472="Sedang",'B.kriteria &amp; R.kecocokan'!$C$88,P472="Sangat Sedikit",'B.kriteria &amp; R.kecocokan'!$C$90)</f>
        <v>1</v>
      </c>
      <c r="R472" s="8" t="str">
        <f>'B.kriteria &amp; R.kecocokan'!$B$49</f>
        <v>Rendah</v>
      </c>
      <c r="S472" s="8">
        <f>_xlfn.IFS(R472="Rendah",'B.kriteria &amp; R.kecocokan'!$C$49,R472="Sedang",'B.kriteria &amp; R.kecocokan'!$C$50,R472="Tinggi",'B.kriteria &amp; R.kecocokan'!$C$51)</f>
        <v>2.5</v>
      </c>
      <c r="T472" s="8" t="str">
        <f>'B.kriteria &amp; R.kecocokan'!$B$57</f>
        <v>Rendah</v>
      </c>
      <c r="U472" s="51">
        <f>_xlfn.IFS(T472="Rendah",'B.kriteria &amp; R.kecocokan'!$C$57,T472="Sedang",'B.kriteria &amp; R.kecocokan'!$C$58,T472="Tinggi",'B.kriteria &amp; R.kecocokan'!$C$59)</f>
        <v>2.5</v>
      </c>
      <c r="V472" s="51" t="str">
        <f>'B.kriteria &amp; R.kecocokan'!$B$65</f>
        <v>Rendah</v>
      </c>
      <c r="W472" s="9">
        <f>_xlfn.IFS(V472="Rendah",'B.kriteria &amp; R.kecocokan'!$C$65,V472="Sedang",'B.kriteria &amp; R.kecocokan'!$C$66,V472="Tinggi",'B.kriteria &amp; R.kecocokan'!$C$67)</f>
        <v>1</v>
      </c>
      <c r="X472" s="117">
        <f t="shared" si="44"/>
        <v>3.8872171361671977</v>
      </c>
      <c r="Y472" s="117">
        <f t="shared" si="45"/>
        <v>6.0765805066296439</v>
      </c>
      <c r="Z472" s="119">
        <f t="shared" si="46"/>
        <v>3.8872171361671977</v>
      </c>
      <c r="AA472" s="55" t="str">
        <f t="shared" si="47"/>
        <v>Layak</v>
      </c>
    </row>
    <row r="473" spans="1:27" x14ac:dyDescent="0.35">
      <c r="A473" s="5">
        <v>42</v>
      </c>
      <c r="B473" s="2" t="s">
        <v>91</v>
      </c>
      <c r="C473" s="11" t="s">
        <v>92</v>
      </c>
      <c r="D473" s="28" t="str">
        <f>'B.kriteria &amp; R.kecocokan'!$B$25</f>
        <v>Sedikit</v>
      </c>
      <c r="E473" s="111">
        <f>_xlfn.IFS(D473="Banyak",'B.kriteria &amp; R.kecocokan'!$C$23,D473="Cukup",'B.kriteria &amp; R.kecocokan'!$C$24,D473="Sedikit",'B.kriteria &amp; R.kecocokan'!$C$25)</f>
        <v>7.5</v>
      </c>
      <c r="F473" s="9" t="str">
        <f>'B.kriteria &amp; R.kecocokan'!$B$34</f>
        <v>Tinggi</v>
      </c>
      <c r="G473" s="8">
        <f>_xlfn.IFS(F473="Tinggi",'B.kriteria &amp; R.kecocokan'!$C$34,F473="Sangat Tinggi",'B.kriteria &amp; R.kecocokan'!$C$35)</f>
        <v>7.5</v>
      </c>
      <c r="H473" s="8" t="str">
        <f>'B.kriteria &amp; R.kecocokan'!$B$41</f>
        <v>Rendah</v>
      </c>
      <c r="I473" s="8">
        <f>_xlfn.IFS(H473="Rendah",'B.kriteria &amp; R.kecocokan'!$C$41,H473="Sedang",'B.kriteria &amp; R.kecocokan'!$C$42,H473="Tinggi",'B.kriteria &amp; R.kecocokan'!$C$43)</f>
        <v>2.5</v>
      </c>
      <c r="J473" s="8" t="str">
        <f>'B.kriteria &amp; R.kecocokan'!$B$72</f>
        <v>Rendah</v>
      </c>
      <c r="K473" s="8">
        <f>_xlfn.IFS(J473="Rendah",'B.kriteria &amp; R.kecocokan'!$C$72,J473="Sedang",'B.kriteria &amp; R.kecocokan'!$C$73,J473="Tinggi",'B.kriteria &amp; R.kecocokan'!$C$74)</f>
        <v>2.5</v>
      </c>
      <c r="L473" s="8" t="str">
        <f>'B.kriteria &amp; R.kecocokan'!$B$95</f>
        <v>Rendah</v>
      </c>
      <c r="M473" s="8">
        <f>_xlfn.IFS(L473="Rendah",'B.kriteria &amp; R.kecocokan'!$C$95,L473="Tinggi",'B.kriteria &amp; R.kecocokan'!$C$96)</f>
        <v>2.5</v>
      </c>
      <c r="N473" s="9" t="str">
        <f>'B.kriteria &amp; R.kecocokan'!$B$81</f>
        <v>Tinggi</v>
      </c>
      <c r="O473" s="8">
        <f>_xlfn.IFS(N473="Rendah",'B.kriteria &amp; R.kecocokan'!$C$80,N473="Tinggi",'B.kriteria &amp; R.kecocokan'!$C$81)</f>
        <v>7.5</v>
      </c>
      <c r="P473" s="9" t="str">
        <f>'B.kriteria &amp; R.kecocokan'!$B$88</f>
        <v>Sedang</v>
      </c>
      <c r="Q473" s="8">
        <f>_xlfn.IFS(P473="Sedikit",'B.kriteria &amp; R.kecocokan'!$C$89,P473="Sedang",'B.kriteria &amp; R.kecocokan'!$C$88,P473="Sangat Sedikit",'B.kriteria &amp; R.kecocokan'!$C$90)</f>
        <v>5</v>
      </c>
      <c r="R473" s="9" t="str">
        <f>'B.kriteria &amp; R.kecocokan'!$B$50</f>
        <v>Sedang</v>
      </c>
      <c r="S473" s="8">
        <f>_xlfn.IFS(R473="Rendah",'B.kriteria &amp; R.kecocokan'!$C$49,R473="Sedang",'B.kriteria &amp; R.kecocokan'!$C$50,R473="Tinggi",'B.kriteria &amp; R.kecocokan'!$C$51)</f>
        <v>5</v>
      </c>
      <c r="T473" s="8" t="str">
        <f>'B.kriteria &amp; R.kecocokan'!$B$57</f>
        <v>Rendah</v>
      </c>
      <c r="U473" s="51">
        <f>_xlfn.IFS(T473="Rendah",'B.kriteria &amp; R.kecocokan'!$C$57,T473="Sedang",'B.kriteria &amp; R.kecocokan'!$C$58,T473="Tinggi",'B.kriteria &amp; R.kecocokan'!$C$59)</f>
        <v>2.5</v>
      </c>
      <c r="V473" s="51" t="str">
        <f>'B.kriteria &amp; R.kecocokan'!$B$65</f>
        <v>Rendah</v>
      </c>
      <c r="W473" s="9">
        <f>_xlfn.IFS(V473="Rendah",'B.kriteria &amp; R.kecocokan'!$C$65,V473="Sedang",'B.kriteria &amp; R.kecocokan'!$C$66,V473="Tinggi",'B.kriteria &amp; R.kecocokan'!$C$67)</f>
        <v>1</v>
      </c>
      <c r="X473" s="117">
        <f t="shared" si="44"/>
        <v>4.4179578767292487</v>
      </c>
      <c r="Y473" s="117">
        <f t="shared" si="45"/>
        <v>6.5111386367770798</v>
      </c>
      <c r="Z473" s="119">
        <f t="shared" si="46"/>
        <v>4.4179578767292487</v>
      </c>
      <c r="AA473" s="55" t="str">
        <f t="shared" si="47"/>
        <v>Layak</v>
      </c>
    </row>
    <row r="474" spans="1:27" x14ac:dyDescent="0.35">
      <c r="A474" s="5">
        <v>43</v>
      </c>
      <c r="B474" s="2" t="s">
        <v>94</v>
      </c>
      <c r="C474" s="11" t="s">
        <v>95</v>
      </c>
      <c r="D474" s="28" t="str">
        <f>'B.kriteria &amp; R.kecocokan'!$B$25</f>
        <v>Sedikit</v>
      </c>
      <c r="E474" s="111">
        <f>_xlfn.IFS(D474="Banyak",'B.kriteria &amp; R.kecocokan'!$C$23,D474="Cukup",'B.kriteria &amp; R.kecocokan'!$C$24,D474="Sedikit",'B.kriteria &amp; R.kecocokan'!$C$25)</f>
        <v>7.5</v>
      </c>
      <c r="F474" s="9" t="str">
        <f>'B.kriteria &amp; R.kecocokan'!$B$34</f>
        <v>Tinggi</v>
      </c>
      <c r="G474" s="8">
        <f>_xlfn.IFS(F474="Tinggi",'B.kriteria &amp; R.kecocokan'!$C$34,F474="Sangat Tinggi",'B.kriteria &amp; R.kecocokan'!$C$35)</f>
        <v>7.5</v>
      </c>
      <c r="H474" s="8" t="str">
        <f>'B.kriteria &amp; R.kecocokan'!$B$41</f>
        <v>Rendah</v>
      </c>
      <c r="I474" s="8">
        <f>_xlfn.IFS(H474="Rendah",'B.kriteria &amp; R.kecocokan'!$C$41,H474="Sedang",'B.kriteria &amp; R.kecocokan'!$C$42,H474="Tinggi",'B.kriteria &amp; R.kecocokan'!$C$43)</f>
        <v>2.5</v>
      </c>
      <c r="J474" s="8" t="str">
        <f>'B.kriteria &amp; R.kecocokan'!$B$72</f>
        <v>Rendah</v>
      </c>
      <c r="K474" s="8">
        <f>_xlfn.IFS(J474="Rendah",'B.kriteria &amp; R.kecocokan'!$C$72,J474="Sedang",'B.kriteria &amp; R.kecocokan'!$C$73,J474="Tinggi",'B.kriteria &amp; R.kecocokan'!$C$74)</f>
        <v>2.5</v>
      </c>
      <c r="L474" s="8" t="str">
        <f>'B.kriteria &amp; R.kecocokan'!$B$95</f>
        <v>Rendah</v>
      </c>
      <c r="M474" s="8">
        <f>_xlfn.IFS(L474="Rendah",'B.kriteria &amp; R.kecocokan'!$C$95,L474="Tinggi",'B.kriteria &amp; R.kecocokan'!$C$96)</f>
        <v>2.5</v>
      </c>
      <c r="N474" s="8" t="str">
        <f>'B.kriteria &amp; R.kecocokan'!$B$80</f>
        <v>Rendah</v>
      </c>
      <c r="O474" s="8">
        <f>_xlfn.IFS(N474="Rendah",'B.kriteria &amp; R.kecocokan'!$C$80,N474="Tinggi",'B.kriteria &amp; R.kecocokan'!$C$81)</f>
        <v>2.5</v>
      </c>
      <c r="P474" s="9" t="str">
        <f>'B.kriteria &amp; R.kecocokan'!$B$90</f>
        <v>Sangat Sedikit</v>
      </c>
      <c r="Q474" s="8">
        <f>_xlfn.IFS(P474="Sedikit",'B.kriteria &amp; R.kecocokan'!$C$89,P474="Sedang",'B.kriteria &amp; R.kecocokan'!$C$88,P474="Sangat Sedikit",'B.kriteria &amp; R.kecocokan'!$C$90)</f>
        <v>1</v>
      </c>
      <c r="R474" s="8" t="str">
        <f>'B.kriteria &amp; R.kecocokan'!$B$49</f>
        <v>Rendah</v>
      </c>
      <c r="S474" s="8">
        <f>_xlfn.IFS(R474="Rendah",'B.kriteria &amp; R.kecocokan'!$C$49,R474="Sedang",'B.kriteria &amp; R.kecocokan'!$C$50,R474="Tinggi",'B.kriteria &amp; R.kecocokan'!$C$51)</f>
        <v>2.5</v>
      </c>
      <c r="T474" s="8" t="str">
        <f>'B.kriteria &amp; R.kecocokan'!$B$57</f>
        <v>Rendah</v>
      </c>
      <c r="U474" s="51">
        <f>_xlfn.IFS(T474="Rendah",'B.kriteria &amp; R.kecocokan'!$C$57,T474="Sedang",'B.kriteria &amp; R.kecocokan'!$C$58,T474="Tinggi",'B.kriteria &amp; R.kecocokan'!$C$59)</f>
        <v>2.5</v>
      </c>
      <c r="V474" s="51" t="str">
        <f>'B.kriteria &amp; R.kecocokan'!$B$65</f>
        <v>Rendah</v>
      </c>
      <c r="W474" s="9">
        <f>_xlfn.IFS(V474="Rendah",'B.kriteria &amp; R.kecocokan'!$C$65,V474="Sedang",'B.kriteria &amp; R.kecocokan'!$C$66,V474="Tinggi",'B.kriteria &amp; R.kecocokan'!$C$67)</f>
        <v>1</v>
      </c>
      <c r="X474" s="117">
        <f t="shared" si="44"/>
        <v>5.3783126106053114</v>
      </c>
      <c r="Y474" s="117">
        <f t="shared" si="45"/>
        <v>3.6497075148321834</v>
      </c>
      <c r="Z474" s="119">
        <f t="shared" si="46"/>
        <v>3.6497075148321834</v>
      </c>
      <c r="AA474" s="55" t="str">
        <f t="shared" si="47"/>
        <v>Tidak Layak</v>
      </c>
    </row>
    <row r="475" spans="1:27" x14ac:dyDescent="0.35">
      <c r="A475" s="1">
        <v>44</v>
      </c>
      <c r="B475" s="2" t="s">
        <v>96</v>
      </c>
      <c r="C475" s="11" t="s">
        <v>95</v>
      </c>
      <c r="D475" s="28" t="str">
        <f>'B.kriteria &amp; R.kecocokan'!$B$25</f>
        <v>Sedikit</v>
      </c>
      <c r="E475" s="111">
        <f>_xlfn.IFS(D475="Banyak",'B.kriteria &amp; R.kecocokan'!$C$23,D475="Cukup",'B.kriteria &amp; R.kecocokan'!$C$24,D475="Sedikit",'B.kriteria &amp; R.kecocokan'!$C$25)</f>
        <v>7.5</v>
      </c>
      <c r="F475" s="9" t="str">
        <f>'B.kriteria &amp; R.kecocokan'!$B$35</f>
        <v>Sangat Tinggi</v>
      </c>
      <c r="G475" s="8">
        <f>_xlfn.IFS(F475="Tinggi",'B.kriteria &amp; R.kecocokan'!$C$34,F475="Sangat Tinggi",'B.kriteria &amp; R.kecocokan'!$C$35)</f>
        <v>10</v>
      </c>
      <c r="H475" s="8" t="str">
        <f>'B.kriteria &amp; R.kecocokan'!$B$41</f>
        <v>Rendah</v>
      </c>
      <c r="I475" s="8">
        <f>_xlfn.IFS(H475="Rendah",'B.kriteria &amp; R.kecocokan'!$C$41,H475="Sedang",'B.kriteria &amp; R.kecocokan'!$C$42,H475="Tinggi",'B.kriteria &amp; R.kecocokan'!$C$43)</f>
        <v>2.5</v>
      </c>
      <c r="J475" s="8" t="str">
        <f>'B.kriteria &amp; R.kecocokan'!$B$72</f>
        <v>Rendah</v>
      </c>
      <c r="K475" s="8">
        <f>_xlfn.IFS(J475="Rendah",'B.kriteria &amp; R.kecocokan'!$C$72,J475="Sedang",'B.kriteria &amp; R.kecocokan'!$C$73,J475="Tinggi",'B.kriteria &amp; R.kecocokan'!$C$74)</f>
        <v>2.5</v>
      </c>
      <c r="L475" s="8" t="str">
        <f>'B.kriteria &amp; R.kecocokan'!$B$95</f>
        <v>Rendah</v>
      </c>
      <c r="M475" s="8">
        <f>_xlfn.IFS(L475="Rendah",'B.kriteria &amp; R.kecocokan'!$C$95,L475="Tinggi",'B.kriteria &amp; R.kecocokan'!$C$96)</f>
        <v>2.5</v>
      </c>
      <c r="N475" s="9" t="str">
        <f>'B.kriteria &amp; R.kecocokan'!$B$81</f>
        <v>Tinggi</v>
      </c>
      <c r="O475" s="8">
        <f>_xlfn.IFS(N475="Rendah",'B.kriteria &amp; R.kecocokan'!$C$80,N475="Tinggi",'B.kriteria &amp; R.kecocokan'!$C$81)</f>
        <v>7.5</v>
      </c>
      <c r="P475" s="9" t="str">
        <f>'B.kriteria &amp; R.kecocokan'!$B$90</f>
        <v>Sangat Sedikit</v>
      </c>
      <c r="Q475" s="8">
        <f>_xlfn.IFS(P475="Sedikit",'B.kriteria &amp; R.kecocokan'!$C$89,P475="Sedang",'B.kriteria &amp; R.kecocokan'!$C$88,P475="Sangat Sedikit",'B.kriteria &amp; R.kecocokan'!$C$90)</f>
        <v>1</v>
      </c>
      <c r="R475" s="9" t="str">
        <f>'B.kriteria &amp; R.kecocokan'!$B$50</f>
        <v>Sedang</v>
      </c>
      <c r="S475" s="8">
        <f>_xlfn.IFS(R475="Rendah",'B.kriteria &amp; R.kecocokan'!$C$49,R475="Sedang",'B.kriteria &amp; R.kecocokan'!$C$50,R475="Tinggi",'B.kriteria &amp; R.kecocokan'!$C$51)</f>
        <v>5</v>
      </c>
      <c r="T475" s="9" t="str">
        <f>'B.kriteria &amp; R.kecocokan'!$B$59</f>
        <v>Tinggi</v>
      </c>
      <c r="U475" s="51">
        <f>_xlfn.IFS(T475="Rendah",'B.kriteria &amp; R.kecocokan'!$C$57,T475="Sedang",'B.kriteria &amp; R.kecocokan'!$C$58,T475="Tinggi",'B.kriteria &amp; R.kecocokan'!$C$59)</f>
        <v>7.5</v>
      </c>
      <c r="V475" s="51" t="str">
        <f>'B.kriteria &amp; R.kecocokan'!$B$65</f>
        <v>Rendah</v>
      </c>
      <c r="W475" s="9">
        <f>_xlfn.IFS(V475="Rendah",'B.kriteria &amp; R.kecocokan'!$C$65,V475="Sedang",'B.kriteria &amp; R.kecocokan'!$C$66,V475="Tinggi",'B.kriteria &amp; R.kecocokan'!$C$67)</f>
        <v>1</v>
      </c>
      <c r="X475" s="117">
        <f t="shared" si="44"/>
        <v>5.0306883708658141</v>
      </c>
      <c r="Y475" s="117">
        <f t="shared" si="45"/>
        <v>8.4389040630835339</v>
      </c>
      <c r="Z475" s="119">
        <f t="shared" si="46"/>
        <v>5.0306883708658141</v>
      </c>
      <c r="AA475" s="55" t="str">
        <f t="shared" si="47"/>
        <v>Layak</v>
      </c>
    </row>
    <row r="476" spans="1:27" x14ac:dyDescent="0.35">
      <c r="A476" s="5">
        <v>45</v>
      </c>
      <c r="B476" s="2" t="s">
        <v>98</v>
      </c>
      <c r="C476" s="11" t="s">
        <v>95</v>
      </c>
      <c r="D476" s="32" t="str">
        <f>'B.kriteria &amp; R.kecocokan'!$B$24</f>
        <v>Cukup</v>
      </c>
      <c r="E476" s="111">
        <f>_xlfn.IFS(D476="Banyak",'B.kriteria &amp; R.kecocokan'!$C$23,D476="Cukup",'B.kriteria &amp; R.kecocokan'!$C$24,D476="Sedikit",'B.kriteria &amp; R.kecocokan'!$C$25)</f>
        <v>5</v>
      </c>
      <c r="F476" s="9" t="str">
        <f>'B.kriteria &amp; R.kecocokan'!$B$34</f>
        <v>Tinggi</v>
      </c>
      <c r="G476" s="8">
        <f>_xlfn.IFS(F476="Tinggi",'B.kriteria &amp; R.kecocokan'!$C$34,F476="Sangat Tinggi",'B.kriteria &amp; R.kecocokan'!$C$35)</f>
        <v>7.5</v>
      </c>
      <c r="H476" s="8" t="str">
        <f>'B.kriteria &amp; R.kecocokan'!$B$41</f>
        <v>Rendah</v>
      </c>
      <c r="I476" s="8">
        <f>_xlfn.IFS(H476="Rendah",'B.kriteria &amp; R.kecocokan'!$C$41,H476="Sedang",'B.kriteria &amp; R.kecocokan'!$C$42,H476="Tinggi",'B.kriteria &amp; R.kecocokan'!$C$43)</f>
        <v>2.5</v>
      </c>
      <c r="J476" s="8" t="str">
        <f>'B.kriteria &amp; R.kecocokan'!$B$72</f>
        <v>Rendah</v>
      </c>
      <c r="K476" s="8">
        <f>_xlfn.IFS(J476="Rendah",'B.kriteria &amp; R.kecocokan'!$C$72,J476="Sedang",'B.kriteria &amp; R.kecocokan'!$C$73,J476="Tinggi",'B.kriteria &amp; R.kecocokan'!$C$74)</f>
        <v>2.5</v>
      </c>
      <c r="L476" s="8" t="str">
        <f>'B.kriteria &amp; R.kecocokan'!$B$95</f>
        <v>Rendah</v>
      </c>
      <c r="M476" s="8">
        <f>_xlfn.IFS(L476="Rendah",'B.kriteria &amp; R.kecocokan'!$C$95,L476="Tinggi",'B.kriteria &amp; R.kecocokan'!$C$96)</f>
        <v>2.5</v>
      </c>
      <c r="N476" s="9" t="str">
        <f>'B.kriteria &amp; R.kecocokan'!$B$81</f>
        <v>Tinggi</v>
      </c>
      <c r="O476" s="8">
        <f>_xlfn.IFS(N476="Rendah",'B.kriteria &amp; R.kecocokan'!$C$80,N476="Tinggi",'B.kriteria &amp; R.kecocokan'!$C$81)</f>
        <v>7.5</v>
      </c>
      <c r="P476" s="9" t="str">
        <f>'B.kriteria &amp; R.kecocokan'!$B$90</f>
        <v>Sangat Sedikit</v>
      </c>
      <c r="Q476" s="8">
        <f>_xlfn.IFS(P476="Sedikit",'B.kriteria &amp; R.kecocokan'!$C$89,P476="Sedang",'B.kriteria &amp; R.kecocokan'!$C$88,P476="Sangat Sedikit",'B.kriteria &amp; R.kecocokan'!$C$90)</f>
        <v>1</v>
      </c>
      <c r="R476" s="8" t="str">
        <f>'B.kriteria &amp; R.kecocokan'!$B$49</f>
        <v>Rendah</v>
      </c>
      <c r="S476" s="8">
        <f>_xlfn.IFS(R476="Rendah",'B.kriteria &amp; R.kecocokan'!$C$49,R476="Sedang",'B.kriteria &amp; R.kecocokan'!$C$50,R476="Tinggi",'B.kriteria &amp; R.kecocokan'!$C$51)</f>
        <v>2.5</v>
      </c>
      <c r="T476" s="8" t="str">
        <f>'B.kriteria &amp; R.kecocokan'!$B$57</f>
        <v>Rendah</v>
      </c>
      <c r="U476" s="51">
        <f>_xlfn.IFS(T476="Rendah",'B.kriteria &amp; R.kecocokan'!$C$57,T476="Sedang",'B.kriteria &amp; R.kecocokan'!$C$58,T476="Tinggi",'B.kriteria &amp; R.kecocokan'!$C$59)</f>
        <v>2.5</v>
      </c>
      <c r="V476" s="51" t="str">
        <f>'B.kriteria &amp; R.kecocokan'!$B$65</f>
        <v>Rendah</v>
      </c>
      <c r="W476" s="9">
        <f>_xlfn.IFS(V476="Rendah",'B.kriteria &amp; R.kecocokan'!$C$65,V476="Sedang",'B.kriteria &amp; R.kecocokan'!$C$66,V476="Tinggi",'B.kriteria &amp; R.kecocokan'!$C$67)</f>
        <v>1</v>
      </c>
      <c r="X476" s="117">
        <f t="shared" si="44"/>
        <v>1.8078583463739675</v>
      </c>
      <c r="Y476" s="117">
        <f t="shared" si="45"/>
        <v>5.6401413359875132</v>
      </c>
      <c r="Z476" s="119">
        <f t="shared" si="46"/>
        <v>1.8078583463739675</v>
      </c>
      <c r="AA476" s="55" t="str">
        <f t="shared" si="47"/>
        <v>Layak</v>
      </c>
    </row>
    <row r="477" spans="1:27" x14ac:dyDescent="0.35">
      <c r="A477" s="5">
        <v>46</v>
      </c>
      <c r="B477" s="2" t="s">
        <v>100</v>
      </c>
      <c r="C477" s="11" t="s">
        <v>92</v>
      </c>
      <c r="D477" s="32" t="str">
        <f>'B.kriteria &amp; R.kecocokan'!$B$24</f>
        <v>Cukup</v>
      </c>
      <c r="E477" s="111">
        <f>_xlfn.IFS(D477="Banyak",'B.kriteria &amp; R.kecocokan'!$C$23,D477="Cukup",'B.kriteria &amp; R.kecocokan'!$C$24,D477="Sedikit",'B.kriteria &amp; R.kecocokan'!$C$25)</f>
        <v>5</v>
      </c>
      <c r="F477" s="9" t="str">
        <f>'B.kriteria &amp; R.kecocokan'!$B$34</f>
        <v>Tinggi</v>
      </c>
      <c r="G477" s="8">
        <f>_xlfn.IFS(F477="Tinggi",'B.kriteria &amp; R.kecocokan'!$C$34,F477="Sangat Tinggi",'B.kriteria &amp; R.kecocokan'!$C$35)</f>
        <v>7.5</v>
      </c>
      <c r="H477" s="8" t="str">
        <f>'B.kriteria &amp; R.kecocokan'!$B$41</f>
        <v>Rendah</v>
      </c>
      <c r="I477" s="8">
        <f>_xlfn.IFS(H477="Rendah",'B.kriteria &amp; R.kecocokan'!$C$41,H477="Sedang",'B.kriteria &amp; R.kecocokan'!$C$42,H477="Tinggi",'B.kriteria &amp; R.kecocokan'!$C$43)</f>
        <v>2.5</v>
      </c>
      <c r="J477" s="8" t="str">
        <f>'B.kriteria &amp; R.kecocokan'!$B$72</f>
        <v>Rendah</v>
      </c>
      <c r="K477" s="8">
        <f>_xlfn.IFS(J477="Rendah",'B.kriteria &amp; R.kecocokan'!$C$72,J477="Sedang",'B.kriteria &amp; R.kecocokan'!$C$73,J477="Tinggi",'B.kriteria &amp; R.kecocokan'!$C$74)</f>
        <v>2.5</v>
      </c>
      <c r="L477" s="8" t="str">
        <f>'B.kriteria &amp; R.kecocokan'!$B$95</f>
        <v>Rendah</v>
      </c>
      <c r="M477" s="8">
        <f>_xlfn.IFS(L477="Rendah",'B.kriteria &amp; R.kecocokan'!$C$95,L477="Tinggi",'B.kriteria &amp; R.kecocokan'!$C$96)</f>
        <v>2.5</v>
      </c>
      <c r="N477" s="8" t="str">
        <f>'B.kriteria &amp; R.kecocokan'!$B$80</f>
        <v>Rendah</v>
      </c>
      <c r="O477" s="8">
        <f>_xlfn.IFS(N477="Rendah",'B.kriteria &amp; R.kecocokan'!$C$80,N477="Tinggi",'B.kriteria &amp; R.kecocokan'!$C$81)</f>
        <v>2.5</v>
      </c>
      <c r="P477" s="9" t="str">
        <f>'B.kriteria &amp; R.kecocokan'!$B$88</f>
        <v>Sedang</v>
      </c>
      <c r="Q477" s="8">
        <f>_xlfn.IFS(P477="Sedikit",'B.kriteria &amp; R.kecocokan'!$C$89,P477="Sedang",'B.kriteria &amp; R.kecocokan'!$C$88,P477="Sangat Sedikit",'B.kriteria &amp; R.kecocokan'!$C$90)</f>
        <v>5</v>
      </c>
      <c r="R477" s="8" t="str">
        <f>'B.kriteria &amp; R.kecocokan'!$B$49</f>
        <v>Rendah</v>
      </c>
      <c r="S477" s="8">
        <f>_xlfn.IFS(R477="Rendah",'B.kriteria &amp; R.kecocokan'!$C$49,R477="Sedang",'B.kriteria &amp; R.kecocokan'!$C$50,R477="Tinggi",'B.kriteria &amp; R.kecocokan'!$C$51)</f>
        <v>2.5</v>
      </c>
      <c r="T477" s="8" t="str">
        <f>'B.kriteria &amp; R.kecocokan'!$B$57</f>
        <v>Rendah</v>
      </c>
      <c r="U477" s="51">
        <f>_xlfn.IFS(T477="Rendah",'B.kriteria &amp; R.kecocokan'!$C$57,T477="Sedang",'B.kriteria &amp; R.kecocokan'!$C$58,T477="Tinggi",'B.kriteria &amp; R.kecocokan'!$C$59)</f>
        <v>2.5</v>
      </c>
      <c r="V477" s="51" t="str">
        <f>'B.kriteria &amp; R.kecocokan'!$B$65</f>
        <v>Rendah</v>
      </c>
      <c r="W477" s="9">
        <f>_xlfn.IFS(V477="Rendah",'B.kriteria &amp; R.kecocokan'!$C$65,V477="Sedang",'B.kriteria &amp; R.kecocokan'!$C$66,V477="Tinggi",'B.kriteria &amp; R.kecocokan'!$C$67)</f>
        <v>1</v>
      </c>
      <c r="X477" s="117">
        <f t="shared" si="44"/>
        <v>6.3953053678399474</v>
      </c>
      <c r="Y477" s="117">
        <f t="shared" si="45"/>
        <v>1.9387012949311315</v>
      </c>
      <c r="Z477" s="119">
        <f t="shared" si="46"/>
        <v>1.9387012949311315</v>
      </c>
      <c r="AA477" s="55" t="str">
        <f t="shared" si="47"/>
        <v>Tidak Layak</v>
      </c>
    </row>
    <row r="478" spans="1:27" x14ac:dyDescent="0.35">
      <c r="A478" s="1">
        <v>47</v>
      </c>
      <c r="B478" s="2" t="s">
        <v>101</v>
      </c>
      <c r="C478" s="11" t="s">
        <v>92</v>
      </c>
      <c r="D478" s="28" t="str">
        <f>'B.kriteria &amp; R.kecocokan'!$B$25</f>
        <v>Sedikit</v>
      </c>
      <c r="E478" s="111">
        <f>_xlfn.IFS(D478="Banyak",'B.kriteria &amp; R.kecocokan'!$C$23,D478="Cukup",'B.kriteria &amp; R.kecocokan'!$C$24,D478="Sedikit",'B.kriteria &amp; R.kecocokan'!$C$25)</f>
        <v>7.5</v>
      </c>
      <c r="F478" s="9" t="str">
        <f>'B.kriteria &amp; R.kecocokan'!$B$34</f>
        <v>Tinggi</v>
      </c>
      <c r="G478" s="8">
        <f>_xlfn.IFS(F478="Tinggi",'B.kriteria &amp; R.kecocokan'!$C$34,F478="Sangat Tinggi",'B.kriteria &amp; R.kecocokan'!$C$35)</f>
        <v>7.5</v>
      </c>
      <c r="H478" s="8" t="str">
        <f>'B.kriteria &amp; R.kecocokan'!$B$41</f>
        <v>Rendah</v>
      </c>
      <c r="I478" s="8">
        <f>_xlfn.IFS(H478="Rendah",'B.kriteria &amp; R.kecocokan'!$C$41,H478="Sedang",'B.kriteria &amp; R.kecocokan'!$C$42,H478="Tinggi",'B.kriteria &amp; R.kecocokan'!$C$43)</f>
        <v>2.5</v>
      </c>
      <c r="J478" s="8" t="str">
        <f>'B.kriteria &amp; R.kecocokan'!$B$72</f>
        <v>Rendah</v>
      </c>
      <c r="K478" s="8">
        <f>_xlfn.IFS(J478="Rendah",'B.kriteria &amp; R.kecocokan'!$C$72,J478="Sedang",'B.kriteria &amp; R.kecocokan'!$C$73,J478="Tinggi",'B.kriteria &amp; R.kecocokan'!$C$74)</f>
        <v>2.5</v>
      </c>
      <c r="L478" s="8" t="str">
        <f>'B.kriteria &amp; R.kecocokan'!$B$95</f>
        <v>Rendah</v>
      </c>
      <c r="M478" s="8">
        <f>_xlfn.IFS(L478="Rendah",'B.kriteria &amp; R.kecocokan'!$C$95,L478="Tinggi",'B.kriteria &amp; R.kecocokan'!$C$96)</f>
        <v>2.5</v>
      </c>
      <c r="N478" s="9" t="str">
        <f>'B.kriteria &amp; R.kecocokan'!$B$81</f>
        <v>Tinggi</v>
      </c>
      <c r="O478" s="8">
        <f>_xlfn.IFS(N478="Rendah",'B.kriteria &amp; R.kecocokan'!$C$80,N478="Tinggi",'B.kriteria &amp; R.kecocokan'!$C$81)</f>
        <v>7.5</v>
      </c>
      <c r="P478" s="9" t="str">
        <f>'B.kriteria &amp; R.kecocokan'!$B$90</f>
        <v>Sangat Sedikit</v>
      </c>
      <c r="Q478" s="8">
        <f>_xlfn.IFS(P478="Sedikit",'B.kriteria &amp; R.kecocokan'!$C$89,P478="Sedang",'B.kriteria &amp; R.kecocokan'!$C$88,P478="Sangat Sedikit",'B.kriteria &amp; R.kecocokan'!$C$90)</f>
        <v>1</v>
      </c>
      <c r="R478" s="8" t="str">
        <f>'B.kriteria &amp; R.kecocokan'!$B$49</f>
        <v>Rendah</v>
      </c>
      <c r="S478" s="8">
        <f>_xlfn.IFS(R478="Rendah",'B.kriteria &amp; R.kecocokan'!$C$49,R478="Sedang",'B.kriteria &amp; R.kecocokan'!$C$50,R478="Tinggi",'B.kriteria &amp; R.kecocokan'!$C$51)</f>
        <v>2.5</v>
      </c>
      <c r="T478" s="8" t="str">
        <f>'B.kriteria &amp; R.kecocokan'!$B$57</f>
        <v>Rendah</v>
      </c>
      <c r="U478" s="51">
        <f>_xlfn.IFS(T478="Rendah",'B.kriteria &amp; R.kecocokan'!$C$57,T478="Sedang",'B.kriteria &amp; R.kecocokan'!$C$58,T478="Tinggi",'B.kriteria &amp; R.kecocokan'!$C$59)</f>
        <v>2.5</v>
      </c>
      <c r="V478" s="51" t="str">
        <f>'B.kriteria &amp; R.kecocokan'!$B$65</f>
        <v>Rendah</v>
      </c>
      <c r="W478" s="9">
        <f>_xlfn.IFS(V478="Rendah",'B.kriteria &amp; R.kecocokan'!$C$65,V478="Sedang",'B.kriteria &amp; R.kecocokan'!$C$66,V478="Tinggi",'B.kriteria &amp; R.kecocokan'!$C$67)</f>
        <v>1</v>
      </c>
      <c r="X478" s="117">
        <f t="shared" si="44"/>
        <v>1.9814758482999792</v>
      </c>
      <c r="Y478" s="117">
        <f t="shared" si="45"/>
        <v>6.2607953110031191</v>
      </c>
      <c r="Z478" s="119">
        <f t="shared" si="46"/>
        <v>1.9814758482999792</v>
      </c>
      <c r="AA478" s="55" t="str">
        <f t="shared" si="47"/>
        <v>Layak</v>
      </c>
    </row>
    <row r="479" spans="1:27" x14ac:dyDescent="0.35">
      <c r="A479" s="5">
        <v>48</v>
      </c>
      <c r="B479" s="2" t="s">
        <v>102</v>
      </c>
      <c r="C479" s="11" t="s">
        <v>95</v>
      </c>
      <c r="D479" s="32" t="str">
        <f>'B.kriteria &amp; R.kecocokan'!$B$24</f>
        <v>Cukup</v>
      </c>
      <c r="E479" s="111">
        <f>_xlfn.IFS(D479="Banyak",'B.kriteria &amp; R.kecocokan'!$C$23,D479="Cukup",'B.kriteria &amp; R.kecocokan'!$C$24,D479="Sedikit",'B.kriteria &amp; R.kecocokan'!$C$25)</f>
        <v>5</v>
      </c>
      <c r="F479" s="9" t="str">
        <f>'B.kriteria &amp; R.kecocokan'!$B$34</f>
        <v>Tinggi</v>
      </c>
      <c r="G479" s="8">
        <f>_xlfn.IFS(F479="Tinggi",'B.kriteria &amp; R.kecocokan'!$C$34,F479="Sangat Tinggi",'B.kriteria &amp; R.kecocokan'!$C$35)</f>
        <v>7.5</v>
      </c>
      <c r="H479" s="8" t="str">
        <f>'B.kriteria &amp; R.kecocokan'!$B$41</f>
        <v>Rendah</v>
      </c>
      <c r="I479" s="8">
        <f>_xlfn.IFS(H479="Rendah",'B.kriteria &amp; R.kecocokan'!$C$41,H479="Sedang",'B.kriteria &amp; R.kecocokan'!$C$42,H479="Tinggi",'B.kriteria &amp; R.kecocokan'!$C$43)</f>
        <v>2.5</v>
      </c>
      <c r="J479" s="8" t="str">
        <f>'B.kriteria &amp; R.kecocokan'!$B$72</f>
        <v>Rendah</v>
      </c>
      <c r="K479" s="8">
        <f>_xlfn.IFS(J479="Rendah",'B.kriteria &amp; R.kecocokan'!$C$72,J479="Sedang",'B.kriteria &amp; R.kecocokan'!$C$73,J479="Tinggi",'B.kriteria &amp; R.kecocokan'!$C$74)</f>
        <v>2.5</v>
      </c>
      <c r="L479" s="8" t="str">
        <f>'B.kriteria &amp; R.kecocokan'!$B$95</f>
        <v>Rendah</v>
      </c>
      <c r="M479" s="8">
        <f>_xlfn.IFS(L479="Rendah",'B.kriteria &amp; R.kecocokan'!$C$95,L479="Tinggi",'B.kriteria &amp; R.kecocokan'!$C$96)</f>
        <v>2.5</v>
      </c>
      <c r="N479" s="8" t="str">
        <f>'B.kriteria &amp; R.kecocokan'!$B$80</f>
        <v>Rendah</v>
      </c>
      <c r="O479" s="8">
        <f>_xlfn.IFS(N479="Rendah",'B.kriteria &amp; R.kecocokan'!$C$80,N479="Tinggi",'B.kriteria &amp; R.kecocokan'!$C$81)</f>
        <v>2.5</v>
      </c>
      <c r="P479" s="8" t="str">
        <f>'B.kriteria &amp; R.kecocokan'!$B$89</f>
        <v>Sedikit</v>
      </c>
      <c r="Q479" s="8">
        <f>_xlfn.IFS(P479="Sedikit",'B.kriteria &amp; R.kecocokan'!$C$89,P479="Sedang",'B.kriteria &amp; R.kecocokan'!$C$88,P479="Sangat Sedikit",'B.kriteria &amp; R.kecocokan'!$C$90)</f>
        <v>2.5</v>
      </c>
      <c r="R479" s="8" t="str">
        <f>'B.kriteria &amp; R.kecocokan'!$B$49</f>
        <v>Rendah</v>
      </c>
      <c r="S479" s="8">
        <f>_xlfn.IFS(R479="Rendah",'B.kriteria &amp; R.kecocokan'!$C$49,R479="Sedang",'B.kriteria &amp; R.kecocokan'!$C$50,R479="Tinggi",'B.kriteria &amp; R.kecocokan'!$C$51)</f>
        <v>2.5</v>
      </c>
      <c r="T479" s="8" t="str">
        <f>'B.kriteria &amp; R.kecocokan'!$B$57</f>
        <v>Rendah</v>
      </c>
      <c r="U479" s="51">
        <f>_xlfn.IFS(T479="Rendah",'B.kriteria &amp; R.kecocokan'!$C$57,T479="Sedang",'B.kriteria &amp; R.kecocokan'!$C$58,T479="Tinggi",'B.kriteria &amp; R.kecocokan'!$C$59)</f>
        <v>2.5</v>
      </c>
      <c r="V479" s="51" t="str">
        <f>'B.kriteria &amp; R.kecocokan'!$B$65</f>
        <v>Rendah</v>
      </c>
      <c r="W479" s="9">
        <f>_xlfn.IFS(V479="Rendah",'B.kriteria &amp; R.kecocokan'!$C$65,V479="Sedang",'B.kriteria &amp; R.kecocokan'!$C$66,V479="Tinggi",'B.kriteria &amp; R.kecocokan'!$C$67)</f>
        <v>1</v>
      </c>
      <c r="X479" s="117">
        <f t="shared" si="44"/>
        <v>5.4088070686443581</v>
      </c>
      <c r="Y479" s="117">
        <f t="shared" si="45"/>
        <v>1.1697058748996112</v>
      </c>
      <c r="Z479" s="119">
        <f t="shared" si="46"/>
        <v>1.1697058748996112</v>
      </c>
      <c r="AA479" s="55" t="str">
        <f t="shared" si="47"/>
        <v>Tidak Layak</v>
      </c>
    </row>
    <row r="480" spans="1:27" x14ac:dyDescent="0.35">
      <c r="A480" s="5">
        <v>49</v>
      </c>
      <c r="B480" s="2" t="s">
        <v>104</v>
      </c>
      <c r="C480" s="11" t="s">
        <v>92</v>
      </c>
      <c r="D480" s="28" t="str">
        <f>'B.kriteria &amp; R.kecocokan'!$B$25</f>
        <v>Sedikit</v>
      </c>
      <c r="E480" s="111">
        <f>_xlfn.IFS(D480="Banyak",'B.kriteria &amp; R.kecocokan'!$C$23,D480="Cukup",'B.kriteria &amp; R.kecocokan'!$C$24,D480="Sedikit",'B.kriteria &amp; R.kecocokan'!$C$25)</f>
        <v>7.5</v>
      </c>
      <c r="F480" s="9" t="str">
        <f>'B.kriteria &amp; R.kecocokan'!$B$35</f>
        <v>Sangat Tinggi</v>
      </c>
      <c r="G480" s="8">
        <f>_xlfn.IFS(F480="Tinggi",'B.kriteria &amp; R.kecocokan'!$C$34,F480="Sangat Tinggi",'B.kriteria &amp; R.kecocokan'!$C$35)</f>
        <v>10</v>
      </c>
      <c r="H480" s="8" t="str">
        <f>'B.kriteria &amp; R.kecocokan'!$B$41</f>
        <v>Rendah</v>
      </c>
      <c r="I480" s="8">
        <f>_xlfn.IFS(H480="Rendah",'B.kriteria &amp; R.kecocokan'!$C$41,H480="Sedang",'B.kriteria &amp; R.kecocokan'!$C$42,H480="Tinggi",'B.kriteria &amp; R.kecocokan'!$C$43)</f>
        <v>2.5</v>
      </c>
      <c r="J480" s="8" t="str">
        <f>'B.kriteria &amp; R.kecocokan'!$B$72</f>
        <v>Rendah</v>
      </c>
      <c r="K480" s="8">
        <f>_xlfn.IFS(J480="Rendah",'B.kriteria &amp; R.kecocokan'!$C$72,J480="Sedang",'B.kriteria &amp; R.kecocokan'!$C$73,J480="Tinggi",'B.kriteria &amp; R.kecocokan'!$C$74)</f>
        <v>2.5</v>
      </c>
      <c r="L480" s="8" t="str">
        <f>'B.kriteria &amp; R.kecocokan'!$B$95</f>
        <v>Rendah</v>
      </c>
      <c r="M480" s="8">
        <f>_xlfn.IFS(L480="Rendah",'B.kriteria &amp; R.kecocokan'!$C$95,L480="Tinggi",'B.kriteria &amp; R.kecocokan'!$C$96)</f>
        <v>2.5</v>
      </c>
      <c r="N480" s="9" t="str">
        <f>'B.kriteria &amp; R.kecocokan'!$B$81</f>
        <v>Tinggi</v>
      </c>
      <c r="O480" s="8">
        <f>_xlfn.IFS(N480="Rendah",'B.kriteria &amp; R.kecocokan'!$C$80,N480="Tinggi",'B.kriteria &amp; R.kecocokan'!$C$81)</f>
        <v>7.5</v>
      </c>
      <c r="P480" s="9" t="str">
        <f>'B.kriteria &amp; R.kecocokan'!$B$90</f>
        <v>Sangat Sedikit</v>
      </c>
      <c r="Q480" s="8">
        <f>_xlfn.IFS(P480="Sedikit",'B.kriteria &amp; R.kecocokan'!$C$89,P480="Sedang",'B.kriteria &amp; R.kecocokan'!$C$88,P480="Sangat Sedikit",'B.kriteria &amp; R.kecocokan'!$C$90)</f>
        <v>1</v>
      </c>
      <c r="R480" s="8" t="str">
        <f>'B.kriteria &amp; R.kecocokan'!$B$49</f>
        <v>Rendah</v>
      </c>
      <c r="S480" s="8">
        <f>_xlfn.IFS(R480="Rendah",'B.kriteria &amp; R.kecocokan'!$C$49,R480="Sedang",'B.kriteria &amp; R.kecocokan'!$C$50,R480="Tinggi",'B.kriteria &amp; R.kecocokan'!$C$51)</f>
        <v>2.5</v>
      </c>
      <c r="T480" s="8" t="str">
        <f>'B.kriteria &amp; R.kecocokan'!$B$57</f>
        <v>Rendah</v>
      </c>
      <c r="U480" s="51">
        <f>_xlfn.IFS(T480="Rendah",'B.kriteria &amp; R.kecocokan'!$C$57,T480="Sedang",'B.kriteria &amp; R.kecocokan'!$C$58,T480="Tinggi",'B.kriteria &amp; R.kecocokan'!$C$59)</f>
        <v>2.5</v>
      </c>
      <c r="V480" s="51" t="str">
        <f>'B.kriteria &amp; R.kecocokan'!$B$65</f>
        <v>Rendah</v>
      </c>
      <c r="W480" s="9">
        <f>_xlfn.IFS(V480="Rendah",'B.kriteria &amp; R.kecocokan'!$C$65,V480="Sedang",'B.kriteria &amp; R.kecocokan'!$C$66,V480="Tinggi",'B.kriteria &amp; R.kecocokan'!$C$67)</f>
        <v>1</v>
      </c>
      <c r="X480" s="117">
        <f t="shared" si="44"/>
        <v>2.8059962506120271</v>
      </c>
      <c r="Y480" s="117">
        <f t="shared" si="45"/>
        <v>6.6925079894936657</v>
      </c>
      <c r="Z480" s="119">
        <f t="shared" si="46"/>
        <v>2.8059962506120271</v>
      </c>
      <c r="AA480" s="55" t="str">
        <f t="shared" si="47"/>
        <v>Layak</v>
      </c>
    </row>
    <row r="481" spans="1:27" x14ac:dyDescent="0.35">
      <c r="A481" s="1">
        <v>50</v>
      </c>
      <c r="B481" s="2" t="s">
        <v>105</v>
      </c>
      <c r="C481" s="11" t="s">
        <v>92</v>
      </c>
      <c r="D481" s="28" t="str">
        <f>'B.kriteria &amp; R.kecocokan'!$B$25</f>
        <v>Sedikit</v>
      </c>
      <c r="E481" s="111">
        <f>_xlfn.IFS(D481="Banyak",'B.kriteria &amp; R.kecocokan'!$C$23,D481="Cukup",'B.kriteria &amp; R.kecocokan'!$C$24,D481="Sedikit",'B.kriteria &amp; R.kecocokan'!$C$25)</f>
        <v>7.5</v>
      </c>
      <c r="F481" s="9" t="str">
        <f>'B.kriteria &amp; R.kecocokan'!$B$34</f>
        <v>Tinggi</v>
      </c>
      <c r="G481" s="8">
        <f>_xlfn.IFS(F481="Tinggi",'B.kriteria &amp; R.kecocokan'!$C$34,F481="Sangat Tinggi",'B.kriteria &amp; R.kecocokan'!$C$35)</f>
        <v>7.5</v>
      </c>
      <c r="H481" s="8" t="str">
        <f>'B.kriteria &amp; R.kecocokan'!$B$41</f>
        <v>Rendah</v>
      </c>
      <c r="I481" s="8">
        <f>_xlfn.IFS(H481="Rendah",'B.kriteria &amp; R.kecocokan'!$C$41,H481="Sedang",'B.kriteria &amp; R.kecocokan'!$C$42,H481="Tinggi",'B.kriteria &amp; R.kecocokan'!$C$43)</f>
        <v>2.5</v>
      </c>
      <c r="J481" s="8" t="str">
        <f>'B.kriteria &amp; R.kecocokan'!$B$72</f>
        <v>Rendah</v>
      </c>
      <c r="K481" s="8">
        <f>_xlfn.IFS(J481="Rendah",'B.kriteria &amp; R.kecocokan'!$C$72,J481="Sedang",'B.kriteria &amp; R.kecocokan'!$C$73,J481="Tinggi",'B.kriteria &amp; R.kecocokan'!$C$74)</f>
        <v>2.5</v>
      </c>
      <c r="L481" s="8" t="str">
        <f>'B.kriteria &amp; R.kecocokan'!$B$95</f>
        <v>Rendah</v>
      </c>
      <c r="M481" s="8">
        <f>_xlfn.IFS(L481="Rendah",'B.kriteria &amp; R.kecocokan'!$C$95,L481="Tinggi",'B.kriteria &amp; R.kecocokan'!$C$96)</f>
        <v>2.5</v>
      </c>
      <c r="N481" s="8" t="str">
        <f>'B.kriteria &amp; R.kecocokan'!$B$80</f>
        <v>Rendah</v>
      </c>
      <c r="O481" s="8">
        <f>_xlfn.IFS(N481="Rendah",'B.kriteria &amp; R.kecocokan'!$C$80,N481="Tinggi",'B.kriteria &amp; R.kecocokan'!$C$81)</f>
        <v>2.5</v>
      </c>
      <c r="P481" s="9" t="str">
        <f>'B.kriteria &amp; R.kecocokan'!$B$88</f>
        <v>Sedang</v>
      </c>
      <c r="Q481" s="8">
        <f>_xlfn.IFS(P481="Sedikit",'B.kriteria &amp; R.kecocokan'!$C$89,P481="Sedang",'B.kriteria &amp; R.kecocokan'!$C$88,P481="Sangat Sedikit",'B.kriteria &amp; R.kecocokan'!$C$90)</f>
        <v>5</v>
      </c>
      <c r="R481" s="9" t="str">
        <f>'B.kriteria &amp; R.kecocokan'!$B$50</f>
        <v>Sedang</v>
      </c>
      <c r="S481" s="8">
        <f>_xlfn.IFS(R481="Rendah",'B.kriteria &amp; R.kecocokan'!$C$49,R481="Sedang",'B.kriteria &amp; R.kecocokan'!$C$50,R481="Tinggi",'B.kriteria &amp; R.kecocokan'!$C$51)</f>
        <v>5</v>
      </c>
      <c r="T481" s="9" t="str">
        <f>'B.kriteria &amp; R.kecocokan'!$B$59</f>
        <v>Tinggi</v>
      </c>
      <c r="U481" s="51">
        <f>_xlfn.IFS(T481="Rendah",'B.kriteria &amp; R.kecocokan'!$C$57,T481="Sedang",'B.kriteria &amp; R.kecocokan'!$C$58,T481="Tinggi",'B.kriteria &amp; R.kecocokan'!$C$59)</f>
        <v>7.5</v>
      </c>
      <c r="V481" s="51" t="str">
        <f>'B.kriteria &amp; R.kecocokan'!$B$65</f>
        <v>Rendah</v>
      </c>
      <c r="W481" s="9">
        <f>_xlfn.IFS(V481="Rendah",'B.kriteria &amp; R.kecocokan'!$C$65,V481="Sedang",'B.kriteria &amp; R.kecocokan'!$C$66,V481="Tinggi",'B.kriteria &amp; R.kecocokan'!$C$67)</f>
        <v>1</v>
      </c>
      <c r="X481" s="117">
        <f t="shared" si="44"/>
        <v>7.6806273188510019</v>
      </c>
      <c r="Y481" s="117">
        <f t="shared" si="45"/>
        <v>6.1294669379826585</v>
      </c>
      <c r="Z481" s="119">
        <f t="shared" si="46"/>
        <v>6.1294669379826585</v>
      </c>
      <c r="AA481" s="55" t="str">
        <f t="shared" si="47"/>
        <v>Tidak Layak</v>
      </c>
    </row>
    <row r="482" spans="1:27" x14ac:dyDescent="0.35">
      <c r="A482" s="5">
        <v>51</v>
      </c>
      <c r="B482" s="2" t="s">
        <v>106</v>
      </c>
      <c r="C482" s="11" t="s">
        <v>92</v>
      </c>
      <c r="D482" s="28" t="str">
        <f>'B.kriteria &amp; R.kecocokan'!$B$25</f>
        <v>Sedikit</v>
      </c>
      <c r="E482" s="111">
        <f>_xlfn.IFS(D482="Banyak",'B.kriteria &amp; R.kecocokan'!$C$23,D482="Cukup",'B.kriteria &amp; R.kecocokan'!$C$24,D482="Sedikit",'B.kriteria &amp; R.kecocokan'!$C$25)</f>
        <v>7.5</v>
      </c>
      <c r="F482" s="9" t="str">
        <f>'B.kriteria &amp; R.kecocokan'!$B$34</f>
        <v>Tinggi</v>
      </c>
      <c r="G482" s="8">
        <f>_xlfn.IFS(F482="Tinggi",'B.kriteria &amp; R.kecocokan'!$C$34,F482="Sangat Tinggi",'B.kriteria &amp; R.kecocokan'!$C$35)</f>
        <v>7.5</v>
      </c>
      <c r="H482" s="8" t="str">
        <f>'B.kriteria &amp; R.kecocokan'!$B$41</f>
        <v>Rendah</v>
      </c>
      <c r="I482" s="8">
        <f>_xlfn.IFS(H482="Rendah",'B.kriteria &amp; R.kecocokan'!$C$41,H482="Sedang",'B.kriteria &amp; R.kecocokan'!$C$42,H482="Tinggi",'B.kriteria &amp; R.kecocokan'!$C$43)</f>
        <v>2.5</v>
      </c>
      <c r="J482" s="8" t="str">
        <f>'B.kriteria &amp; R.kecocokan'!$B$72</f>
        <v>Rendah</v>
      </c>
      <c r="K482" s="8">
        <f>_xlfn.IFS(J482="Rendah",'B.kriteria &amp; R.kecocokan'!$C$72,J482="Sedang",'B.kriteria &amp; R.kecocokan'!$C$73,J482="Tinggi",'B.kriteria &amp; R.kecocokan'!$C$74)</f>
        <v>2.5</v>
      </c>
      <c r="L482" s="8" t="str">
        <f>'B.kriteria &amp; R.kecocokan'!$B$95</f>
        <v>Rendah</v>
      </c>
      <c r="M482" s="8">
        <f>_xlfn.IFS(L482="Rendah",'B.kriteria &amp; R.kecocokan'!$C$95,L482="Tinggi",'B.kriteria &amp; R.kecocokan'!$C$96)</f>
        <v>2.5</v>
      </c>
      <c r="N482" s="8" t="str">
        <f>'B.kriteria &amp; R.kecocokan'!$B$80</f>
        <v>Rendah</v>
      </c>
      <c r="O482" s="8">
        <f>_xlfn.IFS(N482="Rendah",'B.kriteria &amp; R.kecocokan'!$C$80,N482="Tinggi",'B.kriteria &amp; R.kecocokan'!$C$81)</f>
        <v>2.5</v>
      </c>
      <c r="P482" s="9" t="str">
        <f>'B.kriteria &amp; R.kecocokan'!$B$88</f>
        <v>Sedang</v>
      </c>
      <c r="Q482" s="8">
        <f>_xlfn.IFS(P482="Sedikit",'B.kriteria &amp; R.kecocokan'!$C$89,P482="Sedang",'B.kriteria &amp; R.kecocokan'!$C$88,P482="Sangat Sedikit",'B.kriteria &amp; R.kecocokan'!$C$90)</f>
        <v>5</v>
      </c>
      <c r="R482" s="8" t="str">
        <f>'B.kriteria &amp; R.kecocokan'!$B$49</f>
        <v>Rendah</v>
      </c>
      <c r="S482" s="8">
        <f>_xlfn.IFS(R482="Rendah",'B.kriteria &amp; R.kecocokan'!$C$49,R482="Sedang",'B.kriteria &amp; R.kecocokan'!$C$50,R482="Tinggi",'B.kriteria &amp; R.kecocokan'!$C$51)</f>
        <v>2.5</v>
      </c>
      <c r="T482" s="9" t="str">
        <f>'B.kriteria &amp; R.kecocokan'!$B$58</f>
        <v>Sedang</v>
      </c>
      <c r="U482" s="51">
        <f>_xlfn.IFS(T482="Rendah",'B.kriteria &amp; R.kecocokan'!$C$57,T482="Sedang",'B.kriteria &amp; R.kecocokan'!$C$58,T482="Tinggi",'B.kriteria &amp; R.kecocokan'!$C$59)</f>
        <v>5</v>
      </c>
      <c r="V482" s="51" t="str">
        <f>'B.kriteria &amp; R.kecocokan'!$B$65</f>
        <v>Rendah</v>
      </c>
      <c r="W482" s="9">
        <f>_xlfn.IFS(V482="Rendah",'B.kriteria &amp; R.kecocokan'!$C$65,V482="Sedang",'B.kriteria &amp; R.kecocokan'!$C$66,V482="Tinggi",'B.kriteria &amp; R.kecocokan'!$C$67)</f>
        <v>1</v>
      </c>
      <c r="X482" s="117">
        <f t="shared" si="44"/>
        <v>6.5226273533007921</v>
      </c>
      <c r="Y482" s="117">
        <f t="shared" si="45"/>
        <v>3.9269889402447986</v>
      </c>
      <c r="Z482" s="119">
        <f t="shared" si="46"/>
        <v>3.9269889402447986</v>
      </c>
      <c r="AA482" s="55" t="str">
        <f t="shared" si="47"/>
        <v>Tidak Layak</v>
      </c>
    </row>
    <row r="483" spans="1:27" x14ac:dyDescent="0.35">
      <c r="A483" s="5">
        <v>52</v>
      </c>
      <c r="B483" s="2" t="s">
        <v>107</v>
      </c>
      <c r="C483" s="11" t="s">
        <v>92</v>
      </c>
      <c r="D483" s="28" t="str">
        <f>'B.kriteria &amp; R.kecocokan'!$B$25</f>
        <v>Sedikit</v>
      </c>
      <c r="E483" s="111">
        <f>_xlfn.IFS(D483="Banyak",'B.kriteria &amp; R.kecocokan'!$C$23,D483="Cukup",'B.kriteria &amp; R.kecocokan'!$C$24,D483="Sedikit",'B.kriteria &amp; R.kecocokan'!$C$25)</f>
        <v>7.5</v>
      </c>
      <c r="F483" s="9" t="str">
        <f>'B.kriteria &amp; R.kecocokan'!$B$34</f>
        <v>Tinggi</v>
      </c>
      <c r="G483" s="8">
        <f>_xlfn.IFS(F483="Tinggi",'B.kriteria &amp; R.kecocokan'!$C$34,F483="Sangat Tinggi",'B.kriteria &amp; R.kecocokan'!$C$35)</f>
        <v>7.5</v>
      </c>
      <c r="H483" s="8" t="str">
        <f>'B.kriteria &amp; R.kecocokan'!$B$41</f>
        <v>Rendah</v>
      </c>
      <c r="I483" s="8">
        <f>_xlfn.IFS(H483="Rendah",'B.kriteria &amp; R.kecocokan'!$C$41,H483="Sedang",'B.kriteria &amp; R.kecocokan'!$C$42,H483="Tinggi",'B.kriteria &amp; R.kecocokan'!$C$43)</f>
        <v>2.5</v>
      </c>
      <c r="J483" s="8" t="str">
        <f>'B.kriteria &amp; R.kecocokan'!$B$72</f>
        <v>Rendah</v>
      </c>
      <c r="K483" s="8">
        <f>_xlfn.IFS(J483="Rendah",'B.kriteria &amp; R.kecocokan'!$C$72,J483="Sedang",'B.kriteria &amp; R.kecocokan'!$C$73,J483="Tinggi",'B.kriteria &amp; R.kecocokan'!$C$74)</f>
        <v>2.5</v>
      </c>
      <c r="L483" s="8" t="str">
        <f>'B.kriteria &amp; R.kecocokan'!$B$95</f>
        <v>Rendah</v>
      </c>
      <c r="M483" s="8">
        <f>_xlfn.IFS(L483="Rendah",'B.kriteria &amp; R.kecocokan'!$C$95,L483="Tinggi",'B.kriteria &amp; R.kecocokan'!$C$96)</f>
        <v>2.5</v>
      </c>
      <c r="N483" s="8" t="str">
        <f>'B.kriteria &amp; R.kecocokan'!$B$80</f>
        <v>Rendah</v>
      </c>
      <c r="O483" s="8">
        <f>_xlfn.IFS(N483="Rendah",'B.kriteria &amp; R.kecocokan'!$C$80,N483="Tinggi",'B.kriteria &amp; R.kecocokan'!$C$81)</f>
        <v>2.5</v>
      </c>
      <c r="P483" s="8" t="str">
        <f>'B.kriteria &amp; R.kecocokan'!$B$89</f>
        <v>Sedikit</v>
      </c>
      <c r="Q483" s="8">
        <f>_xlfn.IFS(P483="Sedikit",'B.kriteria &amp; R.kecocokan'!$C$89,P483="Sedang",'B.kriteria &amp; R.kecocokan'!$C$88,P483="Sangat Sedikit",'B.kriteria &amp; R.kecocokan'!$C$90)</f>
        <v>2.5</v>
      </c>
      <c r="R483" s="8" t="str">
        <f>'B.kriteria &amp; R.kecocokan'!$B$49</f>
        <v>Rendah</v>
      </c>
      <c r="S483" s="8">
        <f>_xlfn.IFS(R483="Rendah",'B.kriteria &amp; R.kecocokan'!$C$49,R483="Sedang",'B.kriteria &amp; R.kecocokan'!$C$50,R483="Tinggi",'B.kriteria &amp; R.kecocokan'!$C$51)</f>
        <v>2.5</v>
      </c>
      <c r="T483" s="8" t="str">
        <f>'B.kriteria &amp; R.kecocokan'!$B$57</f>
        <v>Rendah</v>
      </c>
      <c r="U483" s="51">
        <f>_xlfn.IFS(T483="Rendah",'B.kriteria &amp; R.kecocokan'!$C$57,T483="Sedang",'B.kriteria &amp; R.kecocokan'!$C$58,T483="Tinggi",'B.kriteria &amp; R.kecocokan'!$C$59)</f>
        <v>2.5</v>
      </c>
      <c r="V483" s="51" t="str">
        <f>'B.kriteria &amp; R.kecocokan'!$B$65</f>
        <v>Rendah</v>
      </c>
      <c r="W483" s="9">
        <f>_xlfn.IFS(V483="Rendah",'B.kriteria &amp; R.kecocokan'!$C$65,V483="Sedang",'B.kriteria &amp; R.kecocokan'!$C$66,V483="Tinggi",'B.kriteria &amp; R.kecocokan'!$C$67)</f>
        <v>1</v>
      </c>
      <c r="X483" s="117">
        <f t="shared" si="44"/>
        <v>5.4692859353538354</v>
      </c>
      <c r="Y483" s="117">
        <f t="shared" si="45"/>
        <v>2.9588131860829439</v>
      </c>
      <c r="Z483" s="119">
        <f t="shared" si="46"/>
        <v>2.9588131860829439</v>
      </c>
      <c r="AA483" s="55" t="str">
        <f t="shared" si="47"/>
        <v>Tidak Layak</v>
      </c>
    </row>
    <row r="484" spans="1:27" x14ac:dyDescent="0.35">
      <c r="A484" s="1">
        <v>53</v>
      </c>
      <c r="B484" s="2" t="s">
        <v>109</v>
      </c>
      <c r="C484" s="11" t="s">
        <v>95</v>
      </c>
      <c r="D484" s="9" t="str">
        <f>'B.kriteria &amp; R.kecocokan'!$B$23</f>
        <v>Banyak</v>
      </c>
      <c r="E484" s="111">
        <f>_xlfn.IFS(D484="Banyak",'B.kriteria &amp; R.kecocokan'!$C$23,D484="Cukup",'B.kriteria &amp; R.kecocokan'!$C$24,D484="Sedikit",'B.kriteria &amp; R.kecocokan'!$C$25)</f>
        <v>2.5</v>
      </c>
      <c r="F484" s="9" t="str">
        <f>'B.kriteria &amp; R.kecocokan'!$B$34</f>
        <v>Tinggi</v>
      </c>
      <c r="G484" s="8">
        <f>_xlfn.IFS(F484="Tinggi",'B.kriteria &amp; R.kecocokan'!$C$34,F484="Sangat Tinggi",'B.kriteria &amp; R.kecocokan'!$C$35)</f>
        <v>7.5</v>
      </c>
      <c r="H484" s="8" t="str">
        <f>'B.kriteria &amp; R.kecocokan'!$B$41</f>
        <v>Rendah</v>
      </c>
      <c r="I484" s="8">
        <f>_xlfn.IFS(H484="Rendah",'B.kriteria &amp; R.kecocokan'!$C$41,H484="Sedang",'B.kriteria &amp; R.kecocokan'!$C$42,H484="Tinggi",'B.kriteria &amp; R.kecocokan'!$C$43)</f>
        <v>2.5</v>
      </c>
      <c r="J484" s="8" t="str">
        <f>'B.kriteria &amp; R.kecocokan'!$B$72</f>
        <v>Rendah</v>
      </c>
      <c r="K484" s="8">
        <f>_xlfn.IFS(J484="Rendah",'B.kriteria &amp; R.kecocokan'!$C$72,J484="Sedang",'B.kriteria &amp; R.kecocokan'!$C$73,J484="Tinggi",'B.kriteria &amp; R.kecocokan'!$C$74)</f>
        <v>2.5</v>
      </c>
      <c r="L484" s="8" t="str">
        <f>'B.kriteria &amp; R.kecocokan'!$B$95</f>
        <v>Rendah</v>
      </c>
      <c r="M484" s="8">
        <f>_xlfn.IFS(L484="Rendah",'B.kriteria &amp; R.kecocokan'!$C$95,L484="Tinggi",'B.kriteria &amp; R.kecocokan'!$C$96)</f>
        <v>2.5</v>
      </c>
      <c r="N484" s="8" t="str">
        <f>'B.kriteria &amp; R.kecocokan'!$B$80</f>
        <v>Rendah</v>
      </c>
      <c r="O484" s="8">
        <f>_xlfn.IFS(N484="Rendah",'B.kriteria &amp; R.kecocokan'!$C$80,N484="Tinggi",'B.kriteria &amp; R.kecocokan'!$C$81)</f>
        <v>2.5</v>
      </c>
      <c r="P484" s="9" t="str">
        <f>'B.kriteria &amp; R.kecocokan'!$B$88</f>
        <v>Sedang</v>
      </c>
      <c r="Q484" s="8">
        <f>_xlfn.IFS(P484="Sedikit",'B.kriteria &amp; R.kecocokan'!$C$89,P484="Sedang",'B.kriteria &amp; R.kecocokan'!$C$88,P484="Sangat Sedikit",'B.kriteria &amp; R.kecocokan'!$C$90)</f>
        <v>5</v>
      </c>
      <c r="R484" s="8" t="str">
        <f>'B.kriteria &amp; R.kecocokan'!$B$49</f>
        <v>Rendah</v>
      </c>
      <c r="S484" s="8">
        <f>_xlfn.IFS(R484="Rendah",'B.kriteria &amp; R.kecocokan'!$C$49,R484="Sedang",'B.kriteria &amp; R.kecocokan'!$C$50,R484="Tinggi",'B.kriteria &amp; R.kecocokan'!$C$51)</f>
        <v>2.5</v>
      </c>
      <c r="T484" s="8" t="str">
        <f>'B.kriteria &amp; R.kecocokan'!$B$57</f>
        <v>Rendah</v>
      </c>
      <c r="U484" s="51">
        <f>_xlfn.IFS(T484="Rendah",'B.kriteria &amp; R.kecocokan'!$C$57,T484="Sedang",'B.kriteria &amp; R.kecocokan'!$C$58,T484="Tinggi",'B.kriteria &amp; R.kecocokan'!$C$59)</f>
        <v>2.5</v>
      </c>
      <c r="V484" s="51" t="str">
        <f>'B.kriteria &amp; R.kecocokan'!$B$65</f>
        <v>Rendah</v>
      </c>
      <c r="W484" s="9">
        <f>_xlfn.IFS(V484="Rendah",'B.kriteria &amp; R.kecocokan'!$C$65,V484="Sedang",'B.kriteria &amp; R.kecocokan'!$C$66,V484="Tinggi",'B.kriteria &amp; R.kecocokan'!$C$67)</f>
        <v>1</v>
      </c>
      <c r="X484" s="117">
        <f t="shared" si="44"/>
        <v>7.2623712388640893</v>
      </c>
      <c r="Y484" s="117">
        <f t="shared" si="45"/>
        <v>2.9786236879814156</v>
      </c>
      <c r="Z484" s="119">
        <f t="shared" si="46"/>
        <v>2.9786236879814156</v>
      </c>
      <c r="AA484" s="55" t="str">
        <f t="shared" si="47"/>
        <v>Tidak Layak</v>
      </c>
    </row>
    <row r="485" spans="1:27" x14ac:dyDescent="0.35">
      <c r="A485" s="5">
        <v>54</v>
      </c>
      <c r="B485" s="2" t="s">
        <v>111</v>
      </c>
      <c r="C485" s="11" t="s">
        <v>92</v>
      </c>
      <c r="D485" s="9" t="str">
        <f>'B.kriteria &amp; R.kecocokan'!$B$23</f>
        <v>Banyak</v>
      </c>
      <c r="E485" s="111">
        <f>_xlfn.IFS(D485="Banyak",'B.kriteria &amp; R.kecocokan'!$C$23,D485="Cukup",'B.kriteria &amp; R.kecocokan'!$C$24,D485="Sedikit",'B.kriteria &amp; R.kecocokan'!$C$25)</f>
        <v>2.5</v>
      </c>
      <c r="F485" s="9" t="str">
        <f>'B.kriteria &amp; R.kecocokan'!$B$34</f>
        <v>Tinggi</v>
      </c>
      <c r="G485" s="8">
        <f>_xlfn.IFS(F485="Tinggi",'B.kriteria &amp; R.kecocokan'!$C$34,F485="Sangat Tinggi",'B.kriteria &amp; R.kecocokan'!$C$35)</f>
        <v>7.5</v>
      </c>
      <c r="H485" s="8" t="str">
        <f>'B.kriteria &amp; R.kecocokan'!$B$41</f>
        <v>Rendah</v>
      </c>
      <c r="I485" s="8">
        <f>_xlfn.IFS(H485="Rendah",'B.kriteria &amp; R.kecocokan'!$C$41,H485="Sedang",'B.kriteria &amp; R.kecocokan'!$C$42,H485="Tinggi",'B.kriteria &amp; R.kecocokan'!$C$43)</f>
        <v>2.5</v>
      </c>
      <c r="J485" s="8" t="str">
        <f>'B.kriteria &amp; R.kecocokan'!$B$72</f>
        <v>Rendah</v>
      </c>
      <c r="K485" s="8">
        <f>_xlfn.IFS(J485="Rendah",'B.kriteria &amp; R.kecocokan'!$C$72,J485="Sedang",'B.kriteria &amp; R.kecocokan'!$C$73,J485="Tinggi",'B.kriteria &amp; R.kecocokan'!$C$74)</f>
        <v>2.5</v>
      </c>
      <c r="L485" s="8" t="str">
        <f>'B.kriteria &amp; R.kecocokan'!$B$95</f>
        <v>Rendah</v>
      </c>
      <c r="M485" s="8">
        <f>_xlfn.IFS(L485="Rendah",'B.kriteria &amp; R.kecocokan'!$C$95,L485="Tinggi",'B.kriteria &amp; R.kecocokan'!$C$96)</f>
        <v>2.5</v>
      </c>
      <c r="N485" s="8" t="str">
        <f>'B.kriteria &amp; R.kecocokan'!$B$80</f>
        <v>Rendah</v>
      </c>
      <c r="O485" s="8">
        <f>_xlfn.IFS(N485="Rendah",'B.kriteria &amp; R.kecocokan'!$C$80,N485="Tinggi",'B.kriteria &amp; R.kecocokan'!$C$81)</f>
        <v>2.5</v>
      </c>
      <c r="P485" s="8" t="str">
        <f>'B.kriteria &amp; R.kecocokan'!$B$89</f>
        <v>Sedikit</v>
      </c>
      <c r="Q485" s="8">
        <f>_xlfn.IFS(P485="Sedikit",'B.kriteria &amp; R.kecocokan'!$C$89,P485="Sedang",'B.kriteria &amp; R.kecocokan'!$C$88,P485="Sangat Sedikit",'B.kriteria &amp; R.kecocokan'!$C$90)</f>
        <v>2.5</v>
      </c>
      <c r="R485" s="8" t="str">
        <f>'B.kriteria &amp; R.kecocokan'!$B$49</f>
        <v>Rendah</v>
      </c>
      <c r="S485" s="8">
        <f>_xlfn.IFS(R485="Rendah",'B.kriteria &amp; R.kecocokan'!$C$49,R485="Sedang",'B.kriteria &amp; R.kecocokan'!$C$50,R485="Tinggi",'B.kriteria &amp; R.kecocokan'!$C$51)</f>
        <v>2.5</v>
      </c>
      <c r="T485" s="8" t="str">
        <f>'B.kriteria &amp; R.kecocokan'!$B$57</f>
        <v>Rendah</v>
      </c>
      <c r="U485" s="51">
        <f>_xlfn.IFS(T485="Rendah",'B.kriteria &amp; R.kecocokan'!$C$57,T485="Sedang",'B.kriteria &amp; R.kecocokan'!$C$58,T485="Tinggi",'B.kriteria &amp; R.kecocokan'!$C$59)</f>
        <v>2.5</v>
      </c>
      <c r="V485" s="51" t="str">
        <f>'B.kriteria &amp; R.kecocokan'!$B$65</f>
        <v>Rendah</v>
      </c>
      <c r="W485" s="9">
        <f>_xlfn.IFS(V485="Rendah",'B.kriteria &amp; R.kecocokan'!$C$65,V485="Sedang",'B.kriteria &amp; R.kecocokan'!$C$66,V485="Tinggi",'B.kriteria &amp; R.kecocokan'!$C$67)</f>
        <v>1</v>
      </c>
      <c r="X485" s="117">
        <f t="shared" si="44"/>
        <v>6.410717523723461</v>
      </c>
      <c r="Y485" s="117">
        <f t="shared" si="45"/>
        <v>2.5459474066466941</v>
      </c>
      <c r="Z485" s="119">
        <f t="shared" si="46"/>
        <v>2.5459474066466941</v>
      </c>
      <c r="AA485" s="55" t="str">
        <f t="shared" si="47"/>
        <v>Tidak Layak</v>
      </c>
    </row>
    <row r="486" spans="1:27" x14ac:dyDescent="0.35">
      <c r="A486" s="5">
        <v>55</v>
      </c>
      <c r="B486" s="2" t="s">
        <v>113</v>
      </c>
      <c r="C486" s="11" t="s">
        <v>92</v>
      </c>
      <c r="D486" s="28" t="str">
        <f>'B.kriteria &amp; R.kecocokan'!$B$25</f>
        <v>Sedikit</v>
      </c>
      <c r="E486" s="111">
        <f>_xlfn.IFS(D486="Banyak",'B.kriteria &amp; R.kecocokan'!$C$23,D486="Cukup",'B.kriteria &amp; R.kecocokan'!$C$24,D486="Sedikit",'B.kriteria &amp; R.kecocokan'!$C$25)</f>
        <v>7.5</v>
      </c>
      <c r="F486" s="9" t="str">
        <f>'B.kriteria &amp; R.kecocokan'!$B$34</f>
        <v>Tinggi</v>
      </c>
      <c r="G486" s="8">
        <f>_xlfn.IFS(F486="Tinggi",'B.kriteria &amp; R.kecocokan'!$C$34,F486="Sangat Tinggi",'B.kriteria &amp; R.kecocokan'!$C$35)</f>
        <v>7.5</v>
      </c>
      <c r="H486" s="9" t="str">
        <f>'B.kriteria &amp; R.kecocokan'!$B$43</f>
        <v>Tinggi</v>
      </c>
      <c r="I486" s="8">
        <f>_xlfn.IFS(H486="Rendah",'B.kriteria &amp; R.kecocokan'!$C$41,H486="Sedang",'B.kriteria &amp; R.kecocokan'!$C$42,H486="Tinggi",'B.kriteria &amp; R.kecocokan'!$C$43)</f>
        <v>7.5</v>
      </c>
      <c r="J486" s="8" t="str">
        <f>'B.kriteria &amp; R.kecocokan'!$B$72</f>
        <v>Rendah</v>
      </c>
      <c r="K486" s="8">
        <f>_xlfn.IFS(J486="Rendah",'B.kriteria &amp; R.kecocokan'!$C$72,J486="Sedang",'B.kriteria &amp; R.kecocokan'!$C$73,J486="Tinggi",'B.kriteria &amp; R.kecocokan'!$C$74)</f>
        <v>2.5</v>
      </c>
      <c r="L486" s="8" t="str">
        <f>'B.kriteria &amp; R.kecocokan'!$B$95</f>
        <v>Rendah</v>
      </c>
      <c r="M486" s="8">
        <f>_xlfn.IFS(L486="Rendah",'B.kriteria &amp; R.kecocokan'!$C$95,L486="Tinggi",'B.kriteria &amp; R.kecocokan'!$C$96)</f>
        <v>2.5</v>
      </c>
      <c r="N486" s="8" t="str">
        <f>'B.kriteria &amp; R.kecocokan'!$B$80</f>
        <v>Rendah</v>
      </c>
      <c r="O486" s="8">
        <f>_xlfn.IFS(N486="Rendah",'B.kriteria &amp; R.kecocokan'!$C$80,N486="Tinggi",'B.kriteria &amp; R.kecocokan'!$C$81)</f>
        <v>2.5</v>
      </c>
      <c r="P486" s="8" t="str">
        <f>'B.kriteria &amp; R.kecocokan'!$B$89</f>
        <v>Sedikit</v>
      </c>
      <c r="Q486" s="8">
        <f>_xlfn.IFS(P486="Sedikit",'B.kriteria &amp; R.kecocokan'!$C$89,P486="Sedang",'B.kriteria &amp; R.kecocokan'!$C$88,P486="Sangat Sedikit",'B.kriteria &amp; R.kecocokan'!$C$90)</f>
        <v>2.5</v>
      </c>
      <c r="R486" s="8" t="str">
        <f>'B.kriteria &amp; R.kecocokan'!$B$49</f>
        <v>Rendah</v>
      </c>
      <c r="S486" s="8">
        <f>_xlfn.IFS(R486="Rendah",'B.kriteria &amp; R.kecocokan'!$C$49,R486="Sedang",'B.kriteria &amp; R.kecocokan'!$C$50,R486="Tinggi",'B.kriteria &amp; R.kecocokan'!$C$51)</f>
        <v>2.5</v>
      </c>
      <c r="T486" s="8" t="str">
        <f>'B.kriteria &amp; R.kecocokan'!$B$57</f>
        <v>Rendah</v>
      </c>
      <c r="U486" s="51">
        <f>_xlfn.IFS(T486="Rendah",'B.kriteria &amp; R.kecocokan'!$C$57,T486="Sedang",'B.kriteria &amp; R.kecocokan'!$C$58,T486="Tinggi",'B.kriteria &amp; R.kecocokan'!$C$59)</f>
        <v>2.5</v>
      </c>
      <c r="V486" s="51" t="str">
        <f>'B.kriteria &amp; R.kecocokan'!$B$65</f>
        <v>Rendah</v>
      </c>
      <c r="W486" s="9">
        <f>_xlfn.IFS(V486="Rendah",'B.kriteria &amp; R.kecocokan'!$C$65,V486="Sedang",'B.kriteria &amp; R.kecocokan'!$C$66,V486="Tinggi",'B.kriteria &amp; R.kecocokan'!$C$67)</f>
        <v>1</v>
      </c>
      <c r="X486" s="117">
        <f t="shared" si="44"/>
        <v>7.2305953900969211</v>
      </c>
      <c r="Y486" s="117">
        <f t="shared" si="45"/>
        <v>5.1707863628745265</v>
      </c>
      <c r="Z486" s="119">
        <f t="shared" si="46"/>
        <v>5.1707863628745265</v>
      </c>
      <c r="AA486" s="55" t="str">
        <f t="shared" si="47"/>
        <v>Tidak Layak</v>
      </c>
    </row>
    <row r="487" spans="1:27" x14ac:dyDescent="0.35">
      <c r="A487" s="1">
        <v>56</v>
      </c>
      <c r="B487" s="2" t="s">
        <v>114</v>
      </c>
      <c r="C487" s="11" t="s">
        <v>95</v>
      </c>
      <c r="D487" s="9" t="str">
        <f>'B.kriteria &amp; R.kecocokan'!$B$23</f>
        <v>Banyak</v>
      </c>
      <c r="E487" s="111">
        <f>_xlfn.IFS(D487="Banyak",'B.kriteria &amp; R.kecocokan'!$C$23,D487="Cukup",'B.kriteria &amp; R.kecocokan'!$C$24,D487="Sedikit",'B.kriteria &amp; R.kecocokan'!$C$25)</f>
        <v>2.5</v>
      </c>
      <c r="F487" s="9" t="str">
        <f>'B.kriteria &amp; R.kecocokan'!$B$34</f>
        <v>Tinggi</v>
      </c>
      <c r="G487" s="8">
        <f>_xlfn.IFS(F487="Tinggi",'B.kriteria &amp; R.kecocokan'!$C$34,F487="Sangat Tinggi",'B.kriteria &amp; R.kecocokan'!$C$35)</f>
        <v>7.5</v>
      </c>
      <c r="H487" s="8" t="str">
        <f>'B.kriteria &amp; R.kecocokan'!$B$41</f>
        <v>Rendah</v>
      </c>
      <c r="I487" s="8">
        <f>_xlfn.IFS(H487="Rendah",'B.kriteria &amp; R.kecocokan'!$C$41,H487="Sedang",'B.kriteria &amp; R.kecocokan'!$C$42,H487="Tinggi",'B.kriteria &amp; R.kecocokan'!$C$43)</f>
        <v>2.5</v>
      </c>
      <c r="J487" s="8" t="str">
        <f>'B.kriteria &amp; R.kecocokan'!$B$72</f>
        <v>Rendah</v>
      </c>
      <c r="K487" s="8">
        <f>_xlfn.IFS(J487="Rendah",'B.kriteria &amp; R.kecocokan'!$C$72,J487="Sedang",'B.kriteria &amp; R.kecocokan'!$C$73,J487="Tinggi",'B.kriteria &amp; R.kecocokan'!$C$74)</f>
        <v>2.5</v>
      </c>
      <c r="L487" s="8" t="str">
        <f>'B.kriteria &amp; R.kecocokan'!$B$95</f>
        <v>Rendah</v>
      </c>
      <c r="M487" s="8">
        <f>_xlfn.IFS(L487="Rendah",'B.kriteria &amp; R.kecocokan'!$C$95,L487="Tinggi",'B.kriteria &amp; R.kecocokan'!$C$96)</f>
        <v>2.5</v>
      </c>
      <c r="N487" s="9" t="str">
        <f>'B.kriteria &amp; R.kecocokan'!$B$81</f>
        <v>Tinggi</v>
      </c>
      <c r="O487" s="8">
        <f>_xlfn.IFS(N487="Rendah",'B.kriteria &amp; R.kecocokan'!$C$80,N487="Tinggi",'B.kriteria &amp; R.kecocokan'!$C$81)</f>
        <v>7.5</v>
      </c>
      <c r="P487" s="9" t="str">
        <f>'B.kriteria &amp; R.kecocokan'!$B$90</f>
        <v>Sangat Sedikit</v>
      </c>
      <c r="Q487" s="8">
        <f>_xlfn.IFS(P487="Sedikit",'B.kriteria &amp; R.kecocokan'!$C$89,P487="Sedang",'B.kriteria &amp; R.kecocokan'!$C$88,P487="Sangat Sedikit",'B.kriteria &amp; R.kecocokan'!$C$90)</f>
        <v>1</v>
      </c>
      <c r="R487" s="8" t="str">
        <f>'B.kriteria &amp; R.kecocokan'!$B$49</f>
        <v>Rendah</v>
      </c>
      <c r="S487" s="8">
        <f>_xlfn.IFS(R487="Rendah",'B.kriteria &amp; R.kecocokan'!$C$49,R487="Sedang",'B.kriteria &amp; R.kecocokan'!$C$50,R487="Tinggi",'B.kriteria &amp; R.kecocokan'!$C$51)</f>
        <v>2.5</v>
      </c>
      <c r="T487" s="8" t="str">
        <f>'B.kriteria &amp; R.kecocokan'!$B$57</f>
        <v>Rendah</v>
      </c>
      <c r="U487" s="51">
        <f>_xlfn.IFS(T487="Rendah",'B.kriteria &amp; R.kecocokan'!$C$57,T487="Sedang",'B.kriteria &amp; R.kecocokan'!$C$58,T487="Tinggi",'B.kriteria &amp; R.kecocokan'!$C$59)</f>
        <v>2.5</v>
      </c>
      <c r="V487" s="51" t="str">
        <f>'B.kriteria &amp; R.kecocokan'!$B$65</f>
        <v>Rendah</v>
      </c>
      <c r="W487" s="9">
        <f>_xlfn.IFS(V487="Rendah",'B.kriteria &amp; R.kecocokan'!$C$65,V487="Sedang",'B.kriteria &amp; R.kecocokan'!$C$66,V487="Tinggi",'B.kriteria &amp; R.kecocokan'!$C$67)</f>
        <v>1</v>
      </c>
      <c r="X487" s="117">
        <f t="shared" si="44"/>
        <v>3.8872171361671977</v>
      </c>
      <c r="Y487" s="117">
        <f t="shared" si="45"/>
        <v>6.0765805066296439</v>
      </c>
      <c r="Z487" s="119">
        <f t="shared" si="46"/>
        <v>3.8872171361671977</v>
      </c>
      <c r="AA487" s="55" t="str">
        <f t="shared" si="47"/>
        <v>Layak</v>
      </c>
    </row>
    <row r="488" spans="1:27" x14ac:dyDescent="0.35">
      <c r="A488" s="5">
        <v>57</v>
      </c>
      <c r="B488" s="2" t="s">
        <v>116</v>
      </c>
      <c r="C488" s="11" t="s">
        <v>92</v>
      </c>
      <c r="D488" s="9" t="str">
        <f>'B.kriteria &amp; R.kecocokan'!$B$23</f>
        <v>Banyak</v>
      </c>
      <c r="E488" s="111">
        <f>_xlfn.IFS(D488="Banyak",'B.kriteria &amp; R.kecocokan'!$C$23,D488="Cukup",'B.kriteria &amp; R.kecocokan'!$C$24,D488="Sedikit",'B.kriteria &amp; R.kecocokan'!$C$25)</f>
        <v>2.5</v>
      </c>
      <c r="F488" s="9" t="str">
        <f>'B.kriteria &amp; R.kecocokan'!$B$34</f>
        <v>Tinggi</v>
      </c>
      <c r="G488" s="8">
        <f>_xlfn.IFS(F488="Tinggi",'B.kriteria &amp; R.kecocokan'!$C$34,F488="Sangat Tinggi",'B.kriteria &amp; R.kecocokan'!$C$35)</f>
        <v>7.5</v>
      </c>
      <c r="H488" s="8" t="str">
        <f>'B.kriteria &amp; R.kecocokan'!$B$41</f>
        <v>Rendah</v>
      </c>
      <c r="I488" s="8">
        <f>_xlfn.IFS(H488="Rendah",'B.kriteria &amp; R.kecocokan'!$C$41,H488="Sedang",'B.kriteria &amp; R.kecocokan'!$C$42,H488="Tinggi",'B.kriteria &amp; R.kecocokan'!$C$43)</f>
        <v>2.5</v>
      </c>
      <c r="J488" s="8" t="str">
        <f>'B.kriteria &amp; R.kecocokan'!$B$72</f>
        <v>Rendah</v>
      </c>
      <c r="K488" s="8">
        <f>_xlfn.IFS(J488="Rendah",'B.kriteria &amp; R.kecocokan'!$C$72,J488="Sedang",'B.kriteria &amp; R.kecocokan'!$C$73,J488="Tinggi",'B.kriteria &amp; R.kecocokan'!$C$74)</f>
        <v>2.5</v>
      </c>
      <c r="L488" s="8" t="str">
        <f>'B.kriteria &amp; R.kecocokan'!$B$95</f>
        <v>Rendah</v>
      </c>
      <c r="M488" s="8">
        <f>_xlfn.IFS(L488="Rendah",'B.kriteria &amp; R.kecocokan'!$C$95,L488="Tinggi",'B.kriteria &amp; R.kecocokan'!$C$96)</f>
        <v>2.5</v>
      </c>
      <c r="N488" s="8" t="str">
        <f>'B.kriteria &amp; R.kecocokan'!$B$80</f>
        <v>Rendah</v>
      </c>
      <c r="O488" s="8">
        <f>_xlfn.IFS(N488="Rendah",'B.kriteria &amp; R.kecocokan'!$C$80,N488="Tinggi",'B.kriteria &amp; R.kecocokan'!$C$81)</f>
        <v>2.5</v>
      </c>
      <c r="P488" s="9" t="str">
        <f>'B.kriteria &amp; R.kecocokan'!$B$88</f>
        <v>Sedang</v>
      </c>
      <c r="Q488" s="8">
        <f>_xlfn.IFS(P488="Sedikit",'B.kriteria &amp; R.kecocokan'!$C$89,P488="Sedang",'B.kriteria &amp; R.kecocokan'!$C$88,P488="Sangat Sedikit",'B.kriteria &amp; R.kecocokan'!$C$90)</f>
        <v>5</v>
      </c>
      <c r="R488" s="8" t="str">
        <f>'B.kriteria &amp; R.kecocokan'!$B$49</f>
        <v>Rendah</v>
      </c>
      <c r="S488" s="8">
        <f>_xlfn.IFS(R488="Rendah",'B.kriteria &amp; R.kecocokan'!$C$49,R488="Sedang",'B.kriteria &amp; R.kecocokan'!$C$50,R488="Tinggi",'B.kriteria &amp; R.kecocokan'!$C$51)</f>
        <v>2.5</v>
      </c>
      <c r="T488" s="8" t="str">
        <f>'B.kriteria &amp; R.kecocokan'!$B$57</f>
        <v>Rendah</v>
      </c>
      <c r="U488" s="51">
        <f>_xlfn.IFS(T488="Rendah",'B.kriteria &amp; R.kecocokan'!$C$57,T488="Sedang",'B.kriteria &amp; R.kecocokan'!$C$58,T488="Tinggi",'B.kriteria &amp; R.kecocokan'!$C$59)</f>
        <v>2.5</v>
      </c>
      <c r="V488" s="51" t="str">
        <f>'B.kriteria &amp; R.kecocokan'!$B$65</f>
        <v>Rendah</v>
      </c>
      <c r="W488" s="9">
        <f>_xlfn.IFS(V488="Rendah",'B.kriteria &amp; R.kecocokan'!$C$65,V488="Sedang",'B.kriteria &amp; R.kecocokan'!$C$66,V488="Tinggi",'B.kriteria &amp; R.kecocokan'!$C$67)</f>
        <v>1</v>
      </c>
      <c r="X488" s="117">
        <f t="shared" si="44"/>
        <v>7.2623712388640893</v>
      </c>
      <c r="Y488" s="117">
        <f t="shared" si="45"/>
        <v>2.9786236879814156</v>
      </c>
      <c r="Z488" s="119">
        <f t="shared" si="46"/>
        <v>2.9786236879814156</v>
      </c>
      <c r="AA488" s="55" t="str">
        <f t="shared" si="47"/>
        <v>Tidak Layak</v>
      </c>
    </row>
    <row r="489" spans="1:27" x14ac:dyDescent="0.35">
      <c r="A489" s="5">
        <v>58</v>
      </c>
      <c r="B489" s="2" t="s">
        <v>230</v>
      </c>
      <c r="C489" s="11" t="s">
        <v>92</v>
      </c>
      <c r="D489" s="28" t="str">
        <f>'B.kriteria &amp; R.kecocokan'!$B$25</f>
        <v>Sedikit</v>
      </c>
      <c r="E489" s="111">
        <f>_xlfn.IFS(D489="Banyak",'B.kriteria &amp; R.kecocokan'!$C$23,D489="Cukup",'B.kriteria &amp; R.kecocokan'!$C$24,D489="Sedikit",'B.kriteria &amp; R.kecocokan'!$C$25)</f>
        <v>7.5</v>
      </c>
      <c r="F489" s="9" t="str">
        <f>'B.kriteria &amp; R.kecocokan'!$B$34</f>
        <v>Tinggi</v>
      </c>
      <c r="G489" s="8">
        <f>_xlfn.IFS(F489="Tinggi",'B.kriteria &amp; R.kecocokan'!$C$34,F489="Sangat Tinggi",'B.kriteria &amp; R.kecocokan'!$C$35)</f>
        <v>7.5</v>
      </c>
      <c r="H489" s="8" t="str">
        <f>'B.kriteria &amp; R.kecocokan'!$B$41</f>
        <v>Rendah</v>
      </c>
      <c r="I489" s="8">
        <f>_xlfn.IFS(H489="Rendah",'B.kriteria &amp; R.kecocokan'!$C$41,H489="Sedang",'B.kriteria &amp; R.kecocokan'!$C$42,H489="Tinggi",'B.kriteria &amp; R.kecocokan'!$C$43)</f>
        <v>2.5</v>
      </c>
      <c r="J489" s="8" t="str">
        <f>'B.kriteria &amp; R.kecocokan'!$B$72</f>
        <v>Rendah</v>
      </c>
      <c r="K489" s="8">
        <f>_xlfn.IFS(J489="Rendah",'B.kriteria &amp; R.kecocokan'!$C$72,J489="Sedang",'B.kriteria &amp; R.kecocokan'!$C$73,J489="Tinggi",'B.kriteria &amp; R.kecocokan'!$C$74)</f>
        <v>2.5</v>
      </c>
      <c r="L489" s="8" t="str">
        <f>'B.kriteria &amp; R.kecocokan'!$B$95</f>
        <v>Rendah</v>
      </c>
      <c r="M489" s="8">
        <f>_xlfn.IFS(L489="Rendah",'B.kriteria &amp; R.kecocokan'!$C$95,L489="Tinggi",'B.kriteria &amp; R.kecocokan'!$C$96)</f>
        <v>2.5</v>
      </c>
      <c r="N489" s="8" t="str">
        <f>'B.kriteria &amp; R.kecocokan'!$B$80</f>
        <v>Rendah</v>
      </c>
      <c r="O489" s="8">
        <f>_xlfn.IFS(N489="Rendah",'B.kriteria &amp; R.kecocokan'!$C$80,N489="Tinggi",'B.kriteria &amp; R.kecocokan'!$C$81)</f>
        <v>2.5</v>
      </c>
      <c r="P489" s="9" t="str">
        <f>'B.kriteria &amp; R.kecocokan'!$B$88</f>
        <v>Sedang</v>
      </c>
      <c r="Q489" s="8">
        <f>_xlfn.IFS(P489="Sedikit",'B.kriteria &amp; R.kecocokan'!$C$89,P489="Sedang",'B.kriteria &amp; R.kecocokan'!$C$88,P489="Sangat Sedikit",'B.kriteria &amp; R.kecocokan'!$C$90)</f>
        <v>5</v>
      </c>
      <c r="R489" s="8" t="str">
        <f>'B.kriteria &amp; R.kecocokan'!$B$49</f>
        <v>Rendah</v>
      </c>
      <c r="S489" s="8">
        <f>_xlfn.IFS(R489="Rendah",'B.kriteria &amp; R.kecocokan'!$C$49,R489="Sedang",'B.kriteria &amp; R.kecocokan'!$C$50,R489="Tinggi",'B.kriteria &amp; R.kecocokan'!$C$51)</f>
        <v>2.5</v>
      </c>
      <c r="T489" s="8" t="str">
        <f>'B.kriteria &amp; R.kecocokan'!$B$57</f>
        <v>Rendah</v>
      </c>
      <c r="U489" s="51">
        <f>_xlfn.IFS(T489="Rendah",'B.kriteria &amp; R.kecocokan'!$C$57,T489="Sedang",'B.kriteria &amp; R.kecocokan'!$C$58,T489="Tinggi",'B.kriteria &amp; R.kecocokan'!$C$59)</f>
        <v>2.5</v>
      </c>
      <c r="V489" s="51" t="str">
        <f>'B.kriteria &amp; R.kecocokan'!$B$65</f>
        <v>Rendah</v>
      </c>
      <c r="W489" s="9">
        <f>_xlfn.IFS(V489="Rendah",'B.kriteria &amp; R.kecocokan'!$C$65,V489="Sedang",'B.kriteria &amp; R.kecocokan'!$C$66,V489="Tinggi",'B.kriteria &amp; R.kecocokan'!$C$67)</f>
        <v>1</v>
      </c>
      <c r="X489" s="117">
        <f t="shared" si="44"/>
        <v>6.446535929067994</v>
      </c>
      <c r="Y489" s="117">
        <f t="shared" si="45"/>
        <v>3.3384017654157931</v>
      </c>
      <c r="Z489" s="119">
        <f t="shared" si="46"/>
        <v>3.3384017654157931</v>
      </c>
      <c r="AA489" s="55" t="str">
        <f t="shared" si="47"/>
        <v>Tidak Layak</v>
      </c>
    </row>
    <row r="490" spans="1:27" x14ac:dyDescent="0.35">
      <c r="A490" s="1">
        <v>59</v>
      </c>
      <c r="B490" s="2" t="s">
        <v>118</v>
      </c>
      <c r="C490" s="11" t="s">
        <v>92</v>
      </c>
      <c r="D490" s="9" t="str">
        <f>'B.kriteria &amp; R.kecocokan'!$B$23</f>
        <v>Banyak</v>
      </c>
      <c r="E490" s="111">
        <f>_xlfn.IFS(D490="Banyak",'B.kriteria &amp; R.kecocokan'!$C$23,D490="Cukup",'B.kriteria &amp; R.kecocokan'!$C$24,D490="Sedikit",'B.kriteria &amp; R.kecocokan'!$C$25)</f>
        <v>2.5</v>
      </c>
      <c r="F490" s="9" t="str">
        <f>'B.kriteria &amp; R.kecocokan'!$B$34</f>
        <v>Tinggi</v>
      </c>
      <c r="G490" s="8">
        <f>_xlfn.IFS(F490="Tinggi",'B.kriteria &amp; R.kecocokan'!$C$34,F490="Sangat Tinggi",'B.kriteria &amp; R.kecocokan'!$C$35)</f>
        <v>7.5</v>
      </c>
      <c r="H490" s="8" t="str">
        <f>'B.kriteria &amp; R.kecocokan'!$B$41</f>
        <v>Rendah</v>
      </c>
      <c r="I490" s="8">
        <f>_xlfn.IFS(H490="Rendah",'B.kriteria &amp; R.kecocokan'!$C$41,H490="Sedang",'B.kriteria &amp; R.kecocokan'!$C$42,H490="Tinggi",'B.kriteria &amp; R.kecocokan'!$C$43)</f>
        <v>2.5</v>
      </c>
      <c r="J490" s="8" t="str">
        <f>'B.kriteria &amp; R.kecocokan'!$B$72</f>
        <v>Rendah</v>
      </c>
      <c r="K490" s="8">
        <f>_xlfn.IFS(J490="Rendah",'B.kriteria &amp; R.kecocokan'!$C$72,J490="Sedang",'B.kriteria &amp; R.kecocokan'!$C$73,J490="Tinggi",'B.kriteria &amp; R.kecocokan'!$C$74)</f>
        <v>2.5</v>
      </c>
      <c r="L490" s="8" t="str">
        <f>'B.kriteria &amp; R.kecocokan'!$B$95</f>
        <v>Rendah</v>
      </c>
      <c r="M490" s="8">
        <f>_xlfn.IFS(L490="Rendah",'B.kriteria &amp; R.kecocokan'!$C$95,L490="Tinggi",'B.kriteria &amp; R.kecocokan'!$C$96)</f>
        <v>2.5</v>
      </c>
      <c r="N490" s="8" t="str">
        <f>'B.kriteria &amp; R.kecocokan'!$B$80</f>
        <v>Rendah</v>
      </c>
      <c r="O490" s="8">
        <f>_xlfn.IFS(N490="Rendah",'B.kriteria &amp; R.kecocokan'!$C$80,N490="Tinggi",'B.kriteria &amp; R.kecocokan'!$C$81)</f>
        <v>2.5</v>
      </c>
      <c r="P490" s="9" t="str">
        <f>'B.kriteria &amp; R.kecocokan'!$B$90</f>
        <v>Sangat Sedikit</v>
      </c>
      <c r="Q490" s="8">
        <f>_xlfn.IFS(P490="Sedikit",'B.kriteria &amp; R.kecocokan'!$C$89,P490="Sedang",'B.kriteria &amp; R.kecocokan'!$C$88,P490="Sangat Sedikit",'B.kriteria &amp; R.kecocokan'!$C$90)</f>
        <v>1</v>
      </c>
      <c r="R490" s="8" t="str">
        <f>'B.kriteria &amp; R.kecocokan'!$B$49</f>
        <v>Rendah</v>
      </c>
      <c r="S490" s="8">
        <f>_xlfn.IFS(R490="Rendah",'B.kriteria &amp; R.kecocokan'!$C$49,R490="Sedang",'B.kriteria &amp; R.kecocokan'!$C$50,R490="Tinggi",'B.kriteria &amp; R.kecocokan'!$C$51)</f>
        <v>2.5</v>
      </c>
      <c r="T490" s="8" t="str">
        <f>'B.kriteria &amp; R.kecocokan'!$B$57</f>
        <v>Rendah</v>
      </c>
      <c r="U490" s="51">
        <f>_xlfn.IFS(T490="Rendah",'B.kriteria &amp; R.kecocokan'!$C$57,T490="Sedang",'B.kriteria &amp; R.kecocokan'!$C$58,T490="Tinggi",'B.kriteria &amp; R.kecocokan'!$C$59)</f>
        <v>2.5</v>
      </c>
      <c r="V490" s="51" t="str">
        <f>'B.kriteria &amp; R.kecocokan'!$B$65</f>
        <v>Rendah</v>
      </c>
      <c r="W490" s="9">
        <f>_xlfn.IFS(V490="Rendah",'B.kriteria &amp; R.kecocokan'!$C$65,V490="Sedang",'B.kriteria &amp; R.kecocokan'!$C$66,V490="Tinggi",'B.kriteria &amp; R.kecocokan'!$C$67)</f>
        <v>1</v>
      </c>
      <c r="X490" s="117">
        <f t="shared" si="44"/>
        <v>6.3332816978018514</v>
      </c>
      <c r="Y490" s="117">
        <f t="shared" si="45"/>
        <v>3.323798680891374</v>
      </c>
      <c r="Z490" s="119">
        <f t="shared" si="46"/>
        <v>3.323798680891374</v>
      </c>
      <c r="AA490" s="55" t="str">
        <f t="shared" si="47"/>
        <v>Tidak Layak</v>
      </c>
    </row>
    <row r="491" spans="1:27" x14ac:dyDescent="0.35">
      <c r="A491" s="5">
        <v>60</v>
      </c>
      <c r="B491" s="2" t="s">
        <v>203</v>
      </c>
      <c r="C491" s="11" t="s">
        <v>95</v>
      </c>
      <c r="D491" s="28" t="str">
        <f>'B.kriteria &amp; R.kecocokan'!$B$25</f>
        <v>Sedikit</v>
      </c>
      <c r="E491" s="111">
        <f>_xlfn.IFS(D491="Banyak",'B.kriteria &amp; R.kecocokan'!$C$23,D491="Cukup",'B.kriteria &amp; R.kecocokan'!$C$24,D491="Sedikit",'B.kriteria &amp; R.kecocokan'!$C$25)</f>
        <v>7.5</v>
      </c>
      <c r="F491" s="9" t="str">
        <f>'B.kriteria &amp; R.kecocokan'!$B$34</f>
        <v>Tinggi</v>
      </c>
      <c r="G491" s="8">
        <f>_xlfn.IFS(F491="Tinggi",'B.kriteria &amp; R.kecocokan'!$C$34,F491="Sangat Tinggi",'B.kriteria &amp; R.kecocokan'!$C$35)</f>
        <v>7.5</v>
      </c>
      <c r="H491" s="8" t="str">
        <f>'B.kriteria &amp; R.kecocokan'!$B$41</f>
        <v>Rendah</v>
      </c>
      <c r="I491" s="8">
        <f>_xlfn.IFS(H491="Rendah",'B.kriteria &amp; R.kecocokan'!$C$41,H491="Sedang",'B.kriteria &amp; R.kecocokan'!$C$42,H491="Tinggi",'B.kriteria &amp; R.kecocokan'!$C$43)</f>
        <v>2.5</v>
      </c>
      <c r="J491" s="8" t="str">
        <f>'B.kriteria &amp; R.kecocokan'!$B$72</f>
        <v>Rendah</v>
      </c>
      <c r="K491" s="8">
        <f>_xlfn.IFS(J491="Rendah",'B.kriteria &amp; R.kecocokan'!$C$72,J491="Sedang",'B.kriteria &amp; R.kecocokan'!$C$73,J491="Tinggi",'B.kriteria &amp; R.kecocokan'!$C$74)</f>
        <v>2.5</v>
      </c>
      <c r="L491" s="8" t="str">
        <f>'B.kriteria &amp; R.kecocokan'!$B$95</f>
        <v>Rendah</v>
      </c>
      <c r="M491" s="8">
        <f>_xlfn.IFS(L491="Rendah",'B.kriteria &amp; R.kecocokan'!$C$95,L491="Tinggi",'B.kriteria &amp; R.kecocokan'!$C$96)</f>
        <v>2.5</v>
      </c>
      <c r="N491" s="9" t="str">
        <f>'B.kriteria &amp; R.kecocokan'!$B$81</f>
        <v>Tinggi</v>
      </c>
      <c r="O491" s="8">
        <f>_xlfn.IFS(N491="Rendah",'B.kriteria &amp; R.kecocokan'!$C$80,N491="Tinggi",'B.kriteria &amp; R.kecocokan'!$C$81)</f>
        <v>7.5</v>
      </c>
      <c r="P491" s="9" t="str">
        <f>'B.kriteria &amp; R.kecocokan'!$B$90</f>
        <v>Sangat Sedikit</v>
      </c>
      <c r="Q491" s="8">
        <f>_xlfn.IFS(P491="Sedikit",'B.kriteria &amp; R.kecocokan'!$C$89,P491="Sedang",'B.kriteria &amp; R.kecocokan'!$C$88,P491="Sangat Sedikit",'B.kriteria &amp; R.kecocokan'!$C$90)</f>
        <v>1</v>
      </c>
      <c r="R491" s="8" t="str">
        <f>'B.kriteria &amp; R.kecocokan'!$B$49</f>
        <v>Rendah</v>
      </c>
      <c r="S491" s="8">
        <f>_xlfn.IFS(R491="Rendah",'B.kriteria &amp; R.kecocokan'!$C$49,R491="Sedang",'B.kriteria &amp; R.kecocokan'!$C$50,R491="Tinggi",'B.kriteria &amp; R.kecocokan'!$C$51)</f>
        <v>2.5</v>
      </c>
      <c r="T491" s="8" t="str">
        <f>'B.kriteria &amp; R.kecocokan'!$B$57</f>
        <v>Rendah</v>
      </c>
      <c r="U491" s="51">
        <f>_xlfn.IFS(T491="Rendah",'B.kriteria &amp; R.kecocokan'!$C$57,T491="Sedang",'B.kriteria &amp; R.kecocokan'!$C$58,T491="Tinggi",'B.kriteria &amp; R.kecocokan'!$C$59)</f>
        <v>2.5</v>
      </c>
      <c r="V491" s="51" t="str">
        <f>'B.kriteria &amp; R.kecocokan'!$B$65</f>
        <v>Rendah</v>
      </c>
      <c r="W491" s="9">
        <f>_xlfn.IFS(V491="Rendah",'B.kriteria &amp; R.kecocokan'!$C$65,V491="Sedang",'B.kriteria &amp; R.kecocokan'!$C$66,V491="Tinggi",'B.kriteria &amp; R.kecocokan'!$C$67)</f>
        <v>1</v>
      </c>
      <c r="X491" s="117">
        <f t="shared" si="44"/>
        <v>1.9814758482999792</v>
      </c>
      <c r="Y491" s="117">
        <f t="shared" si="45"/>
        <v>6.2607953110031191</v>
      </c>
      <c r="Z491" s="119">
        <f t="shared" si="46"/>
        <v>1.9814758482999792</v>
      </c>
      <c r="AA491" s="55" t="str">
        <f t="shared" si="47"/>
        <v>Layak</v>
      </c>
    </row>
    <row r="492" spans="1:27" x14ac:dyDescent="0.35">
      <c r="A492" s="5">
        <v>61</v>
      </c>
      <c r="B492" s="2" t="s">
        <v>123</v>
      </c>
      <c r="C492" s="11" t="s">
        <v>95</v>
      </c>
      <c r="D492" s="28" t="str">
        <f>'B.kriteria &amp; R.kecocokan'!$B$25</f>
        <v>Sedikit</v>
      </c>
      <c r="E492" s="111">
        <f>_xlfn.IFS(D492="Banyak",'B.kriteria &amp; R.kecocokan'!$C$23,D492="Cukup",'B.kriteria &amp; R.kecocokan'!$C$24,D492="Sedikit",'B.kriteria &amp; R.kecocokan'!$C$25)</f>
        <v>7.5</v>
      </c>
      <c r="F492" s="9" t="str">
        <f>'B.kriteria &amp; R.kecocokan'!$B$34</f>
        <v>Tinggi</v>
      </c>
      <c r="G492" s="8">
        <f>_xlfn.IFS(F492="Tinggi",'B.kriteria &amp; R.kecocokan'!$C$34,F492="Sangat Tinggi",'B.kriteria &amp; R.kecocokan'!$C$35)</f>
        <v>7.5</v>
      </c>
      <c r="H492" s="8" t="str">
        <f>'B.kriteria &amp; R.kecocokan'!$B$41</f>
        <v>Rendah</v>
      </c>
      <c r="I492" s="8">
        <f>_xlfn.IFS(H492="Rendah",'B.kriteria &amp; R.kecocokan'!$C$41,H492="Sedang",'B.kriteria &amp; R.kecocokan'!$C$42,H492="Tinggi",'B.kriteria &amp; R.kecocokan'!$C$43)</f>
        <v>2.5</v>
      </c>
      <c r="J492" s="8" t="str">
        <f>'B.kriteria &amp; R.kecocokan'!$B$72</f>
        <v>Rendah</v>
      </c>
      <c r="K492" s="8">
        <f>_xlfn.IFS(J492="Rendah",'B.kriteria &amp; R.kecocokan'!$C$72,J492="Sedang",'B.kriteria &amp; R.kecocokan'!$C$73,J492="Tinggi",'B.kriteria &amp; R.kecocokan'!$C$74)</f>
        <v>2.5</v>
      </c>
      <c r="L492" s="8" t="str">
        <f>'B.kriteria &amp; R.kecocokan'!$B$95</f>
        <v>Rendah</v>
      </c>
      <c r="M492" s="8">
        <f>_xlfn.IFS(L492="Rendah",'B.kriteria &amp; R.kecocokan'!$C$95,L492="Tinggi",'B.kriteria &amp; R.kecocokan'!$C$96)</f>
        <v>2.5</v>
      </c>
      <c r="N492" s="8" t="str">
        <f>'B.kriteria &amp; R.kecocokan'!$B$80</f>
        <v>Rendah</v>
      </c>
      <c r="O492" s="8">
        <f>_xlfn.IFS(N492="Rendah",'B.kriteria &amp; R.kecocokan'!$C$80,N492="Tinggi",'B.kriteria &amp; R.kecocokan'!$C$81)</f>
        <v>2.5</v>
      </c>
      <c r="P492" s="8" t="str">
        <f>'B.kriteria &amp; R.kecocokan'!$B$89</f>
        <v>Sedikit</v>
      </c>
      <c r="Q492" s="8">
        <f>_xlfn.IFS(P492="Sedikit",'B.kriteria &amp; R.kecocokan'!$C$89,P492="Sedang",'B.kriteria &amp; R.kecocokan'!$C$88,P492="Sangat Sedikit",'B.kriteria &amp; R.kecocokan'!$C$90)</f>
        <v>2.5</v>
      </c>
      <c r="R492" s="8" t="str">
        <f>'B.kriteria &amp; R.kecocokan'!$B$49</f>
        <v>Rendah</v>
      </c>
      <c r="S492" s="8">
        <f>_xlfn.IFS(R492="Rendah",'B.kriteria &amp; R.kecocokan'!$C$49,R492="Sedang",'B.kriteria &amp; R.kecocokan'!$C$50,R492="Tinggi",'B.kriteria &amp; R.kecocokan'!$C$51)</f>
        <v>2.5</v>
      </c>
      <c r="T492" s="8" t="str">
        <f>'B.kriteria &amp; R.kecocokan'!$B$57</f>
        <v>Rendah</v>
      </c>
      <c r="U492" s="51">
        <f>_xlfn.IFS(T492="Rendah",'B.kriteria &amp; R.kecocokan'!$C$57,T492="Sedang",'B.kriteria &amp; R.kecocokan'!$C$58,T492="Tinggi",'B.kriteria &amp; R.kecocokan'!$C$59)</f>
        <v>2.5</v>
      </c>
      <c r="V492" s="51" t="str">
        <f>'B.kriteria &amp; R.kecocokan'!$B$65</f>
        <v>Rendah</v>
      </c>
      <c r="W492" s="9">
        <f>_xlfn.IFS(V492="Rendah",'B.kriteria &amp; R.kecocokan'!$C$65,V492="Sedang",'B.kriteria &amp; R.kecocokan'!$C$66,V492="Tinggi",'B.kriteria &amp; R.kecocokan'!$C$67)</f>
        <v>1</v>
      </c>
      <c r="X492" s="117">
        <f t="shared" si="44"/>
        <v>5.4692859353538354</v>
      </c>
      <c r="Y492" s="117">
        <f t="shared" si="45"/>
        <v>2.9588131860829439</v>
      </c>
      <c r="Z492" s="119">
        <f t="shared" si="46"/>
        <v>2.9588131860829439</v>
      </c>
      <c r="AA492" s="55" t="str">
        <f t="shared" si="47"/>
        <v>Tidak Layak</v>
      </c>
    </row>
    <row r="493" spans="1:27" x14ac:dyDescent="0.35">
      <c r="A493" s="1">
        <v>62</v>
      </c>
      <c r="B493" s="2" t="s">
        <v>233</v>
      </c>
      <c r="C493" s="11" t="s">
        <v>95</v>
      </c>
      <c r="D493" s="28" t="str">
        <f>'B.kriteria &amp; R.kecocokan'!$B$25</f>
        <v>Sedikit</v>
      </c>
      <c r="E493" s="111">
        <f>_xlfn.IFS(D493="Banyak",'B.kriteria &amp; R.kecocokan'!$C$23,D493="Cukup",'B.kriteria &amp; R.kecocokan'!$C$24,D493="Sedikit",'B.kriteria &amp; R.kecocokan'!$C$25)</f>
        <v>7.5</v>
      </c>
      <c r="F493" s="9" t="str">
        <f>'B.kriteria &amp; R.kecocokan'!$B$34</f>
        <v>Tinggi</v>
      </c>
      <c r="G493" s="8">
        <f>_xlfn.IFS(F493="Tinggi",'B.kriteria &amp; R.kecocokan'!$C$34,F493="Sangat Tinggi",'B.kriteria &amp; R.kecocokan'!$C$35)</f>
        <v>7.5</v>
      </c>
      <c r="H493" s="8" t="str">
        <f>'B.kriteria &amp; R.kecocokan'!$B$41</f>
        <v>Rendah</v>
      </c>
      <c r="I493" s="8">
        <f>_xlfn.IFS(H493="Rendah",'B.kriteria &amp; R.kecocokan'!$C$41,H493="Sedang",'B.kriteria &amp; R.kecocokan'!$C$42,H493="Tinggi",'B.kriteria &amp; R.kecocokan'!$C$43)</f>
        <v>2.5</v>
      </c>
      <c r="J493" s="8" t="str">
        <f>'B.kriteria &amp; R.kecocokan'!$B$72</f>
        <v>Rendah</v>
      </c>
      <c r="K493" s="8">
        <f>_xlfn.IFS(J493="Rendah",'B.kriteria &amp; R.kecocokan'!$C$72,J493="Sedang",'B.kriteria &amp; R.kecocokan'!$C$73,J493="Tinggi",'B.kriteria &amp; R.kecocokan'!$C$74)</f>
        <v>2.5</v>
      </c>
      <c r="L493" s="8" t="str">
        <f>'B.kriteria &amp; R.kecocokan'!$B$95</f>
        <v>Rendah</v>
      </c>
      <c r="M493" s="8">
        <f>_xlfn.IFS(L493="Rendah",'B.kriteria &amp; R.kecocokan'!$C$95,L493="Tinggi",'B.kriteria &amp; R.kecocokan'!$C$96)</f>
        <v>2.5</v>
      </c>
      <c r="N493" s="9" t="str">
        <f>'B.kriteria &amp; R.kecocokan'!$B$81</f>
        <v>Tinggi</v>
      </c>
      <c r="O493" s="8">
        <f>_xlfn.IFS(N493="Rendah",'B.kriteria &amp; R.kecocokan'!$C$80,N493="Tinggi",'B.kriteria &amp; R.kecocokan'!$C$81)</f>
        <v>7.5</v>
      </c>
      <c r="P493" s="9" t="str">
        <f>'B.kriteria &amp; R.kecocokan'!$B$90</f>
        <v>Sangat Sedikit</v>
      </c>
      <c r="Q493" s="8">
        <f>_xlfn.IFS(P493="Sedikit",'B.kriteria &amp; R.kecocokan'!$C$89,P493="Sedang",'B.kriteria &amp; R.kecocokan'!$C$88,P493="Sangat Sedikit",'B.kriteria &amp; R.kecocokan'!$C$90)</f>
        <v>1</v>
      </c>
      <c r="R493" s="8" t="str">
        <f>'B.kriteria &amp; R.kecocokan'!$B$49</f>
        <v>Rendah</v>
      </c>
      <c r="S493" s="8">
        <f>_xlfn.IFS(R493="Rendah",'B.kriteria &amp; R.kecocokan'!$C$49,R493="Sedang",'B.kriteria &amp; R.kecocokan'!$C$50,R493="Tinggi",'B.kriteria &amp; R.kecocokan'!$C$51)</f>
        <v>2.5</v>
      </c>
      <c r="T493" s="8" t="str">
        <f>'B.kriteria &amp; R.kecocokan'!$B$57</f>
        <v>Rendah</v>
      </c>
      <c r="U493" s="51">
        <f>_xlfn.IFS(T493="Rendah",'B.kriteria &amp; R.kecocokan'!$C$57,T493="Sedang",'B.kriteria &amp; R.kecocokan'!$C$58,T493="Tinggi",'B.kriteria &amp; R.kecocokan'!$C$59)</f>
        <v>2.5</v>
      </c>
      <c r="V493" s="51" t="str">
        <f>'B.kriteria &amp; R.kecocokan'!$B$65</f>
        <v>Rendah</v>
      </c>
      <c r="W493" s="9">
        <f>_xlfn.IFS(V493="Rendah",'B.kriteria &amp; R.kecocokan'!$C$65,V493="Sedang",'B.kriteria &amp; R.kecocokan'!$C$66,V493="Tinggi",'B.kriteria &amp; R.kecocokan'!$C$67)</f>
        <v>1</v>
      </c>
      <c r="X493" s="117">
        <f t="shared" si="44"/>
        <v>1.9814758482999792</v>
      </c>
      <c r="Y493" s="117">
        <f t="shared" si="45"/>
        <v>6.2607953110031191</v>
      </c>
      <c r="Z493" s="119">
        <f t="shared" si="46"/>
        <v>1.9814758482999792</v>
      </c>
      <c r="AA493" s="55" t="str">
        <f t="shared" si="47"/>
        <v>Layak</v>
      </c>
    </row>
    <row r="494" spans="1:27" x14ac:dyDescent="0.35">
      <c r="A494" s="5">
        <v>63</v>
      </c>
      <c r="B494" s="2" t="s">
        <v>211</v>
      </c>
      <c r="C494" s="11" t="s">
        <v>95</v>
      </c>
      <c r="D494" s="9" t="str">
        <f>'B.kriteria &amp; R.kecocokan'!$B$23</f>
        <v>Banyak</v>
      </c>
      <c r="E494" s="111">
        <f>_xlfn.IFS(D494="Banyak",'B.kriteria &amp; R.kecocokan'!$C$23,D494="Cukup",'B.kriteria &amp; R.kecocokan'!$C$24,D494="Sedikit",'B.kriteria &amp; R.kecocokan'!$C$25)</f>
        <v>2.5</v>
      </c>
      <c r="F494" s="9" t="str">
        <f>'B.kriteria &amp; R.kecocokan'!$B$34</f>
        <v>Tinggi</v>
      </c>
      <c r="G494" s="8">
        <f>_xlfn.IFS(F494="Tinggi",'B.kriteria &amp; R.kecocokan'!$C$34,F494="Sangat Tinggi",'B.kriteria &amp; R.kecocokan'!$C$35)</f>
        <v>7.5</v>
      </c>
      <c r="H494" s="8" t="str">
        <f>'B.kriteria &amp; R.kecocokan'!$B$41</f>
        <v>Rendah</v>
      </c>
      <c r="I494" s="8">
        <f>_xlfn.IFS(H494="Rendah",'B.kriteria &amp; R.kecocokan'!$C$41,H494="Sedang",'B.kriteria &amp; R.kecocokan'!$C$42,H494="Tinggi",'B.kriteria &amp; R.kecocokan'!$C$43)</f>
        <v>2.5</v>
      </c>
      <c r="J494" s="8" t="str">
        <f>'B.kriteria &amp; R.kecocokan'!$B$72</f>
        <v>Rendah</v>
      </c>
      <c r="K494" s="8">
        <f>_xlfn.IFS(J494="Rendah",'B.kriteria &amp; R.kecocokan'!$C$72,J494="Sedang",'B.kriteria &amp; R.kecocokan'!$C$73,J494="Tinggi",'B.kriteria &amp; R.kecocokan'!$C$74)</f>
        <v>2.5</v>
      </c>
      <c r="L494" s="8" t="str">
        <f>'B.kriteria &amp; R.kecocokan'!$B$95</f>
        <v>Rendah</v>
      </c>
      <c r="M494" s="8">
        <f>_xlfn.IFS(L494="Rendah",'B.kriteria &amp; R.kecocokan'!$C$95,L494="Tinggi",'B.kriteria &amp; R.kecocokan'!$C$96)</f>
        <v>2.5</v>
      </c>
      <c r="N494" s="9" t="str">
        <f>'B.kriteria &amp; R.kecocokan'!$B$81</f>
        <v>Tinggi</v>
      </c>
      <c r="O494" s="8">
        <f>_xlfn.IFS(N494="Rendah",'B.kriteria &amp; R.kecocokan'!$C$80,N494="Tinggi",'B.kriteria &amp; R.kecocokan'!$C$81)</f>
        <v>7.5</v>
      </c>
      <c r="P494" s="9" t="str">
        <f>'B.kriteria &amp; R.kecocokan'!$B$90</f>
        <v>Sangat Sedikit</v>
      </c>
      <c r="Q494" s="8">
        <f>_xlfn.IFS(P494="Sedikit",'B.kriteria &amp; R.kecocokan'!$C$89,P494="Sedang",'B.kriteria &amp; R.kecocokan'!$C$88,P494="Sangat Sedikit",'B.kriteria &amp; R.kecocokan'!$C$90)</f>
        <v>1</v>
      </c>
      <c r="R494" s="8" t="str">
        <f>'B.kriteria &amp; R.kecocokan'!$B$49</f>
        <v>Rendah</v>
      </c>
      <c r="S494" s="8">
        <f>_xlfn.IFS(R494="Rendah",'B.kriteria &amp; R.kecocokan'!$C$49,R494="Sedang",'B.kriteria &amp; R.kecocokan'!$C$50,R494="Tinggi",'B.kriteria &amp; R.kecocokan'!$C$51)</f>
        <v>2.5</v>
      </c>
      <c r="T494" s="8" t="str">
        <f>'B.kriteria &amp; R.kecocokan'!$B$57</f>
        <v>Rendah</v>
      </c>
      <c r="U494" s="51">
        <f>_xlfn.IFS(T494="Rendah",'B.kriteria &amp; R.kecocokan'!$C$57,T494="Sedang",'B.kriteria &amp; R.kecocokan'!$C$58,T494="Tinggi",'B.kriteria &amp; R.kecocokan'!$C$59)</f>
        <v>2.5</v>
      </c>
      <c r="V494" s="51" t="str">
        <f>'B.kriteria &amp; R.kecocokan'!$B$65</f>
        <v>Rendah</v>
      </c>
      <c r="W494" s="9">
        <f>_xlfn.IFS(V494="Rendah",'B.kriteria &amp; R.kecocokan'!$C$65,V494="Sedang",'B.kriteria &amp; R.kecocokan'!$C$66,V494="Tinggi",'B.kriteria &amp; R.kecocokan'!$C$67)</f>
        <v>1</v>
      </c>
      <c r="X494" s="117">
        <f t="shared" si="44"/>
        <v>3.8872171361671977</v>
      </c>
      <c r="Y494" s="117">
        <f t="shared" si="45"/>
        <v>6.0765805066296439</v>
      </c>
      <c r="Z494" s="119">
        <f t="shared" si="46"/>
        <v>3.8872171361671977</v>
      </c>
      <c r="AA494" s="55" t="str">
        <f t="shared" si="47"/>
        <v>Layak</v>
      </c>
    </row>
    <row r="495" spans="1:27" x14ac:dyDescent="0.35">
      <c r="A495" s="5">
        <v>64</v>
      </c>
      <c r="B495" s="2" t="s">
        <v>207</v>
      </c>
      <c r="C495" s="11" t="s">
        <v>235</v>
      </c>
      <c r="D495" s="28" t="str">
        <f>'B.kriteria &amp; R.kecocokan'!$B$25</f>
        <v>Sedikit</v>
      </c>
      <c r="E495" s="111">
        <f>_xlfn.IFS(D495="Banyak",'B.kriteria &amp; R.kecocokan'!$C$23,D495="Cukup",'B.kriteria &amp; R.kecocokan'!$C$24,D495="Sedikit",'B.kriteria &amp; R.kecocokan'!$C$25)</f>
        <v>7.5</v>
      </c>
      <c r="F495" s="9" t="str">
        <f>'B.kriteria &amp; R.kecocokan'!$B$34</f>
        <v>Tinggi</v>
      </c>
      <c r="G495" s="8">
        <f>_xlfn.IFS(F495="Tinggi",'B.kriteria &amp; R.kecocokan'!$C$34,F495="Sangat Tinggi",'B.kriteria &amp; R.kecocokan'!$C$35)</f>
        <v>7.5</v>
      </c>
      <c r="H495" s="8" t="str">
        <f>'B.kriteria &amp; R.kecocokan'!$B$41</f>
        <v>Rendah</v>
      </c>
      <c r="I495" s="8">
        <f>_xlfn.IFS(H495="Rendah",'B.kriteria &amp; R.kecocokan'!$C$41,H495="Sedang",'B.kriteria &amp; R.kecocokan'!$C$42,H495="Tinggi",'B.kriteria &amp; R.kecocokan'!$C$43)</f>
        <v>2.5</v>
      </c>
      <c r="J495" s="8" t="str">
        <f>'B.kriteria &amp; R.kecocokan'!$B$72</f>
        <v>Rendah</v>
      </c>
      <c r="K495" s="8">
        <f>_xlfn.IFS(J495="Rendah",'B.kriteria &amp; R.kecocokan'!$C$72,J495="Sedang",'B.kriteria &amp; R.kecocokan'!$C$73,J495="Tinggi",'B.kriteria &amp; R.kecocokan'!$C$74)</f>
        <v>2.5</v>
      </c>
      <c r="L495" s="8" t="str">
        <f>'B.kriteria &amp; R.kecocokan'!$B$95</f>
        <v>Rendah</v>
      </c>
      <c r="M495" s="8">
        <f>_xlfn.IFS(L495="Rendah",'B.kriteria &amp; R.kecocokan'!$C$95,L495="Tinggi",'B.kriteria &amp; R.kecocokan'!$C$96)</f>
        <v>2.5</v>
      </c>
      <c r="N495" s="9" t="str">
        <f>'B.kriteria &amp; R.kecocokan'!$B$81</f>
        <v>Tinggi</v>
      </c>
      <c r="O495" s="8">
        <f>_xlfn.IFS(N495="Rendah",'B.kriteria &amp; R.kecocokan'!$C$80,N495="Tinggi",'B.kriteria &amp; R.kecocokan'!$C$81)</f>
        <v>7.5</v>
      </c>
      <c r="P495" s="9" t="str">
        <f>'B.kriteria &amp; R.kecocokan'!$B$90</f>
        <v>Sangat Sedikit</v>
      </c>
      <c r="Q495" s="8">
        <f>_xlfn.IFS(P495="Sedikit",'B.kriteria &amp; R.kecocokan'!$C$89,P495="Sedang",'B.kriteria &amp; R.kecocokan'!$C$88,P495="Sangat Sedikit",'B.kriteria &amp; R.kecocokan'!$C$90)</f>
        <v>1</v>
      </c>
      <c r="R495" s="8" t="str">
        <f>'B.kriteria &amp; R.kecocokan'!$B$49</f>
        <v>Rendah</v>
      </c>
      <c r="S495" s="8">
        <f>_xlfn.IFS(R495="Rendah",'B.kriteria &amp; R.kecocokan'!$C$49,R495="Sedang",'B.kriteria &amp; R.kecocokan'!$C$50,R495="Tinggi",'B.kriteria &amp; R.kecocokan'!$C$51)</f>
        <v>2.5</v>
      </c>
      <c r="T495" s="8" t="str">
        <f>'B.kriteria &amp; R.kecocokan'!$B$57</f>
        <v>Rendah</v>
      </c>
      <c r="U495" s="51">
        <f>_xlfn.IFS(T495="Rendah",'B.kriteria &amp; R.kecocokan'!$C$57,T495="Sedang",'B.kriteria &amp; R.kecocokan'!$C$58,T495="Tinggi",'B.kriteria &amp; R.kecocokan'!$C$59)</f>
        <v>2.5</v>
      </c>
      <c r="V495" s="51" t="str">
        <f>'B.kriteria &amp; R.kecocokan'!$B$65</f>
        <v>Rendah</v>
      </c>
      <c r="W495" s="9">
        <f>_xlfn.IFS(V495="Rendah",'B.kriteria &amp; R.kecocokan'!$C$65,V495="Sedang",'B.kriteria &amp; R.kecocokan'!$C$66,V495="Tinggi",'B.kriteria &amp; R.kecocokan'!$C$67)</f>
        <v>1</v>
      </c>
      <c r="X495" s="117">
        <f t="shared" si="44"/>
        <v>1.9814758482999792</v>
      </c>
      <c r="Y495" s="117">
        <f t="shared" si="45"/>
        <v>6.2607953110031191</v>
      </c>
      <c r="Z495" s="119">
        <f t="shared" si="46"/>
        <v>1.9814758482999792</v>
      </c>
      <c r="AA495" s="55" t="str">
        <f t="shared" si="47"/>
        <v>Layak</v>
      </c>
    </row>
    <row r="496" spans="1:27" x14ac:dyDescent="0.35">
      <c r="A496" s="1">
        <v>65</v>
      </c>
      <c r="B496" s="2" t="s">
        <v>209</v>
      </c>
      <c r="C496" s="11" t="s">
        <v>95</v>
      </c>
      <c r="D496" s="9" t="str">
        <f>'B.kriteria &amp; R.kecocokan'!$B$23</f>
        <v>Banyak</v>
      </c>
      <c r="E496" s="111">
        <f>_xlfn.IFS(D496="Banyak",'B.kriteria &amp; R.kecocokan'!$C$23,D496="Cukup",'B.kriteria &amp; R.kecocokan'!$C$24,D496="Sedikit",'B.kriteria &amp; R.kecocokan'!$C$25)</f>
        <v>2.5</v>
      </c>
      <c r="F496" s="9" t="str">
        <f>'B.kriteria &amp; R.kecocokan'!$B$34</f>
        <v>Tinggi</v>
      </c>
      <c r="G496" s="8">
        <f>_xlfn.IFS(F496="Tinggi",'B.kriteria &amp; R.kecocokan'!$C$34,F496="Sangat Tinggi",'B.kriteria &amp; R.kecocokan'!$C$35)</f>
        <v>7.5</v>
      </c>
      <c r="H496" s="8" t="str">
        <f>'B.kriteria &amp; R.kecocokan'!$B$41</f>
        <v>Rendah</v>
      </c>
      <c r="I496" s="8">
        <f>_xlfn.IFS(H496="Rendah",'B.kriteria &amp; R.kecocokan'!$C$41,H496="Sedang",'B.kriteria &amp; R.kecocokan'!$C$42,H496="Tinggi",'B.kriteria &amp; R.kecocokan'!$C$43)</f>
        <v>2.5</v>
      </c>
      <c r="J496" s="8" t="str">
        <f>'B.kriteria &amp; R.kecocokan'!$B$72</f>
        <v>Rendah</v>
      </c>
      <c r="K496" s="8">
        <f>_xlfn.IFS(J496="Rendah",'B.kriteria &amp; R.kecocokan'!$C$72,J496="Sedang",'B.kriteria &amp; R.kecocokan'!$C$73,J496="Tinggi",'B.kriteria &amp; R.kecocokan'!$C$74)</f>
        <v>2.5</v>
      </c>
      <c r="L496" s="8" t="str">
        <f>'B.kriteria &amp; R.kecocokan'!$B$95</f>
        <v>Rendah</v>
      </c>
      <c r="M496" s="8">
        <f>_xlfn.IFS(L496="Rendah",'B.kriteria &amp; R.kecocokan'!$C$95,L496="Tinggi",'B.kriteria &amp; R.kecocokan'!$C$96)</f>
        <v>2.5</v>
      </c>
      <c r="N496" s="8" t="str">
        <f>'B.kriteria &amp; R.kecocokan'!$B$80</f>
        <v>Rendah</v>
      </c>
      <c r="O496" s="8">
        <f>_xlfn.IFS(N496="Rendah",'B.kriteria &amp; R.kecocokan'!$C$80,N496="Tinggi",'B.kriteria &amp; R.kecocokan'!$C$81)</f>
        <v>2.5</v>
      </c>
      <c r="P496" s="8" t="str">
        <f>'B.kriteria &amp; R.kecocokan'!$B$89</f>
        <v>Sedikit</v>
      </c>
      <c r="Q496" s="8">
        <f>_xlfn.IFS(P496="Sedikit",'B.kriteria &amp; R.kecocokan'!$C$89,P496="Sedang",'B.kriteria &amp; R.kecocokan'!$C$88,P496="Sangat Sedikit",'B.kriteria &amp; R.kecocokan'!$C$90)</f>
        <v>2.5</v>
      </c>
      <c r="R496" s="8" t="str">
        <f>'B.kriteria &amp; R.kecocokan'!$B$49</f>
        <v>Rendah</v>
      </c>
      <c r="S496" s="8">
        <f>_xlfn.IFS(R496="Rendah",'B.kriteria &amp; R.kecocokan'!$C$49,R496="Sedang",'B.kriteria &amp; R.kecocokan'!$C$50,R496="Tinggi",'B.kriteria &amp; R.kecocokan'!$C$51)</f>
        <v>2.5</v>
      </c>
      <c r="T496" s="8" t="str">
        <f>'B.kriteria &amp; R.kecocokan'!$B$57</f>
        <v>Rendah</v>
      </c>
      <c r="U496" s="51">
        <f>_xlfn.IFS(T496="Rendah",'B.kriteria &amp; R.kecocokan'!$C$57,T496="Sedang",'B.kriteria &amp; R.kecocokan'!$C$58,T496="Tinggi",'B.kriteria &amp; R.kecocokan'!$C$59)</f>
        <v>2.5</v>
      </c>
      <c r="V496" s="51" t="str">
        <f>'B.kriteria &amp; R.kecocokan'!$B$65</f>
        <v>Rendah</v>
      </c>
      <c r="W496" s="9">
        <f>_xlfn.IFS(V496="Rendah",'B.kriteria &amp; R.kecocokan'!$C$65,V496="Sedang",'B.kriteria &amp; R.kecocokan'!$C$66,V496="Tinggi",'B.kriteria &amp; R.kecocokan'!$C$67)</f>
        <v>1</v>
      </c>
      <c r="X496" s="117">
        <f t="shared" si="44"/>
        <v>6.410717523723461</v>
      </c>
      <c r="Y496" s="117">
        <f t="shared" si="45"/>
        <v>2.5459474066466941</v>
      </c>
      <c r="Z496" s="119">
        <f t="shared" si="46"/>
        <v>2.5459474066466941</v>
      </c>
      <c r="AA496" s="55" t="str">
        <f t="shared" si="47"/>
        <v>Tidak Layak</v>
      </c>
    </row>
    <row r="497" spans="1:27" x14ac:dyDescent="0.35">
      <c r="A497" s="5">
        <v>66</v>
      </c>
      <c r="B497" s="2" t="s">
        <v>213</v>
      </c>
      <c r="C497" s="11" t="s">
        <v>95</v>
      </c>
      <c r="D497" s="9" t="str">
        <f>'B.kriteria &amp; R.kecocokan'!$B$23</f>
        <v>Banyak</v>
      </c>
      <c r="E497" s="111">
        <f>_xlfn.IFS(D497="Banyak",'B.kriteria &amp; R.kecocokan'!$C$23,D497="Cukup",'B.kriteria &amp; R.kecocokan'!$C$24,D497="Sedikit",'B.kriteria &amp; R.kecocokan'!$C$25)</f>
        <v>2.5</v>
      </c>
      <c r="F497" s="9" t="str">
        <f>'B.kriteria &amp; R.kecocokan'!$B$34</f>
        <v>Tinggi</v>
      </c>
      <c r="G497" s="8">
        <f>_xlfn.IFS(F497="Tinggi",'B.kriteria &amp; R.kecocokan'!$C$34,F497="Sangat Tinggi",'B.kriteria &amp; R.kecocokan'!$C$35)</f>
        <v>7.5</v>
      </c>
      <c r="H497" s="8" t="str">
        <f>'B.kriteria &amp; R.kecocokan'!$B$41</f>
        <v>Rendah</v>
      </c>
      <c r="I497" s="8">
        <f>_xlfn.IFS(H497="Rendah",'B.kriteria &amp; R.kecocokan'!$C$41,H497="Sedang",'B.kriteria &amp; R.kecocokan'!$C$42,H497="Tinggi",'B.kriteria &amp; R.kecocokan'!$C$43)</f>
        <v>2.5</v>
      </c>
      <c r="J497" s="8" t="str">
        <f>'B.kriteria &amp; R.kecocokan'!$B$72</f>
        <v>Rendah</v>
      </c>
      <c r="K497" s="8">
        <f>_xlfn.IFS(J497="Rendah",'B.kriteria &amp; R.kecocokan'!$C$72,J497="Sedang",'B.kriteria &amp; R.kecocokan'!$C$73,J497="Tinggi",'B.kriteria &amp; R.kecocokan'!$C$74)</f>
        <v>2.5</v>
      </c>
      <c r="L497" s="8" t="str">
        <f>'B.kriteria &amp; R.kecocokan'!$B$95</f>
        <v>Rendah</v>
      </c>
      <c r="M497" s="8">
        <f>_xlfn.IFS(L497="Rendah",'B.kriteria &amp; R.kecocokan'!$C$95,L497="Tinggi",'B.kriteria &amp; R.kecocokan'!$C$96)</f>
        <v>2.5</v>
      </c>
      <c r="N497" s="8" t="str">
        <f>'B.kriteria &amp; R.kecocokan'!$B$80</f>
        <v>Rendah</v>
      </c>
      <c r="O497" s="8">
        <f>_xlfn.IFS(N497="Rendah",'B.kriteria &amp; R.kecocokan'!$C$80,N497="Tinggi",'B.kriteria &amp; R.kecocokan'!$C$81)</f>
        <v>2.5</v>
      </c>
      <c r="P497" s="8" t="str">
        <f>'B.kriteria &amp; R.kecocokan'!$B$89</f>
        <v>Sedikit</v>
      </c>
      <c r="Q497" s="8">
        <f>_xlfn.IFS(P497="Sedikit",'B.kriteria &amp; R.kecocokan'!$C$89,P497="Sedang",'B.kriteria &amp; R.kecocokan'!$C$88,P497="Sangat Sedikit",'B.kriteria &amp; R.kecocokan'!$C$90)</f>
        <v>2.5</v>
      </c>
      <c r="R497" s="8" t="str">
        <f>'B.kriteria &amp; R.kecocokan'!$B$49</f>
        <v>Rendah</v>
      </c>
      <c r="S497" s="8">
        <f>_xlfn.IFS(R497="Rendah",'B.kriteria &amp; R.kecocokan'!$C$49,R497="Sedang",'B.kriteria &amp; R.kecocokan'!$C$50,R497="Tinggi",'B.kriteria &amp; R.kecocokan'!$C$51)</f>
        <v>2.5</v>
      </c>
      <c r="T497" s="8" t="str">
        <f>'B.kriteria &amp; R.kecocokan'!$B$57</f>
        <v>Rendah</v>
      </c>
      <c r="U497" s="51">
        <f>_xlfn.IFS(T497="Rendah",'B.kriteria &amp; R.kecocokan'!$C$57,T497="Sedang",'B.kriteria &amp; R.kecocokan'!$C$58,T497="Tinggi",'B.kriteria &amp; R.kecocokan'!$C$59)</f>
        <v>2.5</v>
      </c>
      <c r="V497" s="51" t="str">
        <f>'B.kriteria &amp; R.kecocokan'!$B$65</f>
        <v>Rendah</v>
      </c>
      <c r="W497" s="9">
        <f>_xlfn.IFS(V497="Rendah",'B.kriteria &amp; R.kecocokan'!$C$65,V497="Sedang",'B.kriteria &amp; R.kecocokan'!$C$66,V497="Tinggi",'B.kriteria &amp; R.kecocokan'!$C$67)</f>
        <v>1</v>
      </c>
      <c r="X497" s="117">
        <f t="shared" si="44"/>
        <v>6.410717523723461</v>
      </c>
      <c r="Y497" s="117">
        <f t="shared" si="45"/>
        <v>2.5459474066466941</v>
      </c>
      <c r="Z497" s="119">
        <f t="shared" si="46"/>
        <v>2.5459474066466941</v>
      </c>
      <c r="AA497" s="55" t="str">
        <f t="shared" si="47"/>
        <v>Tidak Layak</v>
      </c>
    </row>
    <row r="498" spans="1:27" x14ac:dyDescent="0.35">
      <c r="A498" s="5">
        <v>67</v>
      </c>
      <c r="B498" s="2" t="s">
        <v>215</v>
      </c>
      <c r="C498" s="11" t="s">
        <v>95</v>
      </c>
      <c r="D498" s="32" t="str">
        <f>'B.kriteria &amp; R.kecocokan'!$B$24</f>
        <v>Cukup</v>
      </c>
      <c r="E498" s="111">
        <f>_xlfn.IFS(D498="Banyak",'B.kriteria &amp; R.kecocokan'!$C$23,D498="Cukup",'B.kriteria &amp; R.kecocokan'!$C$24,D498="Sedikit",'B.kriteria &amp; R.kecocokan'!$C$25)</f>
        <v>5</v>
      </c>
      <c r="F498" s="9" t="str">
        <f>'B.kriteria &amp; R.kecocokan'!$B$34</f>
        <v>Tinggi</v>
      </c>
      <c r="G498" s="8">
        <f>_xlfn.IFS(F498="Tinggi",'B.kriteria &amp; R.kecocokan'!$C$34,F498="Sangat Tinggi",'B.kriteria &amp; R.kecocokan'!$C$35)</f>
        <v>7.5</v>
      </c>
      <c r="H498" s="8" t="str">
        <f>'B.kriteria &amp; R.kecocokan'!$B$41</f>
        <v>Rendah</v>
      </c>
      <c r="I498" s="8">
        <f>_xlfn.IFS(H498="Rendah",'B.kriteria &amp; R.kecocokan'!$C$41,H498="Sedang",'B.kriteria &amp; R.kecocokan'!$C$42,H498="Tinggi",'B.kriteria &amp; R.kecocokan'!$C$43)</f>
        <v>2.5</v>
      </c>
      <c r="J498" s="8" t="str">
        <f>'B.kriteria &amp; R.kecocokan'!$B$72</f>
        <v>Rendah</v>
      </c>
      <c r="K498" s="8">
        <f>_xlfn.IFS(J498="Rendah",'B.kriteria &amp; R.kecocokan'!$C$72,J498="Sedang",'B.kriteria &amp; R.kecocokan'!$C$73,J498="Tinggi",'B.kriteria &amp; R.kecocokan'!$C$74)</f>
        <v>2.5</v>
      </c>
      <c r="L498" s="8" t="str">
        <f>'B.kriteria &amp; R.kecocokan'!$B$95</f>
        <v>Rendah</v>
      </c>
      <c r="M498" s="8">
        <f>_xlfn.IFS(L498="Rendah",'B.kriteria &amp; R.kecocokan'!$C$95,L498="Tinggi",'B.kriteria &amp; R.kecocokan'!$C$96)</f>
        <v>2.5</v>
      </c>
      <c r="N498" s="8" t="str">
        <f>'B.kriteria &amp; R.kecocokan'!$B$80</f>
        <v>Rendah</v>
      </c>
      <c r="O498" s="8">
        <f>_xlfn.IFS(N498="Rendah",'B.kriteria &amp; R.kecocokan'!$C$80,N498="Tinggi",'B.kriteria &amp; R.kecocokan'!$C$81)</f>
        <v>2.5</v>
      </c>
      <c r="P498" s="8" t="str">
        <f>'B.kriteria &amp; R.kecocokan'!$B$89</f>
        <v>Sedikit</v>
      </c>
      <c r="Q498" s="8">
        <f>_xlfn.IFS(P498="Sedikit",'B.kriteria &amp; R.kecocokan'!$C$89,P498="Sedang",'B.kriteria &amp; R.kecocokan'!$C$88,P498="Sangat Sedikit",'B.kriteria &amp; R.kecocokan'!$C$90)</f>
        <v>2.5</v>
      </c>
      <c r="R498" s="8" t="str">
        <f>'B.kriteria &amp; R.kecocokan'!$B$49</f>
        <v>Rendah</v>
      </c>
      <c r="S498" s="8">
        <f>_xlfn.IFS(R498="Rendah",'B.kriteria &amp; R.kecocokan'!$C$49,R498="Sedang",'B.kriteria &amp; R.kecocokan'!$C$50,R498="Tinggi",'B.kriteria &amp; R.kecocokan'!$C$51)</f>
        <v>2.5</v>
      </c>
      <c r="T498" s="8" t="str">
        <f>'B.kriteria &amp; R.kecocokan'!$B$57</f>
        <v>Rendah</v>
      </c>
      <c r="U498" s="51">
        <f>_xlfn.IFS(T498="Rendah",'B.kriteria &amp; R.kecocokan'!$C$57,T498="Sedang",'B.kriteria &amp; R.kecocokan'!$C$58,T498="Tinggi",'B.kriteria &amp; R.kecocokan'!$C$59)</f>
        <v>2.5</v>
      </c>
      <c r="V498" s="51" t="str">
        <f>'B.kriteria &amp; R.kecocokan'!$B$65</f>
        <v>Rendah</v>
      </c>
      <c r="W498" s="9">
        <f>_xlfn.IFS(V498="Rendah",'B.kriteria &amp; R.kecocokan'!$C$65,V498="Sedang",'B.kriteria &amp; R.kecocokan'!$C$66,V498="Tinggi",'B.kriteria &amp; R.kecocokan'!$C$67)</f>
        <v>1</v>
      </c>
      <c r="X498" s="117">
        <f t="shared" ref="X498:X524" si="48">SQRT(((E498-$E$428)^2)+((G498-$G$428)^2)+((I498-$I$428)^2+((K498-$K$428)^2)+((M498-$M$428)^2)+((O498-$O$428)^2)+((Q498-$Q$428)^2)+((S498-$S$428)^2)+((U498-$U$428)^2)+((W498-$W$428)^2)))</f>
        <v>5.4088070686443581</v>
      </c>
      <c r="Y498" s="117">
        <f t="shared" ref="Y498:Y524" si="49">SQRT(((E498-$E$429)^2)+((G498-$G$429)^2)+((I498-$I$429)^2)+((K498-$K$429)^2)+((M498-$M$429)^2+((O498-$O$429)^2)+((Q498-$Q$429)^2)+((S498-$S$429)^2)+((U498-$U$429)^2)+((W498-$W$429)^2)))</f>
        <v>1.1697058748996112</v>
      </c>
      <c r="Z498" s="119">
        <f t="shared" ref="Z498:Z524" si="50">MIN(X498:Y498)</f>
        <v>1.1697058748996112</v>
      </c>
      <c r="AA498" s="55" t="str">
        <f t="shared" ref="AA498:AA524" si="51">IF(X498&lt;Y498,"Layak","Tidak Layak")</f>
        <v>Tidak Layak</v>
      </c>
    </row>
    <row r="499" spans="1:27" x14ac:dyDescent="0.35">
      <c r="A499" s="1">
        <v>68</v>
      </c>
      <c r="B499" s="2" t="s">
        <v>239</v>
      </c>
      <c r="C499" s="11" t="s">
        <v>92</v>
      </c>
      <c r="D499" s="32" t="str">
        <f>'B.kriteria &amp; R.kecocokan'!$B$24</f>
        <v>Cukup</v>
      </c>
      <c r="E499" s="111">
        <f>_xlfn.IFS(D499="Banyak",'B.kriteria &amp; R.kecocokan'!$C$23,D499="Cukup",'B.kriteria &amp; R.kecocokan'!$C$24,D499="Sedikit",'B.kriteria &amp; R.kecocokan'!$C$25)</f>
        <v>5</v>
      </c>
      <c r="F499" s="9" t="str">
        <f>'B.kriteria &amp; R.kecocokan'!$B$34</f>
        <v>Tinggi</v>
      </c>
      <c r="G499" s="8">
        <f>_xlfn.IFS(F499="Tinggi",'B.kriteria &amp; R.kecocokan'!$C$34,F499="Sangat Tinggi",'B.kriteria &amp; R.kecocokan'!$C$35)</f>
        <v>7.5</v>
      </c>
      <c r="H499" s="8" t="str">
        <f>'B.kriteria &amp; R.kecocokan'!$B$41</f>
        <v>Rendah</v>
      </c>
      <c r="I499" s="8">
        <f>_xlfn.IFS(H499="Rendah",'B.kriteria &amp; R.kecocokan'!$C$41,H499="Sedang",'B.kriteria &amp; R.kecocokan'!$C$42,H499="Tinggi",'B.kriteria &amp; R.kecocokan'!$C$43)</f>
        <v>2.5</v>
      </c>
      <c r="J499" s="8" t="str">
        <f>'B.kriteria &amp; R.kecocokan'!$B$72</f>
        <v>Rendah</v>
      </c>
      <c r="K499" s="8">
        <f>_xlfn.IFS(J499="Rendah",'B.kriteria &amp; R.kecocokan'!$C$72,J499="Sedang",'B.kriteria &amp; R.kecocokan'!$C$73,J499="Tinggi",'B.kriteria &amp; R.kecocokan'!$C$74)</f>
        <v>2.5</v>
      </c>
      <c r="L499" s="8" t="str">
        <f>'B.kriteria &amp; R.kecocokan'!$B$95</f>
        <v>Rendah</v>
      </c>
      <c r="M499" s="8">
        <f>_xlfn.IFS(L499="Rendah",'B.kriteria &amp; R.kecocokan'!$C$95,L499="Tinggi",'B.kriteria &amp; R.kecocokan'!$C$96)</f>
        <v>2.5</v>
      </c>
      <c r="N499" s="8" t="str">
        <f>'B.kriteria &amp; R.kecocokan'!$B$80</f>
        <v>Rendah</v>
      </c>
      <c r="O499" s="8">
        <f>_xlfn.IFS(N499="Rendah",'B.kriteria &amp; R.kecocokan'!$C$80,N499="Tinggi",'B.kriteria &amp; R.kecocokan'!$C$81)</f>
        <v>2.5</v>
      </c>
      <c r="P499" s="8" t="str">
        <f>'B.kriteria &amp; R.kecocokan'!$B$89</f>
        <v>Sedikit</v>
      </c>
      <c r="Q499" s="8">
        <f>_xlfn.IFS(P499="Sedikit",'B.kriteria &amp; R.kecocokan'!$C$89,P499="Sedang",'B.kriteria &amp; R.kecocokan'!$C$88,P499="Sangat Sedikit",'B.kriteria &amp; R.kecocokan'!$C$90)</f>
        <v>2.5</v>
      </c>
      <c r="R499" s="8" t="str">
        <f>'B.kriteria &amp; R.kecocokan'!$B$49</f>
        <v>Rendah</v>
      </c>
      <c r="S499" s="8">
        <f>_xlfn.IFS(R499="Rendah",'B.kriteria &amp; R.kecocokan'!$C$49,R499="Sedang",'B.kriteria &amp; R.kecocokan'!$C$50,R499="Tinggi",'B.kriteria &amp; R.kecocokan'!$C$51)</f>
        <v>2.5</v>
      </c>
      <c r="T499" s="8" t="str">
        <f>'B.kriteria &amp; R.kecocokan'!$B$57</f>
        <v>Rendah</v>
      </c>
      <c r="U499" s="51">
        <f>_xlfn.IFS(T499="Rendah",'B.kriteria &amp; R.kecocokan'!$C$57,T499="Sedang",'B.kriteria &amp; R.kecocokan'!$C$58,T499="Tinggi",'B.kriteria &amp; R.kecocokan'!$C$59)</f>
        <v>2.5</v>
      </c>
      <c r="V499" s="51" t="str">
        <f>'B.kriteria &amp; R.kecocokan'!$B$65</f>
        <v>Rendah</v>
      </c>
      <c r="W499" s="9">
        <f>_xlfn.IFS(V499="Rendah",'B.kriteria &amp; R.kecocokan'!$C$65,V499="Sedang",'B.kriteria &amp; R.kecocokan'!$C$66,V499="Tinggi",'B.kriteria &amp; R.kecocokan'!$C$67)</f>
        <v>1</v>
      </c>
      <c r="X499" s="117">
        <f t="shared" si="48"/>
        <v>5.4088070686443581</v>
      </c>
      <c r="Y499" s="117">
        <f t="shared" si="49"/>
        <v>1.1697058748996112</v>
      </c>
      <c r="Z499" s="119">
        <f t="shared" si="50"/>
        <v>1.1697058748996112</v>
      </c>
      <c r="AA499" s="55" t="str">
        <f t="shared" si="51"/>
        <v>Tidak Layak</v>
      </c>
    </row>
    <row r="500" spans="1:27" x14ac:dyDescent="0.35">
      <c r="A500" s="5">
        <v>69</v>
      </c>
      <c r="B500" s="2" t="s">
        <v>221</v>
      </c>
      <c r="C500" s="11" t="s">
        <v>240</v>
      </c>
      <c r="D500" s="28" t="str">
        <f>'B.kriteria &amp; R.kecocokan'!$B$25</f>
        <v>Sedikit</v>
      </c>
      <c r="E500" s="111">
        <f>_xlfn.IFS(D500="Banyak",'B.kriteria &amp; R.kecocokan'!$C$23,D500="Cukup",'B.kriteria &amp; R.kecocokan'!$C$24,D500="Sedikit",'B.kriteria &amp; R.kecocokan'!$C$25)</f>
        <v>7.5</v>
      </c>
      <c r="F500" s="9" t="str">
        <f>'B.kriteria &amp; R.kecocokan'!$B$34</f>
        <v>Tinggi</v>
      </c>
      <c r="G500" s="8">
        <f>_xlfn.IFS(F500="Tinggi",'B.kriteria &amp; R.kecocokan'!$C$34,F500="Sangat Tinggi",'B.kriteria &amp; R.kecocokan'!$C$35)</f>
        <v>7.5</v>
      </c>
      <c r="H500" s="8" t="str">
        <f>'B.kriteria &amp; R.kecocokan'!$B$41</f>
        <v>Rendah</v>
      </c>
      <c r="I500" s="8">
        <f>_xlfn.IFS(H500="Rendah",'B.kriteria &amp; R.kecocokan'!$C$41,H500="Sedang",'B.kriteria &amp; R.kecocokan'!$C$42,H500="Tinggi",'B.kriteria &amp; R.kecocokan'!$C$43)</f>
        <v>2.5</v>
      </c>
      <c r="J500" s="8" t="str">
        <f>'B.kriteria &amp; R.kecocokan'!$B$72</f>
        <v>Rendah</v>
      </c>
      <c r="K500" s="8">
        <f>_xlfn.IFS(J500="Rendah",'B.kriteria &amp; R.kecocokan'!$C$72,J500="Sedang",'B.kriteria &amp; R.kecocokan'!$C$73,J500="Tinggi",'B.kriteria &amp; R.kecocokan'!$C$74)</f>
        <v>2.5</v>
      </c>
      <c r="L500" s="8" t="str">
        <f>'B.kriteria &amp; R.kecocokan'!$B$95</f>
        <v>Rendah</v>
      </c>
      <c r="M500" s="8">
        <f>_xlfn.IFS(L500="Rendah",'B.kriteria &amp; R.kecocokan'!$C$95,L500="Tinggi",'B.kriteria &amp; R.kecocokan'!$C$96)</f>
        <v>2.5</v>
      </c>
      <c r="N500" s="9" t="str">
        <f>'B.kriteria &amp; R.kecocokan'!$B$81</f>
        <v>Tinggi</v>
      </c>
      <c r="O500" s="8">
        <f>_xlfn.IFS(N500="Rendah",'B.kriteria &amp; R.kecocokan'!$C$80,N500="Tinggi",'B.kriteria &amp; R.kecocokan'!$C$81)</f>
        <v>7.5</v>
      </c>
      <c r="P500" s="9" t="str">
        <f>'B.kriteria &amp; R.kecocokan'!$B$90</f>
        <v>Sangat Sedikit</v>
      </c>
      <c r="Q500" s="8">
        <f>_xlfn.IFS(P500="Sedikit",'B.kriteria &amp; R.kecocokan'!$C$89,P500="Sedang",'B.kriteria &amp; R.kecocokan'!$C$88,P500="Sangat Sedikit",'B.kriteria &amp; R.kecocokan'!$C$90)</f>
        <v>1</v>
      </c>
      <c r="R500" s="8" t="str">
        <f>'B.kriteria &amp; R.kecocokan'!$B$49</f>
        <v>Rendah</v>
      </c>
      <c r="S500" s="8">
        <f>_xlfn.IFS(R500="Rendah",'B.kriteria &amp; R.kecocokan'!$C$49,R500="Sedang",'B.kriteria &amp; R.kecocokan'!$C$50,R500="Tinggi",'B.kriteria &amp; R.kecocokan'!$C$51)</f>
        <v>2.5</v>
      </c>
      <c r="T500" s="8" t="str">
        <f>'B.kriteria &amp; R.kecocokan'!$B$57</f>
        <v>Rendah</v>
      </c>
      <c r="U500" s="51">
        <f>_xlfn.IFS(T500="Rendah",'B.kriteria &amp; R.kecocokan'!$C$57,T500="Sedang",'B.kriteria &amp; R.kecocokan'!$C$58,T500="Tinggi",'B.kriteria &amp; R.kecocokan'!$C$59)</f>
        <v>2.5</v>
      </c>
      <c r="V500" s="51" t="str">
        <f>'B.kriteria &amp; R.kecocokan'!$B$65</f>
        <v>Rendah</v>
      </c>
      <c r="W500" s="9">
        <f>_xlfn.IFS(V500="Rendah",'B.kriteria &amp; R.kecocokan'!$C$65,V500="Sedang",'B.kriteria &amp; R.kecocokan'!$C$66,V500="Tinggi",'B.kriteria &amp; R.kecocokan'!$C$67)</f>
        <v>1</v>
      </c>
      <c r="X500" s="117">
        <f t="shared" si="48"/>
        <v>1.9814758482999792</v>
      </c>
      <c r="Y500" s="117">
        <f t="shared" si="49"/>
        <v>6.2607953110031191</v>
      </c>
      <c r="Z500" s="119">
        <f t="shared" si="50"/>
        <v>1.9814758482999792</v>
      </c>
      <c r="AA500" s="55" t="str">
        <f t="shared" si="51"/>
        <v>Layak</v>
      </c>
    </row>
    <row r="501" spans="1:27" x14ac:dyDescent="0.35">
      <c r="A501" s="5">
        <v>70</v>
      </c>
      <c r="B501" s="2" t="s">
        <v>219</v>
      </c>
      <c r="C501" s="11" t="s">
        <v>95</v>
      </c>
      <c r="D501" s="9" t="str">
        <f>'B.kriteria &amp; R.kecocokan'!$B$23</f>
        <v>Banyak</v>
      </c>
      <c r="E501" s="111">
        <f>_xlfn.IFS(D501="Banyak",'B.kriteria &amp; R.kecocokan'!$C$23,D501="Cukup",'B.kriteria &amp; R.kecocokan'!$C$24,D501="Sedikit",'B.kriteria &amp; R.kecocokan'!$C$25)</f>
        <v>2.5</v>
      </c>
      <c r="F501" s="9" t="str">
        <f>'B.kriteria &amp; R.kecocokan'!$B$34</f>
        <v>Tinggi</v>
      </c>
      <c r="G501" s="8">
        <f>_xlfn.IFS(F501="Tinggi",'B.kriteria &amp; R.kecocokan'!$C$34,F501="Sangat Tinggi",'B.kriteria &amp; R.kecocokan'!$C$35)</f>
        <v>7.5</v>
      </c>
      <c r="H501" s="8" t="str">
        <f>'B.kriteria &amp; R.kecocokan'!$B$41</f>
        <v>Rendah</v>
      </c>
      <c r="I501" s="8">
        <f>_xlfn.IFS(H501="Rendah",'B.kriteria &amp; R.kecocokan'!$C$41,H501="Sedang",'B.kriteria &amp; R.kecocokan'!$C$42,H501="Tinggi",'B.kriteria &amp; R.kecocokan'!$C$43)</f>
        <v>2.5</v>
      </c>
      <c r="J501" s="8" t="str">
        <f>'B.kriteria &amp; R.kecocokan'!$B$72</f>
        <v>Rendah</v>
      </c>
      <c r="K501" s="8">
        <f>_xlfn.IFS(J501="Rendah",'B.kriteria &amp; R.kecocokan'!$C$72,J501="Sedang",'B.kriteria &amp; R.kecocokan'!$C$73,J501="Tinggi",'B.kriteria &amp; R.kecocokan'!$C$74)</f>
        <v>2.5</v>
      </c>
      <c r="L501" s="8" t="str">
        <f>'B.kriteria &amp; R.kecocokan'!$B$95</f>
        <v>Rendah</v>
      </c>
      <c r="M501" s="8">
        <f>_xlfn.IFS(L501="Rendah",'B.kriteria &amp; R.kecocokan'!$C$95,L501="Tinggi",'B.kriteria &amp; R.kecocokan'!$C$96)</f>
        <v>2.5</v>
      </c>
      <c r="N501" s="8" t="str">
        <f>'B.kriteria &amp; R.kecocokan'!$B$80</f>
        <v>Rendah</v>
      </c>
      <c r="O501" s="8">
        <f>_xlfn.IFS(N501="Rendah",'B.kriteria &amp; R.kecocokan'!$C$80,N501="Tinggi",'B.kriteria &amp; R.kecocokan'!$C$81)</f>
        <v>2.5</v>
      </c>
      <c r="P501" s="9" t="str">
        <f>'B.kriteria &amp; R.kecocokan'!$B$88</f>
        <v>Sedang</v>
      </c>
      <c r="Q501" s="8">
        <f>_xlfn.IFS(P501="Sedikit",'B.kriteria &amp; R.kecocokan'!$C$89,P501="Sedang",'B.kriteria &amp; R.kecocokan'!$C$88,P501="Sangat Sedikit",'B.kriteria &amp; R.kecocokan'!$C$90)</f>
        <v>5</v>
      </c>
      <c r="R501" s="8" t="str">
        <f>'B.kriteria &amp; R.kecocokan'!$B$49</f>
        <v>Rendah</v>
      </c>
      <c r="S501" s="8">
        <f>_xlfn.IFS(R501="Rendah",'B.kriteria &amp; R.kecocokan'!$C$49,R501="Sedang",'B.kriteria &amp; R.kecocokan'!$C$50,R501="Tinggi",'B.kriteria &amp; R.kecocokan'!$C$51)</f>
        <v>2.5</v>
      </c>
      <c r="T501" s="8" t="str">
        <f>'B.kriteria &amp; R.kecocokan'!$B$57</f>
        <v>Rendah</v>
      </c>
      <c r="U501" s="51">
        <f>_xlfn.IFS(T501="Rendah",'B.kriteria &amp; R.kecocokan'!$C$57,T501="Sedang",'B.kriteria &amp; R.kecocokan'!$C$58,T501="Tinggi",'B.kriteria &amp; R.kecocokan'!$C$59)</f>
        <v>2.5</v>
      </c>
      <c r="V501" s="51" t="str">
        <f>'B.kriteria &amp; R.kecocokan'!$B$65</f>
        <v>Rendah</v>
      </c>
      <c r="W501" s="9">
        <f>_xlfn.IFS(V501="Rendah",'B.kriteria &amp; R.kecocokan'!$C$65,V501="Sedang",'B.kriteria &amp; R.kecocokan'!$C$66,V501="Tinggi",'B.kriteria &amp; R.kecocokan'!$C$67)</f>
        <v>1</v>
      </c>
      <c r="X501" s="117">
        <f t="shared" si="48"/>
        <v>7.2623712388640893</v>
      </c>
      <c r="Y501" s="117">
        <f t="shared" si="49"/>
        <v>2.9786236879814156</v>
      </c>
      <c r="Z501" s="119">
        <f t="shared" si="50"/>
        <v>2.9786236879814156</v>
      </c>
      <c r="AA501" s="55" t="str">
        <f t="shared" si="51"/>
        <v>Tidak Layak</v>
      </c>
    </row>
    <row r="502" spans="1:27" x14ac:dyDescent="0.35">
      <c r="A502" s="1">
        <v>71</v>
      </c>
      <c r="B502" s="2" t="s">
        <v>241</v>
      </c>
      <c r="C502" s="11" t="s">
        <v>95</v>
      </c>
      <c r="D502" s="9" t="str">
        <f>'B.kriteria &amp; R.kecocokan'!$B$23</f>
        <v>Banyak</v>
      </c>
      <c r="E502" s="111">
        <f>_xlfn.IFS(D502="Banyak",'B.kriteria &amp; R.kecocokan'!$C$23,D502="Cukup",'B.kriteria &amp; R.kecocokan'!$C$24,D502="Sedikit",'B.kriteria &amp; R.kecocokan'!$C$25)</f>
        <v>2.5</v>
      </c>
      <c r="F502" s="9" t="str">
        <f>'B.kriteria &amp; R.kecocokan'!$B$34</f>
        <v>Tinggi</v>
      </c>
      <c r="G502" s="8">
        <f>_xlfn.IFS(F502="Tinggi",'B.kriteria &amp; R.kecocokan'!$C$34,F502="Sangat Tinggi",'B.kriteria &amp; R.kecocokan'!$C$35)</f>
        <v>7.5</v>
      </c>
      <c r="H502" s="8" t="str">
        <f>'B.kriteria &amp; R.kecocokan'!$B$41</f>
        <v>Rendah</v>
      </c>
      <c r="I502" s="8">
        <f>_xlfn.IFS(H502="Rendah",'B.kriteria &amp; R.kecocokan'!$C$41,H502="Sedang",'B.kriteria &amp; R.kecocokan'!$C$42,H502="Tinggi",'B.kriteria &amp; R.kecocokan'!$C$43)</f>
        <v>2.5</v>
      </c>
      <c r="J502" s="8" t="str">
        <f>'B.kriteria &amp; R.kecocokan'!$B$72</f>
        <v>Rendah</v>
      </c>
      <c r="K502" s="8">
        <f>_xlfn.IFS(J502="Rendah",'B.kriteria &amp; R.kecocokan'!$C$72,J502="Sedang",'B.kriteria &amp; R.kecocokan'!$C$73,J502="Tinggi",'B.kriteria &amp; R.kecocokan'!$C$74)</f>
        <v>2.5</v>
      </c>
      <c r="L502" s="8" t="str">
        <f>'B.kriteria &amp; R.kecocokan'!$B$95</f>
        <v>Rendah</v>
      </c>
      <c r="M502" s="8">
        <f>_xlfn.IFS(L502="Rendah",'B.kriteria &amp; R.kecocokan'!$C$95,L502="Tinggi",'B.kriteria &amp; R.kecocokan'!$C$96)</f>
        <v>2.5</v>
      </c>
      <c r="N502" s="8" t="str">
        <f>'B.kriteria &amp; R.kecocokan'!$B$80</f>
        <v>Rendah</v>
      </c>
      <c r="O502" s="8">
        <f>_xlfn.IFS(N502="Rendah",'B.kriteria &amp; R.kecocokan'!$C$80,N502="Tinggi",'B.kriteria &amp; R.kecocokan'!$C$81)</f>
        <v>2.5</v>
      </c>
      <c r="P502" s="9" t="str">
        <f>'B.kriteria &amp; R.kecocokan'!$B$88</f>
        <v>Sedang</v>
      </c>
      <c r="Q502" s="8">
        <f>_xlfn.IFS(P502="Sedikit",'B.kriteria &amp; R.kecocokan'!$C$89,P502="Sedang",'B.kriteria &amp; R.kecocokan'!$C$88,P502="Sangat Sedikit",'B.kriteria &amp; R.kecocokan'!$C$90)</f>
        <v>5</v>
      </c>
      <c r="R502" s="8" t="str">
        <f>'B.kriteria &amp; R.kecocokan'!$B$49</f>
        <v>Rendah</v>
      </c>
      <c r="S502" s="8">
        <f>_xlfn.IFS(R502="Rendah",'B.kriteria &amp; R.kecocokan'!$C$49,R502="Sedang",'B.kriteria &amp; R.kecocokan'!$C$50,R502="Tinggi",'B.kriteria &amp; R.kecocokan'!$C$51)</f>
        <v>2.5</v>
      </c>
      <c r="T502" s="8" t="str">
        <f>'B.kriteria &amp; R.kecocokan'!$B$57</f>
        <v>Rendah</v>
      </c>
      <c r="U502" s="51">
        <f>_xlfn.IFS(T502="Rendah",'B.kriteria &amp; R.kecocokan'!$C$57,T502="Sedang",'B.kriteria &amp; R.kecocokan'!$C$58,T502="Tinggi",'B.kriteria &amp; R.kecocokan'!$C$59)</f>
        <v>2.5</v>
      </c>
      <c r="V502" s="51" t="str">
        <f>'B.kriteria &amp; R.kecocokan'!$B$65</f>
        <v>Rendah</v>
      </c>
      <c r="W502" s="9">
        <f>_xlfn.IFS(V502="Rendah",'B.kriteria &amp; R.kecocokan'!$C$65,V502="Sedang",'B.kriteria &amp; R.kecocokan'!$C$66,V502="Tinggi",'B.kriteria &amp; R.kecocokan'!$C$67)</f>
        <v>1</v>
      </c>
      <c r="X502" s="117">
        <f t="shared" si="48"/>
        <v>7.2623712388640893</v>
      </c>
      <c r="Y502" s="117">
        <f t="shared" si="49"/>
        <v>2.9786236879814156</v>
      </c>
      <c r="Z502" s="119">
        <f t="shared" si="50"/>
        <v>2.9786236879814156</v>
      </c>
      <c r="AA502" s="55" t="str">
        <f t="shared" si="51"/>
        <v>Tidak Layak</v>
      </c>
    </row>
    <row r="503" spans="1:27" x14ac:dyDescent="0.35">
      <c r="A503" s="5">
        <v>72</v>
      </c>
      <c r="B503" s="2" t="s">
        <v>225</v>
      </c>
      <c r="C503" s="11" t="s">
        <v>95</v>
      </c>
      <c r="D503" s="9" t="str">
        <f>'B.kriteria &amp; R.kecocokan'!$B$23</f>
        <v>Banyak</v>
      </c>
      <c r="E503" s="111">
        <f>_xlfn.IFS(D503="Banyak",'B.kriteria &amp; R.kecocokan'!$C$23,D503="Cukup",'B.kriteria &amp; R.kecocokan'!$C$24,D503="Sedikit",'B.kriteria &amp; R.kecocokan'!$C$25)</f>
        <v>2.5</v>
      </c>
      <c r="F503" s="9" t="str">
        <f>'B.kriteria &amp; R.kecocokan'!$B$34</f>
        <v>Tinggi</v>
      </c>
      <c r="G503" s="8">
        <f>_xlfn.IFS(F503="Tinggi",'B.kriteria &amp; R.kecocokan'!$C$34,F503="Sangat Tinggi",'B.kriteria &amp; R.kecocokan'!$C$35)</f>
        <v>7.5</v>
      </c>
      <c r="H503" s="8" t="str">
        <f>'B.kriteria &amp; R.kecocokan'!$B$41</f>
        <v>Rendah</v>
      </c>
      <c r="I503" s="8">
        <f>_xlfn.IFS(H503="Rendah",'B.kriteria &amp; R.kecocokan'!$C$41,H503="Sedang",'B.kriteria &amp; R.kecocokan'!$C$42,H503="Tinggi",'B.kriteria &amp; R.kecocokan'!$C$43)</f>
        <v>2.5</v>
      </c>
      <c r="J503" s="8" t="str">
        <f>'B.kriteria &amp; R.kecocokan'!$B$72</f>
        <v>Rendah</v>
      </c>
      <c r="K503" s="8">
        <f>_xlfn.IFS(J503="Rendah",'B.kriteria &amp; R.kecocokan'!$C$72,J503="Sedang",'B.kriteria &amp; R.kecocokan'!$C$73,J503="Tinggi",'B.kriteria &amp; R.kecocokan'!$C$74)</f>
        <v>2.5</v>
      </c>
      <c r="L503" s="8" t="str">
        <f>'B.kriteria &amp; R.kecocokan'!$B$95</f>
        <v>Rendah</v>
      </c>
      <c r="M503" s="8">
        <f>_xlfn.IFS(L503="Rendah",'B.kriteria &amp; R.kecocokan'!$C$95,L503="Tinggi",'B.kriteria &amp; R.kecocokan'!$C$96)</f>
        <v>2.5</v>
      </c>
      <c r="N503" s="9" t="str">
        <f>'B.kriteria &amp; R.kecocokan'!$B$81</f>
        <v>Tinggi</v>
      </c>
      <c r="O503" s="8">
        <f>_xlfn.IFS(N503="Rendah",'B.kriteria &amp; R.kecocokan'!$C$80,N503="Tinggi",'B.kriteria &amp; R.kecocokan'!$C$81)</f>
        <v>7.5</v>
      </c>
      <c r="P503" s="9" t="str">
        <f>'B.kriteria &amp; R.kecocokan'!$B$90</f>
        <v>Sangat Sedikit</v>
      </c>
      <c r="Q503" s="8">
        <f>_xlfn.IFS(P503="Sedikit",'B.kriteria &amp; R.kecocokan'!$C$89,P503="Sedang",'B.kriteria &amp; R.kecocokan'!$C$88,P503="Sangat Sedikit",'B.kriteria &amp; R.kecocokan'!$C$90)</f>
        <v>1</v>
      </c>
      <c r="R503" s="8" t="str">
        <f>'B.kriteria &amp; R.kecocokan'!$B$49</f>
        <v>Rendah</v>
      </c>
      <c r="S503" s="8">
        <f>_xlfn.IFS(R503="Rendah",'B.kriteria &amp; R.kecocokan'!$C$49,R503="Sedang",'B.kriteria &amp; R.kecocokan'!$C$50,R503="Tinggi",'B.kriteria &amp; R.kecocokan'!$C$51)</f>
        <v>2.5</v>
      </c>
      <c r="T503" s="8" t="str">
        <f>'B.kriteria &amp; R.kecocokan'!$B$57</f>
        <v>Rendah</v>
      </c>
      <c r="U503" s="51">
        <f>_xlfn.IFS(T503="Rendah",'B.kriteria &amp; R.kecocokan'!$C$57,T503="Sedang",'B.kriteria &amp; R.kecocokan'!$C$58,T503="Tinggi",'B.kriteria &amp; R.kecocokan'!$C$59)</f>
        <v>2.5</v>
      </c>
      <c r="V503" s="51" t="str">
        <f>'B.kriteria &amp; R.kecocokan'!$B$65</f>
        <v>Rendah</v>
      </c>
      <c r="W503" s="9">
        <f>_xlfn.IFS(V503="Rendah",'B.kriteria &amp; R.kecocokan'!$C$65,V503="Sedang",'B.kriteria &amp; R.kecocokan'!$C$66,V503="Tinggi",'B.kriteria &amp; R.kecocokan'!$C$67)</f>
        <v>1</v>
      </c>
      <c r="X503" s="117">
        <f t="shared" si="48"/>
        <v>3.8872171361671977</v>
      </c>
      <c r="Y503" s="117">
        <f t="shared" si="49"/>
        <v>6.0765805066296439</v>
      </c>
      <c r="Z503" s="119">
        <f t="shared" si="50"/>
        <v>3.8872171361671977</v>
      </c>
      <c r="AA503" s="55" t="str">
        <f t="shared" si="51"/>
        <v>Layak</v>
      </c>
    </row>
    <row r="504" spans="1:27" x14ac:dyDescent="0.35">
      <c r="A504" s="5">
        <v>73</v>
      </c>
      <c r="B504" s="2" t="s">
        <v>227</v>
      </c>
      <c r="C504" s="11" t="s">
        <v>95</v>
      </c>
      <c r="D504" s="9" t="str">
        <f>'B.kriteria &amp; R.kecocokan'!$B$23</f>
        <v>Banyak</v>
      </c>
      <c r="E504" s="111">
        <f>_xlfn.IFS(D504="Banyak",'B.kriteria &amp; R.kecocokan'!$C$23,D504="Cukup",'B.kriteria &amp; R.kecocokan'!$C$24,D504="Sedikit",'B.kriteria &amp; R.kecocokan'!$C$25)</f>
        <v>2.5</v>
      </c>
      <c r="F504" s="9" t="str">
        <f>'B.kriteria &amp; R.kecocokan'!$B$35</f>
        <v>Sangat Tinggi</v>
      </c>
      <c r="G504" s="8">
        <f>_xlfn.IFS(F504="Tinggi",'B.kriteria &amp; R.kecocokan'!$C$34,F504="Sangat Tinggi",'B.kriteria &amp; R.kecocokan'!$C$35)</f>
        <v>10</v>
      </c>
      <c r="H504" s="8" t="str">
        <f>'B.kriteria &amp; R.kecocokan'!$B$41</f>
        <v>Rendah</v>
      </c>
      <c r="I504" s="8">
        <f>_xlfn.IFS(H504="Rendah",'B.kriteria &amp; R.kecocokan'!$C$41,H504="Sedang",'B.kriteria &amp; R.kecocokan'!$C$42,H504="Tinggi",'B.kriteria &amp; R.kecocokan'!$C$43)</f>
        <v>2.5</v>
      </c>
      <c r="J504" s="8" t="str">
        <f>'B.kriteria &amp; R.kecocokan'!$B$72</f>
        <v>Rendah</v>
      </c>
      <c r="K504" s="8">
        <f>_xlfn.IFS(J504="Rendah",'B.kriteria &amp; R.kecocokan'!$C$72,J504="Sedang",'B.kriteria &amp; R.kecocokan'!$C$73,J504="Tinggi",'B.kriteria &amp; R.kecocokan'!$C$74)</f>
        <v>2.5</v>
      </c>
      <c r="L504" s="8" t="str">
        <f>'B.kriteria &amp; R.kecocokan'!$B$95</f>
        <v>Rendah</v>
      </c>
      <c r="M504" s="8">
        <f>_xlfn.IFS(L504="Rendah",'B.kriteria &amp; R.kecocokan'!$C$95,L504="Tinggi",'B.kriteria &amp; R.kecocokan'!$C$96)</f>
        <v>2.5</v>
      </c>
      <c r="N504" s="8" t="str">
        <f>'B.kriteria &amp; R.kecocokan'!$B$80</f>
        <v>Rendah</v>
      </c>
      <c r="O504" s="8">
        <f>_xlfn.IFS(N504="Rendah",'B.kriteria &amp; R.kecocokan'!$C$80,N504="Tinggi",'B.kriteria &amp; R.kecocokan'!$C$81)</f>
        <v>2.5</v>
      </c>
      <c r="P504" s="9" t="str">
        <f>'B.kriteria &amp; R.kecocokan'!$B$90</f>
        <v>Sangat Sedikit</v>
      </c>
      <c r="Q504" s="8">
        <f>_xlfn.IFS(P504="Sedikit",'B.kriteria &amp; R.kecocokan'!$C$89,P504="Sedang",'B.kriteria &amp; R.kecocokan'!$C$88,P504="Sangat Sedikit",'B.kriteria &amp; R.kecocokan'!$C$90)</f>
        <v>1</v>
      </c>
      <c r="R504" s="9" t="str">
        <f>'B.kriteria &amp; R.kecocokan'!$B$51</f>
        <v>Tinggi</v>
      </c>
      <c r="S504" s="8">
        <f>_xlfn.IFS(R504="Rendah",'B.kriteria &amp; R.kecocokan'!$C$49,R504="Sedang",'B.kriteria &amp; R.kecocokan'!$C$50,R504="Tinggi",'B.kriteria &amp; R.kecocokan'!$C$51)</f>
        <v>7.5</v>
      </c>
      <c r="T504" s="8" t="str">
        <f>'B.kriteria &amp; R.kecocokan'!$B$57</f>
        <v>Rendah</v>
      </c>
      <c r="U504" s="51">
        <f>_xlfn.IFS(T504="Rendah",'B.kriteria &amp; R.kecocokan'!$C$57,T504="Sedang",'B.kriteria &amp; R.kecocokan'!$C$58,T504="Tinggi",'B.kriteria &amp; R.kecocokan'!$C$59)</f>
        <v>2.5</v>
      </c>
      <c r="V504" s="51" t="str">
        <f>'B.kriteria &amp; R.kecocokan'!$B$65</f>
        <v>Rendah</v>
      </c>
      <c r="W504" s="9">
        <f>_xlfn.IFS(V504="Rendah",'B.kriteria &amp; R.kecocokan'!$C$65,V504="Sedang",'B.kriteria &amp; R.kecocokan'!$C$66,V504="Tinggi",'B.kriteria &amp; R.kecocokan'!$C$67)</f>
        <v>1</v>
      </c>
      <c r="X504" s="117">
        <f t="shared" si="48"/>
        <v>7.9043581723213618</v>
      </c>
      <c r="Y504" s="117">
        <f t="shared" si="49"/>
        <v>6.3154854895994221</v>
      </c>
      <c r="Z504" s="119">
        <f t="shared" si="50"/>
        <v>6.3154854895994221</v>
      </c>
      <c r="AA504" s="55" t="str">
        <f t="shared" si="51"/>
        <v>Tidak Layak</v>
      </c>
    </row>
    <row r="505" spans="1:27" x14ac:dyDescent="0.35">
      <c r="A505" s="1">
        <v>74</v>
      </c>
      <c r="B505" s="2" t="s">
        <v>245</v>
      </c>
      <c r="C505" s="11" t="s">
        <v>95</v>
      </c>
      <c r="D505" s="32" t="str">
        <f>'B.kriteria &amp; R.kecocokan'!$B$24</f>
        <v>Cukup</v>
      </c>
      <c r="E505" s="111">
        <f>_xlfn.IFS(D505="Banyak",'B.kriteria &amp; R.kecocokan'!$C$23,D505="Cukup",'B.kriteria &amp; R.kecocokan'!$C$24,D505="Sedikit",'B.kriteria &amp; R.kecocokan'!$C$25)</f>
        <v>5</v>
      </c>
      <c r="F505" s="9" t="str">
        <f>'B.kriteria &amp; R.kecocokan'!$B$34</f>
        <v>Tinggi</v>
      </c>
      <c r="G505" s="8">
        <f>_xlfn.IFS(F505="Tinggi",'B.kriteria &amp; R.kecocokan'!$C$34,F505="Sangat Tinggi",'B.kriteria &amp; R.kecocokan'!$C$35)</f>
        <v>7.5</v>
      </c>
      <c r="H505" s="8" t="str">
        <f>'B.kriteria &amp; R.kecocokan'!$B$41</f>
        <v>Rendah</v>
      </c>
      <c r="I505" s="8">
        <f>_xlfn.IFS(H505="Rendah",'B.kriteria &amp; R.kecocokan'!$C$41,H505="Sedang",'B.kriteria &amp; R.kecocokan'!$C$42,H505="Tinggi",'B.kriteria &amp; R.kecocokan'!$C$43)</f>
        <v>2.5</v>
      </c>
      <c r="J505" s="8" t="str">
        <f>'B.kriteria &amp; R.kecocokan'!$B$72</f>
        <v>Rendah</v>
      </c>
      <c r="K505" s="8">
        <f>_xlfn.IFS(J505="Rendah",'B.kriteria &amp; R.kecocokan'!$C$72,J505="Sedang",'B.kriteria &amp; R.kecocokan'!$C$73,J505="Tinggi",'B.kriteria &amp; R.kecocokan'!$C$74)</f>
        <v>2.5</v>
      </c>
      <c r="L505" s="8" t="str">
        <f>'B.kriteria &amp; R.kecocokan'!$B$95</f>
        <v>Rendah</v>
      </c>
      <c r="M505" s="8">
        <f>_xlfn.IFS(L505="Rendah",'B.kriteria &amp; R.kecocokan'!$C$95,L505="Tinggi",'B.kriteria &amp; R.kecocokan'!$C$96)</f>
        <v>2.5</v>
      </c>
      <c r="N505" s="8" t="str">
        <f>'B.kriteria &amp; R.kecocokan'!$B$80</f>
        <v>Rendah</v>
      </c>
      <c r="O505" s="8">
        <f>_xlfn.IFS(N505="Rendah",'B.kriteria &amp; R.kecocokan'!$C$80,N505="Tinggi",'B.kriteria &amp; R.kecocokan'!$C$81)</f>
        <v>2.5</v>
      </c>
      <c r="P505" s="8" t="str">
        <f>'B.kriteria &amp; R.kecocokan'!$B$89</f>
        <v>Sedikit</v>
      </c>
      <c r="Q505" s="8">
        <f>_xlfn.IFS(P505="Sedikit",'B.kriteria &amp; R.kecocokan'!$C$89,P505="Sedang",'B.kriteria &amp; R.kecocokan'!$C$88,P505="Sangat Sedikit",'B.kriteria &amp; R.kecocokan'!$C$90)</f>
        <v>2.5</v>
      </c>
      <c r="R505" s="8" t="str">
        <f>'B.kriteria &amp; R.kecocokan'!$B$49</f>
        <v>Rendah</v>
      </c>
      <c r="S505" s="8">
        <f>_xlfn.IFS(R505="Rendah",'B.kriteria &amp; R.kecocokan'!$C$49,R505="Sedang",'B.kriteria &amp; R.kecocokan'!$C$50,R505="Tinggi",'B.kriteria &amp; R.kecocokan'!$C$51)</f>
        <v>2.5</v>
      </c>
      <c r="T505" s="8" t="str">
        <f>'B.kriteria &amp; R.kecocokan'!$B$57</f>
        <v>Rendah</v>
      </c>
      <c r="U505" s="51">
        <f>_xlfn.IFS(T505="Rendah",'B.kriteria &amp; R.kecocokan'!$C$57,T505="Sedang",'B.kriteria &amp; R.kecocokan'!$C$58,T505="Tinggi",'B.kriteria &amp; R.kecocokan'!$C$59)</f>
        <v>2.5</v>
      </c>
      <c r="V505" s="51" t="str">
        <f>'B.kriteria &amp; R.kecocokan'!$B$65</f>
        <v>Rendah</v>
      </c>
      <c r="W505" s="9">
        <f>_xlfn.IFS(V505="Rendah",'B.kriteria &amp; R.kecocokan'!$C$65,V505="Sedang",'B.kriteria &amp; R.kecocokan'!$C$66,V505="Tinggi",'B.kriteria &amp; R.kecocokan'!$C$67)</f>
        <v>1</v>
      </c>
      <c r="X505" s="117">
        <f t="shared" si="48"/>
        <v>5.4088070686443581</v>
      </c>
      <c r="Y505" s="117">
        <f t="shared" si="49"/>
        <v>1.1697058748996112</v>
      </c>
      <c r="Z505" s="119">
        <f t="shared" si="50"/>
        <v>1.1697058748996112</v>
      </c>
      <c r="AA505" s="55" t="str">
        <f t="shared" si="51"/>
        <v>Tidak Layak</v>
      </c>
    </row>
    <row r="506" spans="1:27" x14ac:dyDescent="0.35">
      <c r="A506" s="5">
        <v>75</v>
      </c>
      <c r="B506" s="2" t="s">
        <v>155</v>
      </c>
      <c r="C506" s="11" t="s">
        <v>95</v>
      </c>
      <c r="D506" s="32" t="str">
        <f>'B.kriteria &amp; R.kecocokan'!$B$24</f>
        <v>Cukup</v>
      </c>
      <c r="E506" s="111">
        <f>_xlfn.IFS(D506="Banyak",'B.kriteria &amp; R.kecocokan'!$C$23,D506="Cukup",'B.kriteria &amp; R.kecocokan'!$C$24,D506="Sedikit",'B.kriteria &amp; R.kecocokan'!$C$25)</f>
        <v>5</v>
      </c>
      <c r="F506" s="9" t="str">
        <f>'B.kriteria &amp; R.kecocokan'!$B$34</f>
        <v>Tinggi</v>
      </c>
      <c r="G506" s="8">
        <f>_xlfn.IFS(F506="Tinggi",'B.kriteria &amp; R.kecocokan'!$C$34,F506="Sangat Tinggi",'B.kriteria &amp; R.kecocokan'!$C$35)</f>
        <v>7.5</v>
      </c>
      <c r="H506" s="9" t="str">
        <f>'B.kriteria &amp; R.kecocokan'!$B$43</f>
        <v>Tinggi</v>
      </c>
      <c r="I506" s="8">
        <f>_xlfn.IFS(H506="Rendah",'B.kriteria &amp; R.kecocokan'!$C$41,H506="Sedang",'B.kriteria &amp; R.kecocokan'!$C$42,H506="Tinggi",'B.kriteria &amp; R.kecocokan'!$C$43)</f>
        <v>7.5</v>
      </c>
      <c r="J506" s="8" t="str">
        <f>'B.kriteria &amp; R.kecocokan'!$B$72</f>
        <v>Rendah</v>
      </c>
      <c r="K506" s="8">
        <f>_xlfn.IFS(J506="Rendah",'B.kriteria &amp; R.kecocokan'!$C$72,J506="Sedang",'B.kriteria &amp; R.kecocokan'!$C$73,J506="Tinggi",'B.kriteria &amp; R.kecocokan'!$C$74)</f>
        <v>2.5</v>
      </c>
      <c r="L506" s="8" t="str">
        <f>'B.kriteria &amp; R.kecocokan'!$B$95</f>
        <v>Rendah</v>
      </c>
      <c r="M506" s="8">
        <f>_xlfn.IFS(L506="Rendah",'B.kriteria &amp; R.kecocokan'!$C$95,L506="Tinggi",'B.kriteria &amp; R.kecocokan'!$C$96)</f>
        <v>2.5</v>
      </c>
      <c r="N506" s="8" t="str">
        <f>'B.kriteria &amp; R.kecocokan'!$B$80</f>
        <v>Rendah</v>
      </c>
      <c r="O506" s="8">
        <f>_xlfn.IFS(N506="Rendah",'B.kriteria &amp; R.kecocokan'!$C$80,N506="Tinggi",'B.kriteria &amp; R.kecocokan'!$C$81)</f>
        <v>2.5</v>
      </c>
      <c r="P506" s="9" t="str">
        <f>'B.kriteria &amp; R.kecocokan'!$B$88</f>
        <v>Sedang</v>
      </c>
      <c r="Q506" s="8">
        <f>_xlfn.IFS(P506="Sedikit",'B.kriteria &amp; R.kecocokan'!$C$89,P506="Sedang",'B.kriteria &amp; R.kecocokan'!$C$88,P506="Sangat Sedikit",'B.kriteria &amp; R.kecocokan'!$C$90)</f>
        <v>5</v>
      </c>
      <c r="R506" s="8" t="str">
        <f>'B.kriteria &amp; R.kecocokan'!$B$49</f>
        <v>Rendah</v>
      </c>
      <c r="S506" s="8">
        <f>_xlfn.IFS(R506="Rendah",'B.kriteria &amp; R.kecocokan'!$C$49,R506="Sedang",'B.kriteria &amp; R.kecocokan'!$C$50,R506="Tinggi",'B.kriteria &amp; R.kecocokan'!$C$51)</f>
        <v>2.5</v>
      </c>
      <c r="T506" s="8" t="str">
        <f>'B.kriteria &amp; R.kecocokan'!$B$57</f>
        <v>Rendah</v>
      </c>
      <c r="U506" s="51">
        <f>_xlfn.IFS(T506="Rendah",'B.kriteria &amp; R.kecocokan'!$C$57,T506="Sedang",'B.kriteria &amp; R.kecocokan'!$C$58,T506="Tinggi",'B.kriteria &amp; R.kecocokan'!$C$59)</f>
        <v>2.5</v>
      </c>
      <c r="V506" s="51" t="str">
        <f>'B.kriteria &amp; R.kecocokan'!$B$65</f>
        <v>Rendah</v>
      </c>
      <c r="W506" s="9">
        <f>_xlfn.IFS(V506="Rendah",'B.kriteria &amp; R.kecocokan'!$C$65,V506="Sedang",'B.kriteria &amp; R.kecocokan'!$C$66,V506="Tinggi",'B.kriteria &amp; R.kecocokan'!$C$67)</f>
        <v>1</v>
      </c>
      <c r="X506" s="117">
        <f t="shared" si="48"/>
        <v>7.9541405444305555</v>
      </c>
      <c r="Y506" s="117">
        <f t="shared" si="49"/>
        <v>4.662726546916355</v>
      </c>
      <c r="Z506" s="119">
        <f t="shared" si="50"/>
        <v>4.662726546916355</v>
      </c>
      <c r="AA506" s="55" t="str">
        <f t="shared" si="51"/>
        <v>Tidak Layak</v>
      </c>
    </row>
    <row r="507" spans="1:27" x14ac:dyDescent="0.35">
      <c r="A507" s="5">
        <v>76</v>
      </c>
      <c r="B507" s="2" t="s">
        <v>152</v>
      </c>
      <c r="C507" s="11" t="s">
        <v>95</v>
      </c>
      <c r="D507" s="9" t="str">
        <f>'B.kriteria &amp; R.kecocokan'!$B$23</f>
        <v>Banyak</v>
      </c>
      <c r="E507" s="111">
        <f>_xlfn.IFS(D507="Banyak",'B.kriteria &amp; R.kecocokan'!$C$23,D507="Cukup",'B.kriteria &amp; R.kecocokan'!$C$24,D507="Sedikit",'B.kriteria &amp; R.kecocokan'!$C$25)</f>
        <v>2.5</v>
      </c>
      <c r="F507" s="9" t="str">
        <f>'B.kriteria &amp; R.kecocokan'!$B$34</f>
        <v>Tinggi</v>
      </c>
      <c r="G507" s="8">
        <f>_xlfn.IFS(F507="Tinggi",'B.kriteria &amp; R.kecocokan'!$C$34,F507="Sangat Tinggi",'B.kriteria &amp; R.kecocokan'!$C$35)</f>
        <v>7.5</v>
      </c>
      <c r="H507" s="8" t="str">
        <f>'B.kriteria &amp; R.kecocokan'!$B$41</f>
        <v>Rendah</v>
      </c>
      <c r="I507" s="8">
        <f>_xlfn.IFS(H507="Rendah",'B.kriteria &amp; R.kecocokan'!$C$41,H507="Sedang",'B.kriteria &amp; R.kecocokan'!$C$42,H507="Tinggi",'B.kriteria &amp; R.kecocokan'!$C$43)</f>
        <v>2.5</v>
      </c>
      <c r="J507" s="8" t="str">
        <f>'B.kriteria &amp; R.kecocokan'!$B$72</f>
        <v>Rendah</v>
      </c>
      <c r="K507" s="8">
        <f>_xlfn.IFS(J507="Rendah",'B.kriteria &amp; R.kecocokan'!$C$72,J507="Sedang",'B.kriteria &amp; R.kecocokan'!$C$73,J507="Tinggi",'B.kriteria &amp; R.kecocokan'!$C$74)</f>
        <v>2.5</v>
      </c>
      <c r="L507" s="8" t="str">
        <f>'B.kriteria &amp; R.kecocokan'!$B$95</f>
        <v>Rendah</v>
      </c>
      <c r="M507" s="8">
        <f>_xlfn.IFS(L507="Rendah",'B.kriteria &amp; R.kecocokan'!$C$95,L507="Tinggi",'B.kriteria &amp; R.kecocokan'!$C$96)</f>
        <v>2.5</v>
      </c>
      <c r="N507" s="9" t="str">
        <f>'B.kriteria &amp; R.kecocokan'!$B$81</f>
        <v>Tinggi</v>
      </c>
      <c r="O507" s="8">
        <f>_xlfn.IFS(N507="Rendah",'B.kriteria &amp; R.kecocokan'!$C$80,N507="Tinggi",'B.kriteria &amp; R.kecocokan'!$C$81)</f>
        <v>7.5</v>
      </c>
      <c r="P507" s="9" t="str">
        <f>'B.kriteria &amp; R.kecocokan'!$B$88</f>
        <v>Sedang</v>
      </c>
      <c r="Q507" s="8">
        <f>_xlfn.IFS(P507="Sedikit",'B.kriteria &amp; R.kecocokan'!$C$89,P507="Sedang",'B.kriteria &amp; R.kecocokan'!$C$88,P507="Sangat Sedikit",'B.kriteria &amp; R.kecocokan'!$C$90)</f>
        <v>5</v>
      </c>
      <c r="R507" s="8" t="str">
        <f>'B.kriteria &amp; R.kecocokan'!$B$49</f>
        <v>Rendah</v>
      </c>
      <c r="S507" s="8">
        <f>_xlfn.IFS(R507="Rendah",'B.kriteria &amp; R.kecocokan'!$C$49,R507="Sedang",'B.kriteria &amp; R.kecocokan'!$C$50,R507="Tinggi",'B.kriteria &amp; R.kecocokan'!$C$51)</f>
        <v>2.5</v>
      </c>
      <c r="T507" s="8" t="str">
        <f>'B.kriteria &amp; R.kecocokan'!$B$57</f>
        <v>Rendah</v>
      </c>
      <c r="U507" s="51">
        <f>_xlfn.IFS(T507="Rendah",'B.kriteria &amp; R.kecocokan'!$C$57,T507="Sedang",'B.kriteria &amp; R.kecocokan'!$C$58,T507="Tinggi",'B.kriteria &amp; R.kecocokan'!$C$59)</f>
        <v>2.5</v>
      </c>
      <c r="V507" s="51" t="str">
        <f>'B.kriteria &amp; R.kecocokan'!$B$65</f>
        <v>Rendah</v>
      </c>
      <c r="W507" s="9">
        <f>_xlfn.IFS(V507="Rendah",'B.kriteria &amp; R.kecocokan'!$C$65,V507="Sedang",'B.kriteria &amp; R.kecocokan'!$C$66,V507="Tinggi",'B.kriteria &amp; R.kecocokan'!$C$67)</f>
        <v>1</v>
      </c>
      <c r="X507" s="117">
        <f t="shared" si="48"/>
        <v>5.2670709138078191</v>
      </c>
      <c r="Y507" s="117">
        <f t="shared" si="49"/>
        <v>5.89486149600312</v>
      </c>
      <c r="Z507" s="119">
        <f t="shared" si="50"/>
        <v>5.2670709138078191</v>
      </c>
      <c r="AA507" s="55" t="str">
        <f t="shared" si="51"/>
        <v>Layak</v>
      </c>
    </row>
    <row r="508" spans="1:27" x14ac:dyDescent="0.35">
      <c r="A508" s="1">
        <v>77</v>
      </c>
      <c r="B508" s="2" t="s">
        <v>157</v>
      </c>
      <c r="C508" s="11" t="s">
        <v>95</v>
      </c>
      <c r="D508" s="32" t="str">
        <f>'B.kriteria &amp; R.kecocokan'!$B$24</f>
        <v>Cukup</v>
      </c>
      <c r="E508" s="111">
        <f>_xlfn.IFS(D508="Banyak",'B.kriteria &amp; R.kecocokan'!$C$23,D508="Cukup",'B.kriteria &amp; R.kecocokan'!$C$24,D508="Sedikit",'B.kriteria &amp; R.kecocokan'!$C$25)</f>
        <v>5</v>
      </c>
      <c r="F508" s="9" t="str">
        <f>'B.kriteria &amp; R.kecocokan'!$B$34</f>
        <v>Tinggi</v>
      </c>
      <c r="G508" s="8">
        <f>_xlfn.IFS(F508="Tinggi",'B.kriteria &amp; R.kecocokan'!$C$34,F508="Sangat Tinggi",'B.kriteria &amp; R.kecocokan'!$C$35)</f>
        <v>7.5</v>
      </c>
      <c r="H508" s="8" t="str">
        <f>'B.kriteria &amp; R.kecocokan'!$B$41</f>
        <v>Rendah</v>
      </c>
      <c r="I508" s="8">
        <f>_xlfn.IFS(H508="Rendah",'B.kriteria &amp; R.kecocokan'!$C$41,H508="Sedang",'B.kriteria &amp; R.kecocokan'!$C$42,H508="Tinggi",'B.kriteria &amp; R.kecocokan'!$C$43)</f>
        <v>2.5</v>
      </c>
      <c r="J508" s="8" t="str">
        <f>'B.kriteria &amp; R.kecocokan'!$B$72</f>
        <v>Rendah</v>
      </c>
      <c r="K508" s="8">
        <f>_xlfn.IFS(J508="Rendah",'B.kriteria &amp; R.kecocokan'!$C$72,J508="Sedang",'B.kriteria &amp; R.kecocokan'!$C$73,J508="Tinggi",'B.kriteria &amp; R.kecocokan'!$C$74)</f>
        <v>2.5</v>
      </c>
      <c r="L508" s="8" t="str">
        <f>'B.kriteria &amp; R.kecocokan'!$B$95</f>
        <v>Rendah</v>
      </c>
      <c r="M508" s="8">
        <f>_xlfn.IFS(L508="Rendah",'B.kriteria &amp; R.kecocokan'!$C$95,L508="Tinggi",'B.kriteria &amp; R.kecocokan'!$C$96)</f>
        <v>2.5</v>
      </c>
      <c r="N508" s="9" t="str">
        <f>'B.kriteria &amp; R.kecocokan'!$B$81</f>
        <v>Tinggi</v>
      </c>
      <c r="O508" s="8">
        <f>_xlfn.IFS(N508="Rendah",'B.kriteria &amp; R.kecocokan'!$C$80,N508="Tinggi",'B.kriteria &amp; R.kecocokan'!$C$81)</f>
        <v>7.5</v>
      </c>
      <c r="P508" s="9" t="str">
        <f>'B.kriteria &amp; R.kecocokan'!$B$90</f>
        <v>Sangat Sedikit</v>
      </c>
      <c r="Q508" s="8">
        <f>_xlfn.IFS(P508="Sedikit",'B.kriteria &amp; R.kecocokan'!$C$89,P508="Sedang",'B.kriteria &amp; R.kecocokan'!$C$88,P508="Sangat Sedikit",'B.kriteria &amp; R.kecocokan'!$C$90)</f>
        <v>1</v>
      </c>
      <c r="R508" s="8" t="str">
        <f>'B.kriteria &amp; R.kecocokan'!$B$49</f>
        <v>Rendah</v>
      </c>
      <c r="S508" s="8">
        <f>_xlfn.IFS(R508="Rendah",'B.kriteria &amp; R.kecocokan'!$C$49,R508="Sedang",'B.kriteria &amp; R.kecocokan'!$C$50,R508="Tinggi",'B.kriteria &amp; R.kecocokan'!$C$51)</f>
        <v>2.5</v>
      </c>
      <c r="T508" s="8" t="str">
        <f>'B.kriteria &amp; R.kecocokan'!$B$57</f>
        <v>Rendah</v>
      </c>
      <c r="U508" s="51">
        <f>_xlfn.IFS(T508="Rendah",'B.kriteria &amp; R.kecocokan'!$C$57,T508="Sedang",'B.kriteria &amp; R.kecocokan'!$C$58,T508="Tinggi",'B.kriteria &amp; R.kecocokan'!$C$59)</f>
        <v>2.5</v>
      </c>
      <c r="V508" s="51" t="str">
        <f>'B.kriteria &amp; R.kecocokan'!$B$65</f>
        <v>Rendah</v>
      </c>
      <c r="W508" s="9">
        <f>_xlfn.IFS(V508="Rendah",'B.kriteria &amp; R.kecocokan'!$C$65,V508="Sedang",'B.kriteria &amp; R.kecocokan'!$C$66,V508="Tinggi",'B.kriteria &amp; R.kecocokan'!$C$67)</f>
        <v>1</v>
      </c>
      <c r="X508" s="117">
        <f t="shared" si="48"/>
        <v>1.8078583463739675</v>
      </c>
      <c r="Y508" s="117">
        <f t="shared" si="49"/>
        <v>5.6401413359875132</v>
      </c>
      <c r="Z508" s="119">
        <f t="shared" si="50"/>
        <v>1.8078583463739675</v>
      </c>
      <c r="AA508" s="55" t="str">
        <f t="shared" si="51"/>
        <v>Layak</v>
      </c>
    </row>
    <row r="509" spans="1:27" x14ac:dyDescent="0.35">
      <c r="A509" s="5">
        <v>78</v>
      </c>
      <c r="B509" s="2" t="s">
        <v>146</v>
      </c>
      <c r="C509" s="11" t="s">
        <v>235</v>
      </c>
      <c r="D509" s="32" t="str">
        <f>'B.kriteria &amp; R.kecocokan'!$B$24</f>
        <v>Cukup</v>
      </c>
      <c r="E509" s="111">
        <f>_xlfn.IFS(D509="Banyak",'B.kriteria &amp; R.kecocokan'!$C$23,D509="Cukup",'B.kriteria &amp; R.kecocokan'!$C$24,D509="Sedikit",'B.kriteria &amp; R.kecocokan'!$C$25)</f>
        <v>5</v>
      </c>
      <c r="F509" s="9" t="str">
        <f>'B.kriteria &amp; R.kecocokan'!$B$34</f>
        <v>Tinggi</v>
      </c>
      <c r="G509" s="8">
        <f>_xlfn.IFS(F509="Tinggi",'B.kriteria &amp; R.kecocokan'!$C$34,F509="Sangat Tinggi",'B.kriteria &amp; R.kecocokan'!$C$35)</f>
        <v>7.5</v>
      </c>
      <c r="H509" s="9" t="str">
        <f>'B.kriteria &amp; R.kecocokan'!$B$43</f>
        <v>Tinggi</v>
      </c>
      <c r="I509" s="8">
        <f>_xlfn.IFS(H509="Rendah",'B.kriteria &amp; R.kecocokan'!$C$41,H509="Sedang",'B.kriteria &amp; R.kecocokan'!$C$42,H509="Tinggi",'B.kriteria &amp; R.kecocokan'!$C$43)</f>
        <v>7.5</v>
      </c>
      <c r="J509" s="8" t="str">
        <f>'B.kriteria &amp; R.kecocokan'!$B$72</f>
        <v>Rendah</v>
      </c>
      <c r="K509" s="8">
        <f>_xlfn.IFS(J509="Rendah",'B.kriteria &amp; R.kecocokan'!$C$72,J509="Sedang",'B.kriteria &amp; R.kecocokan'!$C$73,J509="Tinggi",'B.kriteria &amp; R.kecocokan'!$C$74)</f>
        <v>2.5</v>
      </c>
      <c r="L509" s="8" t="str">
        <f>'B.kriteria &amp; R.kecocokan'!$B$95</f>
        <v>Rendah</v>
      </c>
      <c r="M509" s="8">
        <f>_xlfn.IFS(L509="Rendah",'B.kriteria &amp; R.kecocokan'!$C$95,L509="Tinggi",'B.kriteria &amp; R.kecocokan'!$C$96)</f>
        <v>2.5</v>
      </c>
      <c r="N509" s="8" t="str">
        <f>'B.kriteria &amp; R.kecocokan'!$B$80</f>
        <v>Rendah</v>
      </c>
      <c r="O509" s="8">
        <f>_xlfn.IFS(N509="Rendah",'B.kriteria &amp; R.kecocokan'!$C$80,N509="Tinggi",'B.kriteria &amp; R.kecocokan'!$C$81)</f>
        <v>2.5</v>
      </c>
      <c r="P509" s="9" t="str">
        <f>'B.kriteria &amp; R.kecocokan'!$B$90</f>
        <v>Sangat Sedikit</v>
      </c>
      <c r="Q509" s="8">
        <f>_xlfn.IFS(P509="Sedikit",'B.kriteria &amp; R.kecocokan'!$C$89,P509="Sedang",'B.kriteria &amp; R.kecocokan'!$C$88,P509="Sangat Sedikit",'B.kriteria &amp; R.kecocokan'!$C$90)</f>
        <v>1</v>
      </c>
      <c r="R509" s="8" t="str">
        <f>'B.kriteria &amp; R.kecocokan'!$B$49</f>
        <v>Rendah</v>
      </c>
      <c r="S509" s="8">
        <f>_xlfn.IFS(R509="Rendah",'B.kriteria &amp; R.kecocokan'!$C$49,R509="Sedang",'B.kriteria &amp; R.kecocokan'!$C$50,R509="Tinggi",'B.kriteria &amp; R.kecocokan'!$C$51)</f>
        <v>2.5</v>
      </c>
      <c r="T509" s="8" t="str">
        <f>'B.kriteria &amp; R.kecocokan'!$B$57</f>
        <v>Rendah</v>
      </c>
      <c r="U509" s="51">
        <f>_xlfn.IFS(T509="Rendah",'B.kriteria &amp; R.kecocokan'!$C$57,T509="Sedang",'B.kriteria &amp; R.kecocokan'!$C$58,T509="Tinggi",'B.kriteria &amp; R.kecocokan'!$C$59)</f>
        <v>2.5</v>
      </c>
      <c r="V509" s="51" t="str">
        <f>'B.kriteria &amp; R.kecocokan'!$B$65</f>
        <v>Rendah</v>
      </c>
      <c r="W509" s="9">
        <f>_xlfn.IFS(V509="Rendah",'B.kriteria &amp; R.kecocokan'!$C$65,V509="Sedang",'B.kriteria &amp; R.kecocokan'!$C$66,V509="Tinggi",'B.kriteria &amp; R.kecocokan'!$C$67)</f>
        <v>1</v>
      </c>
      <c r="X509" s="117">
        <f t="shared" si="48"/>
        <v>7.1159519990782396</v>
      </c>
      <c r="Y509" s="117">
        <f t="shared" si="49"/>
        <v>4.8904455265149149</v>
      </c>
      <c r="Z509" s="119">
        <f t="shared" si="50"/>
        <v>4.8904455265149149</v>
      </c>
      <c r="AA509" s="55" t="str">
        <f t="shared" si="51"/>
        <v>Tidak Layak</v>
      </c>
    </row>
    <row r="510" spans="1:27" x14ac:dyDescent="0.35">
      <c r="A510" s="5">
        <v>79</v>
      </c>
      <c r="B510" s="2" t="s">
        <v>173</v>
      </c>
      <c r="C510" s="11" t="s">
        <v>95</v>
      </c>
      <c r="D510" s="28" t="str">
        <f>'B.kriteria &amp; R.kecocokan'!$B$25</f>
        <v>Sedikit</v>
      </c>
      <c r="E510" s="111">
        <f>_xlfn.IFS(D510="Banyak",'B.kriteria &amp; R.kecocokan'!$C$23,D510="Cukup",'B.kriteria &amp; R.kecocokan'!$C$24,D510="Sedikit",'B.kriteria &amp; R.kecocokan'!$C$25)</f>
        <v>7.5</v>
      </c>
      <c r="F510" s="9" t="str">
        <f>'B.kriteria &amp; R.kecocokan'!$B$34</f>
        <v>Tinggi</v>
      </c>
      <c r="G510" s="8">
        <f>_xlfn.IFS(F510="Tinggi",'B.kriteria &amp; R.kecocokan'!$C$34,F510="Sangat Tinggi",'B.kriteria &amp; R.kecocokan'!$C$35)</f>
        <v>7.5</v>
      </c>
      <c r="H510" s="8" t="str">
        <f>'B.kriteria &amp; R.kecocokan'!$B$41</f>
        <v>Rendah</v>
      </c>
      <c r="I510" s="8">
        <f>_xlfn.IFS(H510="Rendah",'B.kriteria &amp; R.kecocokan'!$C$41,H510="Sedang",'B.kriteria &amp; R.kecocokan'!$C$42,H510="Tinggi",'B.kriteria &amp; R.kecocokan'!$C$43)</f>
        <v>2.5</v>
      </c>
      <c r="J510" s="8" t="str">
        <f>'B.kriteria &amp; R.kecocokan'!$B$72</f>
        <v>Rendah</v>
      </c>
      <c r="K510" s="8">
        <f>_xlfn.IFS(J510="Rendah",'B.kriteria &amp; R.kecocokan'!$C$72,J510="Sedang",'B.kriteria &amp; R.kecocokan'!$C$73,J510="Tinggi",'B.kriteria &amp; R.kecocokan'!$C$74)</f>
        <v>2.5</v>
      </c>
      <c r="L510" s="8" t="str">
        <f>'B.kriteria &amp; R.kecocokan'!$B$95</f>
        <v>Rendah</v>
      </c>
      <c r="M510" s="8">
        <f>_xlfn.IFS(L510="Rendah",'B.kriteria &amp; R.kecocokan'!$C$95,L510="Tinggi",'B.kriteria &amp; R.kecocokan'!$C$96)</f>
        <v>2.5</v>
      </c>
      <c r="N510" s="9" t="str">
        <f>'B.kriteria &amp; R.kecocokan'!$B$81</f>
        <v>Tinggi</v>
      </c>
      <c r="O510" s="8">
        <f>_xlfn.IFS(N510="Rendah",'B.kriteria &amp; R.kecocokan'!$C$80,N510="Tinggi",'B.kriteria &amp; R.kecocokan'!$C$81)</f>
        <v>7.5</v>
      </c>
      <c r="P510" s="9" t="str">
        <f>'B.kriteria &amp; R.kecocokan'!$B$90</f>
        <v>Sangat Sedikit</v>
      </c>
      <c r="Q510" s="8">
        <f>_xlfn.IFS(P510="Sedikit",'B.kriteria &amp; R.kecocokan'!$C$89,P510="Sedang",'B.kriteria &amp; R.kecocokan'!$C$88,P510="Sangat Sedikit",'B.kriteria &amp; R.kecocokan'!$C$90)</f>
        <v>1</v>
      </c>
      <c r="R510" s="8" t="str">
        <f>'B.kriteria &amp; R.kecocokan'!$B$49</f>
        <v>Rendah</v>
      </c>
      <c r="S510" s="8">
        <f>_xlfn.IFS(R510="Rendah",'B.kriteria &amp; R.kecocokan'!$C$49,R510="Sedang",'B.kriteria &amp; R.kecocokan'!$C$50,R510="Tinggi",'B.kriteria &amp; R.kecocokan'!$C$51)</f>
        <v>2.5</v>
      </c>
      <c r="T510" s="9" t="str">
        <f>'B.kriteria &amp; R.kecocokan'!$B$58</f>
        <v>Sedang</v>
      </c>
      <c r="U510" s="51">
        <f>_xlfn.IFS(T510="Rendah",'B.kriteria &amp; R.kecocokan'!$C$57,T510="Sedang",'B.kriteria &amp; R.kecocokan'!$C$58,T510="Tinggi",'B.kriteria &amp; R.kecocokan'!$C$59)</f>
        <v>5</v>
      </c>
      <c r="V510" s="51" t="str">
        <f>'B.kriteria &amp; R.kecocokan'!$B$65</f>
        <v>Rendah</v>
      </c>
      <c r="W510" s="9">
        <f>_xlfn.IFS(V510="Rendah",'B.kriteria &amp; R.kecocokan'!$C$65,V510="Sedang",'B.kriteria &amp; R.kecocokan'!$C$66,V510="Tinggi",'B.kriteria &amp; R.kecocokan'!$C$67)</f>
        <v>1</v>
      </c>
      <c r="X510" s="117">
        <f t="shared" si="48"/>
        <v>2.2165488135069982</v>
      </c>
      <c r="Y510" s="117">
        <f t="shared" si="49"/>
        <v>6.5934720531562379</v>
      </c>
      <c r="Z510" s="119">
        <f t="shared" si="50"/>
        <v>2.2165488135069982</v>
      </c>
      <c r="AA510" s="55" t="str">
        <f t="shared" si="51"/>
        <v>Layak</v>
      </c>
    </row>
    <row r="511" spans="1:27" x14ac:dyDescent="0.35">
      <c r="A511" s="1">
        <v>80</v>
      </c>
      <c r="B511" s="2" t="s">
        <v>150</v>
      </c>
      <c r="C511" s="11" t="s">
        <v>95</v>
      </c>
      <c r="D511" s="28" t="str">
        <f>'B.kriteria &amp; R.kecocokan'!$B$25</f>
        <v>Sedikit</v>
      </c>
      <c r="E511" s="111">
        <f>_xlfn.IFS(D511="Banyak",'B.kriteria &amp; R.kecocokan'!$C$23,D511="Cukup",'B.kriteria &amp; R.kecocokan'!$C$24,D511="Sedikit",'B.kriteria &amp; R.kecocokan'!$C$25)</f>
        <v>7.5</v>
      </c>
      <c r="F511" s="9" t="str">
        <f>'B.kriteria &amp; R.kecocokan'!$B$34</f>
        <v>Tinggi</v>
      </c>
      <c r="G511" s="8">
        <f>_xlfn.IFS(F511="Tinggi",'B.kriteria &amp; R.kecocokan'!$C$34,F511="Sangat Tinggi",'B.kriteria &amp; R.kecocokan'!$C$35)</f>
        <v>7.5</v>
      </c>
      <c r="H511" s="9" t="str">
        <f>'B.kriteria &amp; R.kecocokan'!$B$43</f>
        <v>Tinggi</v>
      </c>
      <c r="I511" s="8">
        <f>_xlfn.IFS(H511="Rendah",'B.kriteria &amp; R.kecocokan'!$C$41,H511="Sedang",'B.kriteria &amp; R.kecocokan'!$C$42,H511="Tinggi",'B.kriteria &amp; R.kecocokan'!$C$43)</f>
        <v>7.5</v>
      </c>
      <c r="J511" s="8" t="str">
        <f>'B.kriteria &amp; R.kecocokan'!$B$72</f>
        <v>Rendah</v>
      </c>
      <c r="K511" s="8">
        <f>_xlfn.IFS(J511="Rendah",'B.kriteria &amp; R.kecocokan'!$C$72,J511="Sedang",'B.kriteria &amp; R.kecocokan'!$C$73,J511="Tinggi",'B.kriteria &amp; R.kecocokan'!$C$74)</f>
        <v>2.5</v>
      </c>
      <c r="L511" s="9" t="str">
        <f>'B.kriteria &amp; R.kecocokan'!$B$96</f>
        <v>Tinggi</v>
      </c>
      <c r="M511" s="8">
        <f>_xlfn.IFS(L511="Rendah",'B.kriteria &amp; R.kecocokan'!$C$95,L511="Tinggi",'B.kriteria &amp; R.kecocokan'!$C$96)</f>
        <v>7.5</v>
      </c>
      <c r="N511" s="8" t="str">
        <f>'B.kriteria &amp; R.kecocokan'!$B$80</f>
        <v>Rendah</v>
      </c>
      <c r="O511" s="8">
        <f>_xlfn.IFS(N511="Rendah",'B.kriteria &amp; R.kecocokan'!$C$80,N511="Tinggi",'B.kriteria &amp; R.kecocokan'!$C$81)</f>
        <v>2.5</v>
      </c>
      <c r="P511" s="8" t="str">
        <f>'B.kriteria &amp; R.kecocokan'!$B$89</f>
        <v>Sedikit</v>
      </c>
      <c r="Q511" s="8">
        <f>_xlfn.IFS(P511="Sedikit",'B.kriteria &amp; R.kecocokan'!$C$89,P511="Sedang",'B.kriteria &amp; R.kecocokan'!$C$88,P511="Sangat Sedikit",'B.kriteria &amp; R.kecocokan'!$C$90)</f>
        <v>2.5</v>
      </c>
      <c r="R511" s="8" t="str">
        <f>'B.kriteria &amp; R.kecocokan'!$B$49</f>
        <v>Rendah</v>
      </c>
      <c r="S511" s="8">
        <f>_xlfn.IFS(R511="Rendah",'B.kriteria &amp; R.kecocokan'!$C$49,R511="Sedang",'B.kriteria &amp; R.kecocokan'!$C$50,R511="Tinggi",'B.kriteria &amp; R.kecocokan'!$C$51)</f>
        <v>2.5</v>
      </c>
      <c r="T511" s="8" t="str">
        <f>'B.kriteria &amp; R.kecocokan'!$B$57</f>
        <v>Rendah</v>
      </c>
      <c r="U511" s="51">
        <f>_xlfn.IFS(T511="Rendah",'B.kriteria &amp; R.kecocokan'!$C$57,T511="Sedang",'B.kriteria &amp; R.kecocokan'!$C$58,T511="Tinggi",'B.kriteria &amp; R.kecocokan'!$C$59)</f>
        <v>2.5</v>
      </c>
      <c r="V511" s="51" t="str">
        <f>'B.kriteria &amp; R.kecocokan'!$B$65</f>
        <v>Rendah</v>
      </c>
      <c r="W511" s="9">
        <f>_xlfn.IFS(V511="Rendah",'B.kriteria &amp; R.kecocokan'!$C$65,V511="Sedang",'B.kriteria &amp; R.kecocokan'!$C$66,V511="Tinggi",'B.kriteria &amp; R.kecocokan'!$C$67)</f>
        <v>1</v>
      </c>
      <c r="X511" s="117">
        <f t="shared" si="48"/>
        <v>8.7909902568078682</v>
      </c>
      <c r="Y511" s="117">
        <f t="shared" si="49"/>
        <v>7.1316084180241575</v>
      </c>
      <c r="Z511" s="119">
        <f t="shared" si="50"/>
        <v>7.1316084180241575</v>
      </c>
      <c r="AA511" s="55" t="str">
        <f t="shared" si="51"/>
        <v>Tidak Layak</v>
      </c>
    </row>
    <row r="512" spans="1:27" x14ac:dyDescent="0.35">
      <c r="A512" s="5">
        <v>81</v>
      </c>
      <c r="B512" s="2" t="s">
        <v>147</v>
      </c>
      <c r="C512" s="11" t="s">
        <v>95</v>
      </c>
      <c r="D512" s="28" t="str">
        <f>'B.kriteria &amp; R.kecocokan'!$B$25</f>
        <v>Sedikit</v>
      </c>
      <c r="E512" s="111">
        <f>_xlfn.IFS(D512="Banyak",'B.kriteria &amp; R.kecocokan'!$C$23,D512="Cukup",'B.kriteria &amp; R.kecocokan'!$C$24,D512="Sedikit",'B.kriteria &amp; R.kecocokan'!$C$25)</f>
        <v>7.5</v>
      </c>
      <c r="F512" s="9" t="str">
        <f>'B.kriteria &amp; R.kecocokan'!$B$34</f>
        <v>Tinggi</v>
      </c>
      <c r="G512" s="8">
        <f>_xlfn.IFS(F512="Tinggi",'B.kriteria &amp; R.kecocokan'!$C$34,F512="Sangat Tinggi",'B.kriteria &amp; R.kecocokan'!$C$35)</f>
        <v>7.5</v>
      </c>
      <c r="H512" s="8" t="str">
        <f>'B.kriteria &amp; R.kecocokan'!$B$41</f>
        <v>Rendah</v>
      </c>
      <c r="I512" s="8">
        <f>_xlfn.IFS(H512="Rendah",'B.kriteria &amp; R.kecocokan'!$C$41,H512="Sedang",'B.kriteria &amp; R.kecocokan'!$C$42,H512="Tinggi",'B.kriteria &amp; R.kecocokan'!$C$43)</f>
        <v>2.5</v>
      </c>
      <c r="J512" s="8" t="str">
        <f>'B.kriteria &amp; R.kecocokan'!$B$72</f>
        <v>Rendah</v>
      </c>
      <c r="K512" s="8">
        <f>_xlfn.IFS(J512="Rendah",'B.kriteria &amp; R.kecocokan'!$C$72,J512="Sedang",'B.kriteria &amp; R.kecocokan'!$C$73,J512="Tinggi",'B.kriteria &amp; R.kecocokan'!$C$74)</f>
        <v>2.5</v>
      </c>
      <c r="L512" s="8" t="str">
        <f>'B.kriteria &amp; R.kecocokan'!$B$95</f>
        <v>Rendah</v>
      </c>
      <c r="M512" s="8">
        <f>_xlfn.IFS(L512="Rendah",'B.kriteria &amp; R.kecocokan'!$C$95,L512="Tinggi",'B.kriteria &amp; R.kecocokan'!$C$96)</f>
        <v>2.5</v>
      </c>
      <c r="N512" s="9" t="str">
        <f>'B.kriteria &amp; R.kecocokan'!$B$81</f>
        <v>Tinggi</v>
      </c>
      <c r="O512" s="8">
        <f>_xlfn.IFS(N512="Rendah",'B.kriteria &amp; R.kecocokan'!$C$80,N512="Tinggi",'B.kriteria &amp; R.kecocokan'!$C$81)</f>
        <v>7.5</v>
      </c>
      <c r="P512" s="9" t="str">
        <f>'B.kriteria &amp; R.kecocokan'!$B$90</f>
        <v>Sangat Sedikit</v>
      </c>
      <c r="Q512" s="8">
        <f>_xlfn.IFS(P512="Sedikit",'B.kriteria &amp; R.kecocokan'!$C$89,P512="Sedang",'B.kriteria &amp; R.kecocokan'!$C$88,P512="Sangat Sedikit",'B.kriteria &amp; R.kecocokan'!$C$90)</f>
        <v>1</v>
      </c>
      <c r="R512" s="8" t="str">
        <f>'B.kriteria &amp; R.kecocokan'!$B$49</f>
        <v>Rendah</v>
      </c>
      <c r="S512" s="8">
        <f>_xlfn.IFS(R512="Rendah",'B.kriteria &amp; R.kecocokan'!$C$49,R512="Sedang",'B.kriteria &amp; R.kecocokan'!$C$50,R512="Tinggi",'B.kriteria &amp; R.kecocokan'!$C$51)</f>
        <v>2.5</v>
      </c>
      <c r="T512" s="8" t="str">
        <f>'B.kriteria &amp; R.kecocokan'!$B$57</f>
        <v>Rendah</v>
      </c>
      <c r="U512" s="51">
        <f>_xlfn.IFS(T512="Rendah",'B.kriteria &amp; R.kecocokan'!$C$57,T512="Sedang",'B.kriteria &amp; R.kecocokan'!$C$58,T512="Tinggi",'B.kriteria &amp; R.kecocokan'!$C$59)</f>
        <v>2.5</v>
      </c>
      <c r="V512" s="51" t="str">
        <f>'B.kriteria &amp; R.kecocokan'!$B$65</f>
        <v>Rendah</v>
      </c>
      <c r="W512" s="9">
        <f>_xlfn.IFS(V512="Rendah",'B.kriteria &amp; R.kecocokan'!$C$65,V512="Sedang",'B.kriteria &amp; R.kecocokan'!$C$66,V512="Tinggi",'B.kriteria &amp; R.kecocokan'!$C$67)</f>
        <v>1</v>
      </c>
      <c r="X512" s="117">
        <f t="shared" si="48"/>
        <v>1.9814758482999792</v>
      </c>
      <c r="Y512" s="117">
        <f t="shared" si="49"/>
        <v>6.2607953110031191</v>
      </c>
      <c r="Z512" s="119">
        <f t="shared" si="50"/>
        <v>1.9814758482999792</v>
      </c>
      <c r="AA512" s="55" t="str">
        <f t="shared" si="51"/>
        <v>Layak</v>
      </c>
    </row>
    <row r="513" spans="1:27" x14ac:dyDescent="0.35">
      <c r="A513" s="5">
        <v>82</v>
      </c>
      <c r="B513" s="2" t="s">
        <v>126</v>
      </c>
      <c r="C513" s="11" t="s">
        <v>95</v>
      </c>
      <c r="D513" s="28" t="str">
        <f>'B.kriteria &amp; R.kecocokan'!$B$25</f>
        <v>Sedikit</v>
      </c>
      <c r="E513" s="111">
        <f>_xlfn.IFS(D513="Banyak",'B.kriteria &amp; R.kecocokan'!$C$23,D513="Cukup",'B.kriteria &amp; R.kecocokan'!$C$24,D513="Sedikit",'B.kriteria &amp; R.kecocokan'!$C$25)</f>
        <v>7.5</v>
      </c>
      <c r="F513" s="9" t="str">
        <f>'B.kriteria &amp; R.kecocokan'!$B$34</f>
        <v>Tinggi</v>
      </c>
      <c r="G513" s="8">
        <f>_xlfn.IFS(F513="Tinggi",'B.kriteria &amp; R.kecocokan'!$C$34,F513="Sangat Tinggi",'B.kriteria &amp; R.kecocokan'!$C$35)</f>
        <v>7.5</v>
      </c>
      <c r="H513" s="8" t="str">
        <f>'B.kriteria &amp; R.kecocokan'!$B$41</f>
        <v>Rendah</v>
      </c>
      <c r="I513" s="8">
        <f>_xlfn.IFS(H513="Rendah",'B.kriteria &amp; R.kecocokan'!$C$41,H513="Sedang",'B.kriteria &amp; R.kecocokan'!$C$42,H513="Tinggi",'B.kriteria &amp; R.kecocokan'!$C$43)</f>
        <v>2.5</v>
      </c>
      <c r="J513" s="8" t="str">
        <f>'B.kriteria &amp; R.kecocokan'!$B$72</f>
        <v>Rendah</v>
      </c>
      <c r="K513" s="8">
        <f>_xlfn.IFS(J513="Rendah",'B.kriteria &amp; R.kecocokan'!$C$72,J513="Sedang",'B.kriteria &amp; R.kecocokan'!$C$73,J513="Tinggi",'B.kriteria &amp; R.kecocokan'!$C$74)</f>
        <v>2.5</v>
      </c>
      <c r="L513" s="8" t="str">
        <f>'B.kriteria &amp; R.kecocokan'!$B$95</f>
        <v>Rendah</v>
      </c>
      <c r="M513" s="8">
        <f>_xlfn.IFS(L513="Rendah",'B.kriteria &amp; R.kecocokan'!$C$95,L513="Tinggi",'B.kriteria &amp; R.kecocokan'!$C$96)</f>
        <v>2.5</v>
      </c>
      <c r="N513" s="8" t="str">
        <f>'B.kriteria &amp; R.kecocokan'!$B$80</f>
        <v>Rendah</v>
      </c>
      <c r="O513" s="8">
        <f>_xlfn.IFS(N513="Rendah",'B.kriteria &amp; R.kecocokan'!$C$80,N513="Tinggi",'B.kriteria &amp; R.kecocokan'!$C$81)</f>
        <v>2.5</v>
      </c>
      <c r="P513" s="9" t="str">
        <f>'B.kriteria &amp; R.kecocokan'!$B$88</f>
        <v>Sedang</v>
      </c>
      <c r="Q513" s="8">
        <f>_xlfn.IFS(P513="Sedikit",'B.kriteria &amp; R.kecocokan'!$C$89,P513="Sedang",'B.kriteria &amp; R.kecocokan'!$C$88,P513="Sangat Sedikit",'B.kriteria &amp; R.kecocokan'!$C$90)</f>
        <v>5</v>
      </c>
      <c r="R513" s="8" t="str">
        <f>'B.kriteria &amp; R.kecocokan'!$B$49</f>
        <v>Rendah</v>
      </c>
      <c r="S513" s="8">
        <f>_xlfn.IFS(R513="Rendah",'B.kriteria &amp; R.kecocokan'!$C$49,R513="Sedang",'B.kriteria &amp; R.kecocokan'!$C$50,R513="Tinggi",'B.kriteria &amp; R.kecocokan'!$C$51)</f>
        <v>2.5</v>
      </c>
      <c r="T513" s="8" t="str">
        <f>'B.kriteria &amp; R.kecocokan'!$B$57</f>
        <v>Rendah</v>
      </c>
      <c r="U513" s="51">
        <f>_xlfn.IFS(T513="Rendah",'B.kriteria &amp; R.kecocokan'!$C$57,T513="Sedang",'B.kriteria &amp; R.kecocokan'!$C$58,T513="Tinggi",'B.kriteria &amp; R.kecocokan'!$C$59)</f>
        <v>2.5</v>
      </c>
      <c r="V513" s="51" t="str">
        <f>'B.kriteria &amp; R.kecocokan'!$B$65</f>
        <v>Rendah</v>
      </c>
      <c r="W513" s="9">
        <f>_xlfn.IFS(V513="Rendah",'B.kriteria &amp; R.kecocokan'!$C$65,V513="Sedang",'B.kriteria &amp; R.kecocokan'!$C$66,V513="Tinggi",'B.kriteria &amp; R.kecocokan'!$C$67)</f>
        <v>1</v>
      </c>
      <c r="X513" s="117">
        <f t="shared" si="48"/>
        <v>6.446535929067994</v>
      </c>
      <c r="Y513" s="117">
        <f t="shared" si="49"/>
        <v>3.3384017654157931</v>
      </c>
      <c r="Z513" s="119">
        <f t="shared" si="50"/>
        <v>3.3384017654157931</v>
      </c>
      <c r="AA513" s="55" t="str">
        <f t="shared" si="51"/>
        <v>Tidak Layak</v>
      </c>
    </row>
    <row r="514" spans="1:27" x14ac:dyDescent="0.35">
      <c r="A514" s="1">
        <v>83</v>
      </c>
      <c r="B514" s="2" t="s">
        <v>178</v>
      </c>
      <c r="C514" s="11" t="s">
        <v>95</v>
      </c>
      <c r="D514" s="32" t="str">
        <f>'B.kriteria &amp; R.kecocokan'!$B$24</f>
        <v>Cukup</v>
      </c>
      <c r="E514" s="111">
        <f>_xlfn.IFS(D514="Banyak",'B.kriteria &amp; R.kecocokan'!$C$23,D514="Cukup",'B.kriteria &amp; R.kecocokan'!$C$24,D514="Sedikit",'B.kriteria &amp; R.kecocokan'!$C$25)</f>
        <v>5</v>
      </c>
      <c r="F514" s="9" t="str">
        <f>'B.kriteria &amp; R.kecocokan'!$B$34</f>
        <v>Tinggi</v>
      </c>
      <c r="G514" s="8">
        <f>_xlfn.IFS(F514="Tinggi",'B.kriteria &amp; R.kecocokan'!$C$34,F514="Sangat Tinggi",'B.kriteria &amp; R.kecocokan'!$C$35)</f>
        <v>7.5</v>
      </c>
      <c r="H514" s="8" t="str">
        <f>'B.kriteria &amp; R.kecocokan'!$B$41</f>
        <v>Rendah</v>
      </c>
      <c r="I514" s="8">
        <f>_xlfn.IFS(H514="Rendah",'B.kriteria &amp; R.kecocokan'!$C$41,H514="Sedang",'B.kriteria &amp; R.kecocokan'!$C$42,H514="Tinggi",'B.kriteria &amp; R.kecocokan'!$C$43)</f>
        <v>2.5</v>
      </c>
      <c r="J514" s="8" t="str">
        <f>'B.kriteria &amp; R.kecocokan'!$B$72</f>
        <v>Rendah</v>
      </c>
      <c r="K514" s="8">
        <f>_xlfn.IFS(J514="Rendah",'B.kriteria &amp; R.kecocokan'!$C$72,J514="Sedang",'B.kriteria &amp; R.kecocokan'!$C$73,J514="Tinggi",'B.kriteria &amp; R.kecocokan'!$C$74)</f>
        <v>2.5</v>
      </c>
      <c r="L514" s="8" t="str">
        <f>'B.kriteria &amp; R.kecocokan'!$B$95</f>
        <v>Rendah</v>
      </c>
      <c r="M514" s="8">
        <f>_xlfn.IFS(L514="Rendah",'B.kriteria &amp; R.kecocokan'!$C$95,L514="Tinggi",'B.kriteria &amp; R.kecocokan'!$C$96)</f>
        <v>2.5</v>
      </c>
      <c r="N514" s="8" t="str">
        <f>'B.kriteria &amp; R.kecocokan'!$B$80</f>
        <v>Rendah</v>
      </c>
      <c r="O514" s="8">
        <f>_xlfn.IFS(N514="Rendah",'B.kriteria &amp; R.kecocokan'!$C$80,N514="Tinggi",'B.kriteria &amp; R.kecocokan'!$C$81)</f>
        <v>2.5</v>
      </c>
      <c r="P514" s="8" t="str">
        <f>'B.kriteria &amp; R.kecocokan'!$B$89</f>
        <v>Sedikit</v>
      </c>
      <c r="Q514" s="8">
        <f>_xlfn.IFS(P514="Sedikit",'B.kriteria &amp; R.kecocokan'!$C$89,P514="Sedang",'B.kriteria &amp; R.kecocokan'!$C$88,P514="Sangat Sedikit",'B.kriteria &amp; R.kecocokan'!$C$90)</f>
        <v>2.5</v>
      </c>
      <c r="R514" s="8" t="str">
        <f>'B.kriteria &amp; R.kecocokan'!$B$49</f>
        <v>Rendah</v>
      </c>
      <c r="S514" s="8">
        <f>_xlfn.IFS(R514="Rendah",'B.kriteria &amp; R.kecocokan'!$C$49,R514="Sedang",'B.kriteria &amp; R.kecocokan'!$C$50,R514="Tinggi",'B.kriteria &amp; R.kecocokan'!$C$51)</f>
        <v>2.5</v>
      </c>
      <c r="T514" s="9" t="str">
        <f>'B.kriteria &amp; R.kecocokan'!$B$58</f>
        <v>Sedang</v>
      </c>
      <c r="U514" s="51">
        <f>_xlfn.IFS(T514="Rendah",'B.kriteria &amp; R.kecocokan'!$C$57,T514="Sedang",'B.kriteria &amp; R.kecocokan'!$C$58,T514="Tinggi",'B.kriteria &amp; R.kecocokan'!$C$59)</f>
        <v>5</v>
      </c>
      <c r="V514" s="51" t="str">
        <f>'B.kriteria &amp; R.kecocokan'!$B$65</f>
        <v>Rendah</v>
      </c>
      <c r="W514" s="9">
        <f>_xlfn.IFS(V514="Rendah",'B.kriteria &amp; R.kecocokan'!$C$65,V514="Sedang",'B.kriteria &amp; R.kecocokan'!$C$66,V514="Tinggi",'B.kriteria &amp; R.kecocokan'!$C$67)</f>
        <v>1</v>
      </c>
      <c r="X514" s="117">
        <f t="shared" si="48"/>
        <v>5.499275953348798</v>
      </c>
      <c r="Y514" s="117">
        <f t="shared" si="49"/>
        <v>2.3758214628309822</v>
      </c>
      <c r="Z514" s="119">
        <f t="shared" si="50"/>
        <v>2.3758214628309822</v>
      </c>
      <c r="AA514" s="55" t="str">
        <f t="shared" si="51"/>
        <v>Tidak Layak</v>
      </c>
    </row>
    <row r="515" spans="1:27" x14ac:dyDescent="0.35">
      <c r="A515" s="5">
        <v>84</v>
      </c>
      <c r="B515" s="2" t="s">
        <v>133</v>
      </c>
      <c r="C515" s="11" t="s">
        <v>95</v>
      </c>
      <c r="D515" s="32" t="str">
        <f>'B.kriteria &amp; R.kecocokan'!$B$24</f>
        <v>Cukup</v>
      </c>
      <c r="E515" s="111">
        <f>_xlfn.IFS(D515="Banyak",'B.kriteria &amp; R.kecocokan'!$C$23,D515="Cukup",'B.kriteria &amp; R.kecocokan'!$C$24,D515="Sedikit",'B.kriteria &amp; R.kecocokan'!$C$25)</f>
        <v>5</v>
      </c>
      <c r="F515" s="9" t="str">
        <f>'B.kriteria &amp; R.kecocokan'!$B$34</f>
        <v>Tinggi</v>
      </c>
      <c r="G515" s="8">
        <f>_xlfn.IFS(F515="Tinggi",'B.kriteria &amp; R.kecocokan'!$C$34,F515="Sangat Tinggi",'B.kriteria &amp; R.kecocokan'!$C$35)</f>
        <v>7.5</v>
      </c>
      <c r="H515" s="8" t="str">
        <f>'B.kriteria &amp; R.kecocokan'!$B$41</f>
        <v>Rendah</v>
      </c>
      <c r="I515" s="8">
        <f>_xlfn.IFS(H515="Rendah",'B.kriteria &amp; R.kecocokan'!$C$41,H515="Sedang",'B.kriteria &amp; R.kecocokan'!$C$42,H515="Tinggi",'B.kriteria &amp; R.kecocokan'!$C$43)</f>
        <v>2.5</v>
      </c>
      <c r="J515" s="8" t="str">
        <f>'B.kriteria &amp; R.kecocokan'!$B$72</f>
        <v>Rendah</v>
      </c>
      <c r="K515" s="8">
        <f>_xlfn.IFS(J515="Rendah",'B.kriteria &amp; R.kecocokan'!$C$72,J515="Sedang",'B.kriteria &amp; R.kecocokan'!$C$73,J515="Tinggi",'B.kriteria &amp; R.kecocokan'!$C$74)</f>
        <v>2.5</v>
      </c>
      <c r="L515" s="8" t="str">
        <f>'B.kriteria &amp; R.kecocokan'!$B$95</f>
        <v>Rendah</v>
      </c>
      <c r="M515" s="8">
        <f>_xlfn.IFS(L515="Rendah",'B.kriteria &amp; R.kecocokan'!$C$95,L515="Tinggi",'B.kriteria &amp; R.kecocokan'!$C$96)</f>
        <v>2.5</v>
      </c>
      <c r="N515" s="8" t="str">
        <f>'B.kriteria &amp; R.kecocokan'!$B$80</f>
        <v>Rendah</v>
      </c>
      <c r="O515" s="8">
        <f>_xlfn.IFS(N515="Rendah",'B.kriteria &amp; R.kecocokan'!$C$80,N515="Tinggi",'B.kriteria &amp; R.kecocokan'!$C$81)</f>
        <v>2.5</v>
      </c>
      <c r="P515" s="9" t="str">
        <f>'B.kriteria &amp; R.kecocokan'!$B$90</f>
        <v>Sangat Sedikit</v>
      </c>
      <c r="Q515" s="8">
        <f>_xlfn.IFS(P515="Sedikit",'B.kriteria &amp; R.kecocokan'!$C$89,P515="Sedang",'B.kriteria &amp; R.kecocokan'!$C$88,P515="Sangat Sedikit",'B.kriteria &amp; R.kecocokan'!$C$90)</f>
        <v>1</v>
      </c>
      <c r="R515" s="8" t="str">
        <f>'B.kriteria &amp; R.kecocokan'!$B$49</f>
        <v>Rendah</v>
      </c>
      <c r="S515" s="8">
        <f>_xlfn.IFS(R515="Rendah",'B.kriteria &amp; R.kecocokan'!$C$49,R515="Sedang",'B.kriteria &amp; R.kecocokan'!$C$50,R515="Tinggi",'B.kriteria &amp; R.kecocokan'!$C$51)</f>
        <v>2.5</v>
      </c>
      <c r="T515" s="8" t="str">
        <f>'B.kriteria &amp; R.kecocokan'!$B$57</f>
        <v>Rendah</v>
      </c>
      <c r="U515" s="51">
        <f>_xlfn.IFS(T515="Rendah",'B.kriteria &amp; R.kecocokan'!$C$57,T515="Sedang",'B.kriteria &amp; R.kecocokan'!$C$58,T515="Tinggi",'B.kriteria &amp; R.kecocokan'!$C$59)</f>
        <v>2.5</v>
      </c>
      <c r="V515" s="51" t="str">
        <f>'B.kriteria &amp; R.kecocokan'!$B$65</f>
        <v>Rendah</v>
      </c>
      <c r="W515" s="9">
        <f>_xlfn.IFS(V515="Rendah",'B.kriteria &amp; R.kecocokan'!$C$65,V515="Sedang",'B.kriteria &amp; R.kecocokan'!$C$66,V515="Tinggi",'B.kriteria &amp; R.kecocokan'!$C$67)</f>
        <v>1</v>
      </c>
      <c r="X515" s="117">
        <f t="shared" si="48"/>
        <v>5.3167990182584495</v>
      </c>
      <c r="Y515" s="117">
        <f t="shared" si="49"/>
        <v>2.4359805638508032</v>
      </c>
      <c r="Z515" s="119">
        <f t="shared" si="50"/>
        <v>2.4359805638508032</v>
      </c>
      <c r="AA515" s="55" t="str">
        <f t="shared" si="51"/>
        <v>Tidak Layak</v>
      </c>
    </row>
    <row r="516" spans="1:27" x14ac:dyDescent="0.35">
      <c r="A516" s="5">
        <v>85</v>
      </c>
      <c r="B516" s="2" t="s">
        <v>159</v>
      </c>
      <c r="C516" s="11" t="s">
        <v>95</v>
      </c>
      <c r="D516" s="9" t="str">
        <f>'B.kriteria &amp; R.kecocokan'!$B$23</f>
        <v>Banyak</v>
      </c>
      <c r="E516" s="111">
        <f>_xlfn.IFS(D516="Banyak",'B.kriteria &amp; R.kecocokan'!$C$23,D516="Cukup",'B.kriteria &amp; R.kecocokan'!$C$24,D516="Sedikit",'B.kriteria &amp; R.kecocokan'!$C$25)</f>
        <v>2.5</v>
      </c>
      <c r="F516" s="9" t="str">
        <f>'B.kriteria &amp; R.kecocokan'!$B$34</f>
        <v>Tinggi</v>
      </c>
      <c r="G516" s="8">
        <f>_xlfn.IFS(F516="Tinggi",'B.kriteria &amp; R.kecocokan'!$C$34,F516="Sangat Tinggi",'B.kriteria &amp; R.kecocokan'!$C$35)</f>
        <v>7.5</v>
      </c>
      <c r="H516" s="8" t="str">
        <f>'B.kriteria &amp; R.kecocokan'!$B$41</f>
        <v>Rendah</v>
      </c>
      <c r="I516" s="8">
        <f>_xlfn.IFS(H516="Rendah",'B.kriteria &amp; R.kecocokan'!$C$41,H516="Sedang",'B.kriteria &amp; R.kecocokan'!$C$42,H516="Tinggi",'B.kriteria &amp; R.kecocokan'!$C$43)</f>
        <v>2.5</v>
      </c>
      <c r="J516" s="8" t="str">
        <f>'B.kriteria &amp; R.kecocokan'!$B$72</f>
        <v>Rendah</v>
      </c>
      <c r="K516" s="8">
        <f>_xlfn.IFS(J516="Rendah",'B.kriteria &amp; R.kecocokan'!$C$72,J516="Sedang",'B.kriteria &amp; R.kecocokan'!$C$73,J516="Tinggi",'B.kriteria &amp; R.kecocokan'!$C$74)</f>
        <v>2.5</v>
      </c>
      <c r="L516" s="9" t="str">
        <f>'B.kriteria &amp; R.kecocokan'!$B$96</f>
        <v>Tinggi</v>
      </c>
      <c r="M516" s="8">
        <f>_xlfn.IFS(L516="Rendah",'B.kriteria &amp; R.kecocokan'!$C$95,L516="Tinggi",'B.kriteria &amp; R.kecocokan'!$C$96)</f>
        <v>7.5</v>
      </c>
      <c r="N516" s="8" t="str">
        <f>'B.kriteria &amp; R.kecocokan'!$B$80</f>
        <v>Rendah</v>
      </c>
      <c r="O516" s="8">
        <f>_xlfn.IFS(N516="Rendah",'B.kriteria &amp; R.kecocokan'!$C$80,N516="Tinggi",'B.kriteria &amp; R.kecocokan'!$C$81)</f>
        <v>2.5</v>
      </c>
      <c r="P516" s="9" t="str">
        <f>'B.kriteria &amp; R.kecocokan'!$B$90</f>
        <v>Sangat Sedikit</v>
      </c>
      <c r="Q516" s="8">
        <f>_xlfn.IFS(P516="Sedikit",'B.kriteria &amp; R.kecocokan'!$C$89,P516="Sedang",'B.kriteria &amp; R.kecocokan'!$C$88,P516="Sangat Sedikit",'B.kriteria &amp; R.kecocokan'!$C$90)</f>
        <v>1</v>
      </c>
      <c r="R516" s="8" t="str">
        <f>'B.kriteria &amp; R.kecocokan'!$B$49</f>
        <v>Rendah</v>
      </c>
      <c r="S516" s="8">
        <f>_xlfn.IFS(R516="Rendah",'B.kriteria &amp; R.kecocokan'!$C$49,R516="Sedang",'B.kriteria &amp; R.kecocokan'!$C$50,R516="Tinggi",'B.kriteria &amp; R.kecocokan'!$C$51)</f>
        <v>2.5</v>
      </c>
      <c r="T516" s="8" t="str">
        <f>'B.kriteria &amp; R.kecocokan'!$B$57</f>
        <v>Rendah</v>
      </c>
      <c r="U516" s="51">
        <f>_xlfn.IFS(T516="Rendah",'B.kriteria &amp; R.kecocokan'!$C$57,T516="Sedang",'B.kriteria &amp; R.kecocokan'!$C$58,T516="Tinggi",'B.kriteria &amp; R.kecocokan'!$C$59)</f>
        <v>2.5</v>
      </c>
      <c r="V516" s="51" t="str">
        <f>'B.kriteria &amp; R.kecocokan'!$B$65</f>
        <v>Rendah</v>
      </c>
      <c r="W516" s="9">
        <f>_xlfn.IFS(V516="Rendah",'B.kriteria &amp; R.kecocokan'!$C$65,V516="Sedang",'B.kriteria &amp; R.kecocokan'!$C$66,V516="Tinggi",'B.kriteria &amp; R.kecocokan'!$C$67)</f>
        <v>1</v>
      </c>
      <c r="X516" s="117">
        <f t="shared" si="48"/>
        <v>8.069105096831489</v>
      </c>
      <c r="Y516" s="117">
        <f t="shared" si="49"/>
        <v>5.9304674932621539</v>
      </c>
      <c r="Z516" s="119">
        <f t="shared" si="50"/>
        <v>5.9304674932621539</v>
      </c>
      <c r="AA516" s="55" t="str">
        <f t="shared" si="51"/>
        <v>Tidak Layak</v>
      </c>
    </row>
    <row r="517" spans="1:27" x14ac:dyDescent="0.35">
      <c r="A517" s="1">
        <v>86</v>
      </c>
      <c r="B517" s="2" t="s">
        <v>165</v>
      </c>
      <c r="C517" s="11" t="s">
        <v>95</v>
      </c>
      <c r="D517" s="28" t="str">
        <f>'B.kriteria &amp; R.kecocokan'!$B$25</f>
        <v>Sedikit</v>
      </c>
      <c r="E517" s="111">
        <f>_xlfn.IFS(D517="Banyak",'B.kriteria &amp; R.kecocokan'!$C$23,D517="Cukup",'B.kriteria &amp; R.kecocokan'!$C$24,D517="Sedikit",'B.kriteria &amp; R.kecocokan'!$C$25)</f>
        <v>7.5</v>
      </c>
      <c r="F517" s="9" t="str">
        <f>'B.kriteria &amp; R.kecocokan'!$B$34</f>
        <v>Tinggi</v>
      </c>
      <c r="G517" s="8">
        <f>_xlfn.IFS(F517="Tinggi",'B.kriteria &amp; R.kecocokan'!$C$34,F517="Sangat Tinggi",'B.kriteria &amp; R.kecocokan'!$C$35)</f>
        <v>7.5</v>
      </c>
      <c r="H517" s="8" t="str">
        <f>'B.kriteria &amp; R.kecocokan'!$B$41</f>
        <v>Rendah</v>
      </c>
      <c r="I517" s="8">
        <f>_xlfn.IFS(H517="Rendah",'B.kriteria &amp; R.kecocokan'!$C$41,H517="Sedang",'B.kriteria &amp; R.kecocokan'!$C$42,H517="Tinggi",'B.kriteria &amp; R.kecocokan'!$C$43)</f>
        <v>2.5</v>
      </c>
      <c r="J517" s="8" t="str">
        <f>'B.kriteria &amp; R.kecocokan'!$B$72</f>
        <v>Rendah</v>
      </c>
      <c r="K517" s="8">
        <f>_xlfn.IFS(J517="Rendah",'B.kriteria &amp; R.kecocokan'!$C$72,J517="Sedang",'B.kriteria &amp; R.kecocokan'!$C$73,J517="Tinggi",'B.kriteria &amp; R.kecocokan'!$C$74)</f>
        <v>2.5</v>
      </c>
      <c r="L517" s="8" t="str">
        <f>'B.kriteria &amp; R.kecocokan'!$B$95</f>
        <v>Rendah</v>
      </c>
      <c r="M517" s="8">
        <f>_xlfn.IFS(L517="Rendah",'B.kriteria &amp; R.kecocokan'!$C$95,L517="Tinggi",'B.kriteria &amp; R.kecocokan'!$C$96)</f>
        <v>2.5</v>
      </c>
      <c r="N517" s="9" t="str">
        <f>'B.kriteria &amp; R.kecocokan'!$B$81</f>
        <v>Tinggi</v>
      </c>
      <c r="O517" s="8">
        <f>_xlfn.IFS(N517="Rendah",'B.kriteria &amp; R.kecocokan'!$C$80,N517="Tinggi",'B.kriteria &amp; R.kecocokan'!$C$81)</f>
        <v>7.5</v>
      </c>
      <c r="P517" s="9" t="str">
        <f>'B.kriteria &amp; R.kecocokan'!$B$90</f>
        <v>Sangat Sedikit</v>
      </c>
      <c r="Q517" s="8">
        <f>_xlfn.IFS(P517="Sedikit",'B.kriteria &amp; R.kecocokan'!$C$89,P517="Sedang",'B.kriteria &amp; R.kecocokan'!$C$88,P517="Sangat Sedikit",'B.kriteria &amp; R.kecocokan'!$C$90)</f>
        <v>1</v>
      </c>
      <c r="R517" s="8" t="str">
        <f>'B.kriteria &amp; R.kecocokan'!$B$49</f>
        <v>Rendah</v>
      </c>
      <c r="S517" s="8">
        <f>_xlfn.IFS(R517="Rendah",'B.kriteria &amp; R.kecocokan'!$C$49,R517="Sedang",'B.kriteria &amp; R.kecocokan'!$C$50,R517="Tinggi",'B.kriteria &amp; R.kecocokan'!$C$51)</f>
        <v>2.5</v>
      </c>
      <c r="T517" s="8" t="str">
        <f>'B.kriteria &amp; R.kecocokan'!$B$57</f>
        <v>Rendah</v>
      </c>
      <c r="U517" s="51">
        <f>_xlfn.IFS(T517="Rendah",'B.kriteria &amp; R.kecocokan'!$C$57,T517="Sedang",'B.kriteria &amp; R.kecocokan'!$C$58,T517="Tinggi",'B.kriteria &amp; R.kecocokan'!$C$59)</f>
        <v>2.5</v>
      </c>
      <c r="V517" s="51" t="str">
        <f>'B.kriteria &amp; R.kecocokan'!$B$65</f>
        <v>Rendah</v>
      </c>
      <c r="W517" s="9">
        <f>_xlfn.IFS(V517="Rendah",'B.kriteria &amp; R.kecocokan'!$C$65,V517="Sedang",'B.kriteria &amp; R.kecocokan'!$C$66,V517="Tinggi",'B.kriteria &amp; R.kecocokan'!$C$67)</f>
        <v>1</v>
      </c>
      <c r="X517" s="117">
        <f t="shared" si="48"/>
        <v>1.9814758482999792</v>
      </c>
      <c r="Y517" s="117">
        <f t="shared" si="49"/>
        <v>6.2607953110031191</v>
      </c>
      <c r="Z517" s="119">
        <f t="shared" si="50"/>
        <v>1.9814758482999792</v>
      </c>
      <c r="AA517" s="55" t="str">
        <f t="shared" si="51"/>
        <v>Layak</v>
      </c>
    </row>
    <row r="518" spans="1:27" x14ac:dyDescent="0.35">
      <c r="A518" s="5">
        <v>87</v>
      </c>
      <c r="B518" s="2" t="s">
        <v>163</v>
      </c>
      <c r="C518" s="11" t="s">
        <v>248</v>
      </c>
      <c r="D518" s="28" t="str">
        <f>'B.kriteria &amp; R.kecocokan'!$B$25</f>
        <v>Sedikit</v>
      </c>
      <c r="E518" s="111">
        <f>_xlfn.IFS(D518="Banyak",'B.kriteria &amp; R.kecocokan'!$C$23,D518="Cukup",'B.kriteria &amp; R.kecocokan'!$C$24,D518="Sedikit",'B.kriteria &amp; R.kecocokan'!$C$25)</f>
        <v>7.5</v>
      </c>
      <c r="F518" s="9" t="str">
        <f>'B.kriteria &amp; R.kecocokan'!$B$35</f>
        <v>Sangat Tinggi</v>
      </c>
      <c r="G518" s="8">
        <f>_xlfn.IFS(F518="Tinggi",'B.kriteria &amp; R.kecocokan'!$C$34,F518="Sangat Tinggi",'B.kriteria &amp; R.kecocokan'!$C$35)</f>
        <v>10</v>
      </c>
      <c r="H518" s="9" t="str">
        <f>'B.kriteria &amp; R.kecocokan'!$B$43</f>
        <v>Tinggi</v>
      </c>
      <c r="I518" s="8">
        <f>_xlfn.IFS(H518="Rendah",'B.kriteria &amp; R.kecocokan'!$C$41,H518="Sedang",'B.kriteria &amp; R.kecocokan'!$C$42,H518="Tinggi",'B.kriteria &amp; R.kecocokan'!$C$43)</f>
        <v>7.5</v>
      </c>
      <c r="J518" s="8" t="str">
        <f>'B.kriteria &amp; R.kecocokan'!$B$72</f>
        <v>Rendah</v>
      </c>
      <c r="K518" s="8">
        <f>_xlfn.IFS(J518="Rendah",'B.kriteria &amp; R.kecocokan'!$C$72,J518="Sedang",'B.kriteria &amp; R.kecocokan'!$C$73,J518="Tinggi",'B.kriteria &amp; R.kecocokan'!$C$74)</f>
        <v>2.5</v>
      </c>
      <c r="L518" s="8" t="str">
        <f>'B.kriteria &amp; R.kecocokan'!$B$95</f>
        <v>Rendah</v>
      </c>
      <c r="M518" s="8">
        <f>_xlfn.IFS(L518="Rendah",'B.kriteria &amp; R.kecocokan'!$C$95,L518="Tinggi",'B.kriteria &amp; R.kecocokan'!$C$96)</f>
        <v>2.5</v>
      </c>
      <c r="N518" s="8" t="str">
        <f>'B.kriteria &amp; R.kecocokan'!$B$80</f>
        <v>Rendah</v>
      </c>
      <c r="O518" s="8">
        <f>_xlfn.IFS(N518="Rendah",'B.kriteria &amp; R.kecocokan'!$C$80,N518="Tinggi",'B.kriteria &amp; R.kecocokan'!$C$81)</f>
        <v>2.5</v>
      </c>
      <c r="P518" s="8" t="str">
        <f>'B.kriteria &amp; R.kecocokan'!$B$89</f>
        <v>Sedikit</v>
      </c>
      <c r="Q518" s="8">
        <f>_xlfn.IFS(P518="Sedikit",'B.kriteria &amp; R.kecocokan'!$C$89,P518="Sedang",'B.kriteria &amp; R.kecocokan'!$C$88,P518="Sangat Sedikit",'B.kriteria &amp; R.kecocokan'!$C$90)</f>
        <v>2.5</v>
      </c>
      <c r="R518" s="8" t="str">
        <f>'B.kriteria &amp; R.kecocokan'!$B$49</f>
        <v>Rendah</v>
      </c>
      <c r="S518" s="8">
        <f>_xlfn.IFS(R518="Rendah",'B.kriteria &amp; R.kecocokan'!$C$49,R518="Sedang",'B.kriteria &amp; R.kecocokan'!$C$50,R518="Tinggi",'B.kriteria &amp; R.kecocokan'!$C$51)</f>
        <v>2.5</v>
      </c>
      <c r="T518" s="8" t="str">
        <f>'B.kriteria &amp; R.kecocokan'!$B$57</f>
        <v>Rendah</v>
      </c>
      <c r="U518" s="51">
        <f>_xlfn.IFS(T518="Rendah",'B.kriteria &amp; R.kecocokan'!$C$57,T518="Sedang",'B.kriteria &amp; R.kecocokan'!$C$58,T518="Tinggi",'B.kriteria &amp; R.kecocokan'!$C$59)</f>
        <v>2.5</v>
      </c>
      <c r="V518" s="51" t="str">
        <f>'B.kriteria &amp; R.kecocokan'!$B$65</f>
        <v>Rendah</v>
      </c>
      <c r="W518" s="9">
        <f>_xlfn.IFS(V518="Rendah",'B.kriteria &amp; R.kecocokan'!$C$65,V518="Sedang",'B.kriteria &amp; R.kecocokan'!$C$66,V518="Tinggi",'B.kriteria &amp; R.kecocokan'!$C$67)</f>
        <v>1</v>
      </c>
      <c r="X518" s="117">
        <f t="shared" si="48"/>
        <v>7.4985917422102322</v>
      </c>
      <c r="Y518" s="117">
        <f t="shared" si="49"/>
        <v>5.6858716898684118</v>
      </c>
      <c r="Z518" s="119">
        <f t="shared" si="50"/>
        <v>5.6858716898684118</v>
      </c>
      <c r="AA518" s="55" t="str">
        <f t="shared" si="51"/>
        <v>Tidak Layak</v>
      </c>
    </row>
    <row r="519" spans="1:27" x14ac:dyDescent="0.35">
      <c r="A519" s="5">
        <v>88</v>
      </c>
      <c r="B519" s="30" t="s">
        <v>24</v>
      </c>
      <c r="C519" s="11" t="s">
        <v>248</v>
      </c>
      <c r="D519" s="28" t="str">
        <f>'B.kriteria &amp; R.kecocokan'!$B$25</f>
        <v>Sedikit</v>
      </c>
      <c r="E519" s="111">
        <f>_xlfn.IFS(D519="Banyak",'B.kriteria &amp; R.kecocokan'!$C$23,D519="Cukup",'B.kriteria &amp; R.kecocokan'!$C$24,D519="Sedikit",'B.kriteria &amp; R.kecocokan'!$C$25)</f>
        <v>7.5</v>
      </c>
      <c r="F519" s="9" t="str">
        <f>'B.kriteria &amp; R.kecocokan'!$B$35</f>
        <v>Sangat Tinggi</v>
      </c>
      <c r="G519" s="8">
        <f>_xlfn.IFS(F519="Tinggi",'B.kriteria &amp; R.kecocokan'!$C$34,F519="Sangat Tinggi",'B.kriteria &amp; R.kecocokan'!$C$35)</f>
        <v>10</v>
      </c>
      <c r="H519" s="8" t="str">
        <f>'B.kriteria &amp; R.kecocokan'!$B$41</f>
        <v>Rendah</v>
      </c>
      <c r="I519" s="8">
        <f>_xlfn.IFS(H519="Rendah",'B.kriteria &amp; R.kecocokan'!$C$41,H519="Sedang",'B.kriteria &amp; R.kecocokan'!$C$42,H519="Tinggi",'B.kriteria &amp; R.kecocokan'!$C$43)</f>
        <v>2.5</v>
      </c>
      <c r="J519" s="8" t="str">
        <f>'B.kriteria &amp; R.kecocokan'!$B$72</f>
        <v>Rendah</v>
      </c>
      <c r="K519" s="8">
        <f>_xlfn.IFS(J519="Rendah",'B.kriteria &amp; R.kecocokan'!$C$72,J519="Sedang",'B.kriteria &amp; R.kecocokan'!$C$73,J519="Tinggi",'B.kriteria &amp; R.kecocokan'!$C$74)</f>
        <v>2.5</v>
      </c>
      <c r="L519" s="8" t="str">
        <f>'B.kriteria &amp; R.kecocokan'!$B$95</f>
        <v>Rendah</v>
      </c>
      <c r="M519" s="8">
        <f>_xlfn.IFS(L519="Rendah",'B.kriteria &amp; R.kecocokan'!$C$95,L519="Tinggi",'B.kriteria &amp; R.kecocokan'!$C$96)</f>
        <v>2.5</v>
      </c>
      <c r="N519" s="9" t="str">
        <f>'B.kriteria &amp; R.kecocokan'!$B$81</f>
        <v>Tinggi</v>
      </c>
      <c r="O519" s="8">
        <f>_xlfn.IFS(N519="Rendah",'B.kriteria &amp; R.kecocokan'!$C$80,N519="Tinggi",'B.kriteria &amp; R.kecocokan'!$C$81)</f>
        <v>7.5</v>
      </c>
      <c r="P519" s="9" t="str">
        <f>'B.kriteria &amp; R.kecocokan'!$B$90</f>
        <v>Sangat Sedikit</v>
      </c>
      <c r="Q519" s="8">
        <f>_xlfn.IFS(P519="Sedikit",'B.kriteria &amp; R.kecocokan'!$C$89,P519="Sedang",'B.kriteria &amp; R.kecocokan'!$C$88,P519="Sangat Sedikit",'B.kriteria &amp; R.kecocokan'!$C$90)</f>
        <v>1</v>
      </c>
      <c r="R519" s="9" t="str">
        <f>'B.kriteria &amp; R.kecocokan'!$B$51</f>
        <v>Tinggi</v>
      </c>
      <c r="S519" s="8">
        <f>_xlfn.IFS(R519="Rendah",'B.kriteria &amp; R.kecocokan'!$C$49,R519="Sedang",'B.kriteria &amp; R.kecocokan'!$C$50,R519="Tinggi",'B.kriteria &amp; R.kecocokan'!$C$51)</f>
        <v>7.5</v>
      </c>
      <c r="T519" s="9" t="str">
        <f>'B.kriteria &amp; R.kecocokan'!$B$59</f>
        <v>Tinggi</v>
      </c>
      <c r="U519" s="51">
        <f>_xlfn.IFS(T519="Rendah",'B.kriteria &amp; R.kecocokan'!$C$57,T519="Sedang",'B.kriteria &amp; R.kecocokan'!$C$58,T519="Tinggi",'B.kriteria &amp; R.kecocokan'!$C$59)</f>
        <v>7.5</v>
      </c>
      <c r="V519" s="51" t="str">
        <f>'B.kriteria &amp; R.kecocokan'!$B$65</f>
        <v>Rendah</v>
      </c>
      <c r="W519" s="9">
        <f>_xlfn.IFS(V519="Rendah",'B.kriteria &amp; R.kecocokan'!$C$65,V519="Sedang",'B.kriteria &amp; R.kecocokan'!$C$66,V519="Tinggi",'B.kriteria &amp; R.kecocokan'!$C$67)</f>
        <v>1</v>
      </c>
      <c r="X519" s="117">
        <f t="shared" si="48"/>
        <v>6.3850099295579819</v>
      </c>
      <c r="Y519" s="117">
        <f t="shared" si="49"/>
        <v>9.4386391393818858</v>
      </c>
      <c r="Z519" s="119">
        <f t="shared" si="50"/>
        <v>6.3850099295579819</v>
      </c>
      <c r="AA519" s="55" t="str">
        <f t="shared" si="51"/>
        <v>Layak</v>
      </c>
    </row>
    <row r="520" spans="1:27" x14ac:dyDescent="0.35">
      <c r="A520" s="1">
        <v>89</v>
      </c>
      <c r="B520" s="2" t="s">
        <v>128</v>
      </c>
      <c r="C520" s="11" t="s">
        <v>95</v>
      </c>
      <c r="D520" s="32" t="str">
        <f>'B.kriteria &amp; R.kecocokan'!$B$24</f>
        <v>Cukup</v>
      </c>
      <c r="E520" s="111">
        <f>_xlfn.IFS(D520="Banyak",'B.kriteria &amp; R.kecocokan'!$C$23,D520="Cukup",'B.kriteria &amp; R.kecocokan'!$C$24,D520="Sedikit",'B.kriteria &amp; R.kecocokan'!$C$25)</f>
        <v>5</v>
      </c>
      <c r="F520" s="9" t="str">
        <f>'B.kriteria &amp; R.kecocokan'!$B$34</f>
        <v>Tinggi</v>
      </c>
      <c r="G520" s="8">
        <f>_xlfn.IFS(F520="Tinggi",'B.kriteria &amp; R.kecocokan'!$C$34,F520="Sangat Tinggi",'B.kriteria &amp; R.kecocokan'!$C$35)</f>
        <v>7.5</v>
      </c>
      <c r="H520" s="8" t="str">
        <f>'B.kriteria &amp; R.kecocokan'!$B$41</f>
        <v>Rendah</v>
      </c>
      <c r="I520" s="8">
        <f>_xlfn.IFS(H520="Rendah",'B.kriteria &amp; R.kecocokan'!$C$41,H520="Sedang",'B.kriteria &amp; R.kecocokan'!$C$42,H520="Tinggi",'B.kriteria &amp; R.kecocokan'!$C$43)</f>
        <v>2.5</v>
      </c>
      <c r="J520" s="8" t="str">
        <f>'B.kriteria &amp; R.kecocokan'!$B$72</f>
        <v>Rendah</v>
      </c>
      <c r="K520" s="8">
        <f>_xlfn.IFS(J520="Rendah",'B.kriteria &amp; R.kecocokan'!$C$72,J520="Sedang",'B.kriteria &amp; R.kecocokan'!$C$73,J520="Tinggi",'B.kriteria &amp; R.kecocokan'!$C$74)</f>
        <v>2.5</v>
      </c>
      <c r="L520" s="8" t="str">
        <f>'B.kriteria &amp; R.kecocokan'!$B$95</f>
        <v>Rendah</v>
      </c>
      <c r="M520" s="8">
        <f>_xlfn.IFS(L520="Rendah",'B.kriteria &amp; R.kecocokan'!$C$95,L520="Tinggi",'B.kriteria &amp; R.kecocokan'!$C$96)</f>
        <v>2.5</v>
      </c>
      <c r="N520" s="9" t="str">
        <f>'B.kriteria &amp; R.kecocokan'!$B$81</f>
        <v>Tinggi</v>
      </c>
      <c r="O520" s="8">
        <f>_xlfn.IFS(N520="Rendah",'B.kriteria &amp; R.kecocokan'!$C$80,N520="Tinggi",'B.kriteria &amp; R.kecocokan'!$C$81)</f>
        <v>7.5</v>
      </c>
      <c r="P520" s="9" t="str">
        <f>'B.kriteria &amp; R.kecocokan'!$B$90</f>
        <v>Sangat Sedikit</v>
      </c>
      <c r="Q520" s="8">
        <f>_xlfn.IFS(P520="Sedikit",'B.kriteria &amp; R.kecocokan'!$C$89,P520="Sedang",'B.kriteria &amp; R.kecocokan'!$C$88,P520="Sangat Sedikit",'B.kriteria &amp; R.kecocokan'!$C$90)</f>
        <v>1</v>
      </c>
      <c r="R520" s="8" t="str">
        <f>'B.kriteria &amp; R.kecocokan'!$B$49</f>
        <v>Rendah</v>
      </c>
      <c r="S520" s="8">
        <f>_xlfn.IFS(R520="Rendah",'B.kriteria &amp; R.kecocokan'!$C$49,R520="Sedang",'B.kriteria &amp; R.kecocokan'!$C$50,R520="Tinggi",'B.kriteria &amp; R.kecocokan'!$C$51)</f>
        <v>2.5</v>
      </c>
      <c r="T520" s="8" t="str">
        <f>'B.kriteria &amp; R.kecocokan'!$B$57</f>
        <v>Rendah</v>
      </c>
      <c r="U520" s="51">
        <f>_xlfn.IFS(T520="Rendah",'B.kriteria &amp; R.kecocokan'!$C$57,T520="Sedang",'B.kriteria &amp; R.kecocokan'!$C$58,T520="Tinggi",'B.kriteria &amp; R.kecocokan'!$C$59)</f>
        <v>2.5</v>
      </c>
      <c r="V520" s="51" t="str">
        <f>'B.kriteria &amp; R.kecocokan'!$B$65</f>
        <v>Rendah</v>
      </c>
      <c r="W520" s="9">
        <f>_xlfn.IFS(V520="Rendah",'B.kriteria &amp; R.kecocokan'!$C$65,V520="Sedang",'B.kriteria &amp; R.kecocokan'!$C$66,V520="Tinggi",'B.kriteria &amp; R.kecocokan'!$C$67)</f>
        <v>1</v>
      </c>
      <c r="X520" s="117">
        <f t="shared" si="48"/>
        <v>1.8078583463739675</v>
      </c>
      <c r="Y520" s="117">
        <f t="shared" si="49"/>
        <v>5.6401413359875132</v>
      </c>
      <c r="Z520" s="119">
        <f t="shared" si="50"/>
        <v>1.8078583463739675</v>
      </c>
      <c r="AA520" s="55" t="str">
        <f t="shared" si="51"/>
        <v>Layak</v>
      </c>
    </row>
    <row r="521" spans="1:27" x14ac:dyDescent="0.35">
      <c r="A521" s="5">
        <v>90</v>
      </c>
      <c r="B521" s="30" t="s">
        <v>136</v>
      </c>
      <c r="C521" s="11" t="s">
        <v>95</v>
      </c>
      <c r="D521" s="28" t="str">
        <f>'B.kriteria &amp; R.kecocokan'!$B$25</f>
        <v>Sedikit</v>
      </c>
      <c r="E521" s="111">
        <f>_xlfn.IFS(D521="Banyak",'B.kriteria &amp; R.kecocokan'!$C$23,D521="Cukup",'B.kriteria &amp; R.kecocokan'!$C$24,D521="Sedikit",'B.kriteria &amp; R.kecocokan'!$C$25)</f>
        <v>7.5</v>
      </c>
      <c r="F521" s="9" t="str">
        <f>'B.kriteria &amp; R.kecocokan'!$B$35</f>
        <v>Sangat Tinggi</v>
      </c>
      <c r="G521" s="8">
        <f>_xlfn.IFS(F521="Tinggi",'B.kriteria &amp; R.kecocokan'!$C$34,F521="Sangat Tinggi",'B.kriteria &amp; R.kecocokan'!$C$35)</f>
        <v>10</v>
      </c>
      <c r="H521" s="8" t="str">
        <f>'B.kriteria &amp; R.kecocokan'!$B$41</f>
        <v>Rendah</v>
      </c>
      <c r="I521" s="8">
        <f>_xlfn.IFS(H521="Rendah",'B.kriteria &amp; R.kecocokan'!$C$41,H521="Sedang",'B.kriteria &amp; R.kecocokan'!$C$42,H521="Tinggi",'B.kriteria &amp; R.kecocokan'!$C$43)</f>
        <v>2.5</v>
      </c>
      <c r="J521" s="8" t="str">
        <f>'B.kriteria &amp; R.kecocokan'!$B$72</f>
        <v>Rendah</v>
      </c>
      <c r="K521" s="8">
        <f>_xlfn.IFS(J521="Rendah",'B.kriteria &amp; R.kecocokan'!$C$72,J521="Sedang",'B.kriteria &amp; R.kecocokan'!$C$73,J521="Tinggi",'B.kriteria &amp; R.kecocokan'!$C$74)</f>
        <v>2.5</v>
      </c>
      <c r="L521" s="8" t="str">
        <f>'B.kriteria &amp; R.kecocokan'!$B$95</f>
        <v>Rendah</v>
      </c>
      <c r="M521" s="8">
        <f>_xlfn.IFS(L521="Rendah",'B.kriteria &amp; R.kecocokan'!$C$95,L521="Tinggi",'B.kriteria &amp; R.kecocokan'!$C$96)</f>
        <v>2.5</v>
      </c>
      <c r="N521" s="9" t="str">
        <f>'B.kriteria &amp; R.kecocokan'!$B$81</f>
        <v>Tinggi</v>
      </c>
      <c r="O521" s="8">
        <f>_xlfn.IFS(N521="Rendah",'B.kriteria &amp; R.kecocokan'!$C$80,N521="Tinggi",'B.kriteria &amp; R.kecocokan'!$C$81)</f>
        <v>7.5</v>
      </c>
      <c r="P521" s="9" t="str">
        <f>'B.kriteria &amp; R.kecocokan'!$B$90</f>
        <v>Sangat Sedikit</v>
      </c>
      <c r="Q521" s="8">
        <f>_xlfn.IFS(P521="Sedikit",'B.kriteria &amp; R.kecocokan'!$C$89,P521="Sedang",'B.kriteria &amp; R.kecocokan'!$C$88,P521="Sangat Sedikit",'B.kriteria &amp; R.kecocokan'!$C$90)</f>
        <v>1</v>
      </c>
      <c r="R521" s="9" t="str">
        <f>'B.kriteria &amp; R.kecocokan'!$B$51</f>
        <v>Tinggi</v>
      </c>
      <c r="S521" s="8">
        <f>_xlfn.IFS(R521="Rendah",'B.kriteria &amp; R.kecocokan'!$C$49,R521="Sedang",'B.kriteria &amp; R.kecocokan'!$C$50,R521="Tinggi",'B.kriteria &amp; R.kecocokan'!$C$51)</f>
        <v>7.5</v>
      </c>
      <c r="T521" s="9" t="str">
        <f>'B.kriteria &amp; R.kecocokan'!$B$59</f>
        <v>Tinggi</v>
      </c>
      <c r="U521" s="51">
        <f>_xlfn.IFS(T521="Rendah",'B.kriteria &amp; R.kecocokan'!$C$57,T521="Sedang",'B.kriteria &amp; R.kecocokan'!$C$58,T521="Tinggi",'B.kriteria &amp; R.kecocokan'!$C$59)</f>
        <v>7.5</v>
      </c>
      <c r="V521" s="51" t="str">
        <f>'B.kriteria &amp; R.kecocokan'!$B$65</f>
        <v>Rendah</v>
      </c>
      <c r="W521" s="9">
        <f>_xlfn.IFS(V521="Rendah",'B.kriteria &amp; R.kecocokan'!$C$65,V521="Sedang",'B.kriteria &amp; R.kecocokan'!$C$66,V521="Tinggi",'B.kriteria &amp; R.kecocokan'!$C$67)</f>
        <v>1</v>
      </c>
      <c r="X521" s="117">
        <f t="shared" si="48"/>
        <v>6.3850099295579819</v>
      </c>
      <c r="Y521" s="117">
        <f t="shared" si="49"/>
        <v>9.4386391393818858</v>
      </c>
      <c r="Z521" s="119">
        <f t="shared" si="50"/>
        <v>6.3850099295579819</v>
      </c>
      <c r="AA521" s="55" t="str">
        <f t="shared" si="51"/>
        <v>Layak</v>
      </c>
    </row>
    <row r="522" spans="1:27" x14ac:dyDescent="0.35">
      <c r="A522" s="5">
        <v>91</v>
      </c>
      <c r="B522" s="2" t="s">
        <v>140</v>
      </c>
      <c r="C522" s="11" t="s">
        <v>95</v>
      </c>
      <c r="D522" s="28" t="str">
        <f>'B.kriteria &amp; R.kecocokan'!$B$25</f>
        <v>Sedikit</v>
      </c>
      <c r="E522" s="111">
        <f>_xlfn.IFS(D522="Banyak",'B.kriteria &amp; R.kecocokan'!$C$23,D522="Cukup",'B.kriteria &amp; R.kecocokan'!$C$24,D522="Sedikit",'B.kriteria &amp; R.kecocokan'!$C$25)</f>
        <v>7.5</v>
      </c>
      <c r="F522" s="9" t="str">
        <f>'B.kriteria &amp; R.kecocokan'!$B$34</f>
        <v>Tinggi</v>
      </c>
      <c r="G522" s="8">
        <f>_xlfn.IFS(F522="Tinggi",'B.kriteria &amp; R.kecocokan'!$C$34,F522="Sangat Tinggi",'B.kriteria &amp; R.kecocokan'!$C$35)</f>
        <v>7.5</v>
      </c>
      <c r="H522" s="8" t="str">
        <f>'B.kriteria &amp; R.kecocokan'!$B$41</f>
        <v>Rendah</v>
      </c>
      <c r="I522" s="8">
        <f>_xlfn.IFS(H522="Rendah",'B.kriteria &amp; R.kecocokan'!$C$41,H522="Sedang",'B.kriteria &amp; R.kecocokan'!$C$42,H522="Tinggi",'B.kriteria &amp; R.kecocokan'!$C$43)</f>
        <v>2.5</v>
      </c>
      <c r="J522" s="8" t="str">
        <f>'B.kriteria &amp; R.kecocokan'!$B$72</f>
        <v>Rendah</v>
      </c>
      <c r="K522" s="8">
        <f>_xlfn.IFS(J522="Rendah",'B.kriteria &amp; R.kecocokan'!$C$72,J522="Sedang",'B.kriteria &amp; R.kecocokan'!$C$73,J522="Tinggi",'B.kriteria &amp; R.kecocokan'!$C$74)</f>
        <v>2.5</v>
      </c>
      <c r="L522" s="8" t="str">
        <f>'B.kriteria &amp; R.kecocokan'!$B$95</f>
        <v>Rendah</v>
      </c>
      <c r="M522" s="8">
        <f>_xlfn.IFS(L522="Rendah",'B.kriteria &amp; R.kecocokan'!$C$95,L522="Tinggi",'B.kriteria &amp; R.kecocokan'!$C$96)</f>
        <v>2.5</v>
      </c>
      <c r="N522" s="9" t="str">
        <f>'B.kriteria &amp; R.kecocokan'!$B$81</f>
        <v>Tinggi</v>
      </c>
      <c r="O522" s="8">
        <f>_xlfn.IFS(N522="Rendah",'B.kriteria &amp; R.kecocokan'!$C$80,N522="Tinggi",'B.kriteria &amp; R.kecocokan'!$C$81)</f>
        <v>7.5</v>
      </c>
      <c r="P522" s="9" t="str">
        <f>'B.kriteria &amp; R.kecocokan'!$B$90</f>
        <v>Sangat Sedikit</v>
      </c>
      <c r="Q522" s="8">
        <f>_xlfn.IFS(P522="Sedikit",'B.kriteria &amp; R.kecocokan'!$C$89,P522="Sedang",'B.kriteria &amp; R.kecocokan'!$C$88,P522="Sangat Sedikit",'B.kriteria &amp; R.kecocokan'!$C$90)</f>
        <v>1</v>
      </c>
      <c r="R522" s="8" t="str">
        <f>'B.kriteria &amp; R.kecocokan'!$B$49</f>
        <v>Rendah</v>
      </c>
      <c r="S522" s="8">
        <f>_xlfn.IFS(R522="Rendah",'B.kriteria &amp; R.kecocokan'!$C$49,R522="Sedang",'B.kriteria &amp; R.kecocokan'!$C$50,R522="Tinggi",'B.kriteria &amp; R.kecocokan'!$C$51)</f>
        <v>2.5</v>
      </c>
      <c r="T522" s="9" t="str">
        <f>'B.kriteria &amp; R.kecocokan'!$B$58</f>
        <v>Sedang</v>
      </c>
      <c r="U522" s="51">
        <f>_xlfn.IFS(T522="Rendah",'B.kriteria &amp; R.kecocokan'!$C$57,T522="Sedang",'B.kriteria &amp; R.kecocokan'!$C$58,T522="Tinggi",'B.kriteria &amp; R.kecocokan'!$C$59)</f>
        <v>5</v>
      </c>
      <c r="V522" s="51" t="str">
        <f>'B.kriteria &amp; R.kecocokan'!$B$65</f>
        <v>Rendah</v>
      </c>
      <c r="W522" s="9">
        <f>_xlfn.IFS(V522="Rendah",'B.kriteria &amp; R.kecocokan'!$C$65,V522="Sedang",'B.kriteria &amp; R.kecocokan'!$C$66,V522="Tinggi",'B.kriteria &amp; R.kecocokan'!$C$67)</f>
        <v>1</v>
      </c>
      <c r="X522" s="117">
        <f t="shared" si="48"/>
        <v>2.2165488135069982</v>
      </c>
      <c r="Y522" s="117">
        <f t="shared" si="49"/>
        <v>6.5934720531562379</v>
      </c>
      <c r="Z522" s="119">
        <f t="shared" si="50"/>
        <v>2.2165488135069982</v>
      </c>
      <c r="AA522" s="55" t="str">
        <f t="shared" si="51"/>
        <v>Layak</v>
      </c>
    </row>
    <row r="523" spans="1:27" x14ac:dyDescent="0.35">
      <c r="A523" s="1">
        <v>92</v>
      </c>
      <c r="B523" s="2" t="s">
        <v>251</v>
      </c>
      <c r="C523" s="11" t="s">
        <v>95</v>
      </c>
      <c r="D523" s="28" t="str">
        <f>'B.kriteria &amp; R.kecocokan'!$B$25</f>
        <v>Sedikit</v>
      </c>
      <c r="E523" s="111">
        <f>_xlfn.IFS(D523="Banyak",'B.kriteria &amp; R.kecocokan'!$C$23,D523="Cukup",'B.kriteria &amp; R.kecocokan'!$C$24,D523="Sedikit",'B.kriteria &amp; R.kecocokan'!$C$25)</f>
        <v>7.5</v>
      </c>
      <c r="F523" s="9" t="str">
        <f>'B.kriteria &amp; R.kecocokan'!$B$34</f>
        <v>Tinggi</v>
      </c>
      <c r="G523" s="8">
        <f>_xlfn.IFS(F523="Tinggi",'B.kriteria &amp; R.kecocokan'!$C$34,F523="Sangat Tinggi",'B.kriteria &amp; R.kecocokan'!$C$35)</f>
        <v>7.5</v>
      </c>
      <c r="H523" s="8" t="str">
        <f>'B.kriteria &amp; R.kecocokan'!$B$41</f>
        <v>Rendah</v>
      </c>
      <c r="I523" s="8">
        <f>_xlfn.IFS(H523="Rendah",'B.kriteria &amp; R.kecocokan'!$C$41,H523="Sedang",'B.kriteria &amp; R.kecocokan'!$C$42,H523="Tinggi",'B.kriteria &amp; R.kecocokan'!$C$43)</f>
        <v>2.5</v>
      </c>
      <c r="J523" s="8" t="str">
        <f>'B.kriteria &amp; R.kecocokan'!$B$72</f>
        <v>Rendah</v>
      </c>
      <c r="K523" s="8">
        <f>_xlfn.IFS(J523="Rendah",'B.kriteria &amp; R.kecocokan'!$C$72,J523="Sedang",'B.kriteria &amp; R.kecocokan'!$C$73,J523="Tinggi",'B.kriteria &amp; R.kecocokan'!$C$74)</f>
        <v>2.5</v>
      </c>
      <c r="L523" s="8" t="str">
        <f>'B.kriteria &amp; R.kecocokan'!$B$95</f>
        <v>Rendah</v>
      </c>
      <c r="M523" s="8">
        <f>_xlfn.IFS(L523="Rendah",'B.kriteria &amp; R.kecocokan'!$C$95,L523="Tinggi",'B.kriteria &amp; R.kecocokan'!$C$96)</f>
        <v>2.5</v>
      </c>
      <c r="N523" s="8" t="str">
        <f>'B.kriteria &amp; R.kecocokan'!$B$80</f>
        <v>Rendah</v>
      </c>
      <c r="O523" s="8">
        <f>_xlfn.IFS(N523="Rendah",'B.kriteria &amp; R.kecocokan'!$C$80,N523="Tinggi",'B.kriteria &amp; R.kecocokan'!$C$81)</f>
        <v>2.5</v>
      </c>
      <c r="P523" s="9" t="str">
        <f>'B.kriteria &amp; R.kecocokan'!$B$88</f>
        <v>Sedang</v>
      </c>
      <c r="Q523" s="8">
        <f>_xlfn.IFS(P523="Sedikit",'B.kriteria &amp; R.kecocokan'!$C$89,P523="Sedang",'B.kriteria &amp; R.kecocokan'!$C$88,P523="Sangat Sedikit",'B.kriteria &amp; R.kecocokan'!$C$90)</f>
        <v>5</v>
      </c>
      <c r="R523" s="8" t="str">
        <f>'B.kriteria &amp; R.kecocokan'!$B$49</f>
        <v>Rendah</v>
      </c>
      <c r="S523" s="8">
        <f>_xlfn.IFS(R523="Rendah",'B.kriteria &amp; R.kecocokan'!$C$49,R523="Sedang",'B.kriteria &amp; R.kecocokan'!$C$50,R523="Tinggi",'B.kriteria &amp; R.kecocokan'!$C$51)</f>
        <v>2.5</v>
      </c>
      <c r="T523" s="9" t="str">
        <f>'B.kriteria &amp; R.kecocokan'!$B$58</f>
        <v>Sedang</v>
      </c>
      <c r="U523" s="51">
        <f>_xlfn.IFS(T523="Rendah",'B.kriteria &amp; R.kecocokan'!$C$57,T523="Sedang",'B.kriteria &amp; R.kecocokan'!$C$58,T523="Tinggi",'B.kriteria &amp; R.kecocokan'!$C$59)</f>
        <v>5</v>
      </c>
      <c r="V523" s="51" t="str">
        <f>'B.kriteria &amp; R.kecocokan'!$B$65</f>
        <v>Rendah</v>
      </c>
      <c r="W523" s="9">
        <f>_xlfn.IFS(V523="Rendah",'B.kriteria &amp; R.kecocokan'!$C$65,V523="Sedang",'B.kriteria &amp; R.kecocokan'!$C$66,V523="Tinggi",'B.kriteria &amp; R.kecocokan'!$C$67)</f>
        <v>1</v>
      </c>
      <c r="X523" s="117">
        <f t="shared" si="48"/>
        <v>6.5226273533007921</v>
      </c>
      <c r="Y523" s="117">
        <f t="shared" si="49"/>
        <v>3.9269889402447986</v>
      </c>
      <c r="Z523" s="119">
        <f t="shared" si="50"/>
        <v>3.9269889402447986</v>
      </c>
      <c r="AA523" s="55" t="str">
        <f t="shared" si="51"/>
        <v>Tidak Layak</v>
      </c>
    </row>
    <row r="524" spans="1:27" x14ac:dyDescent="0.35">
      <c r="A524" s="5">
        <v>93</v>
      </c>
      <c r="B524" s="2" t="s">
        <v>252</v>
      </c>
      <c r="C524" s="11" t="s">
        <v>95</v>
      </c>
      <c r="D524" s="9" t="str">
        <f>'B.kriteria &amp; R.kecocokan'!$B$23</f>
        <v>Banyak</v>
      </c>
      <c r="E524" s="111">
        <f>_xlfn.IFS(D524="Banyak",'B.kriteria &amp; R.kecocokan'!$C$23,D524="Cukup",'B.kriteria &amp; R.kecocokan'!$C$24,D524="Sedikit",'B.kriteria &amp; R.kecocokan'!$C$25)</f>
        <v>2.5</v>
      </c>
      <c r="F524" s="9" t="str">
        <f>'B.kriteria &amp; R.kecocokan'!$B$34</f>
        <v>Tinggi</v>
      </c>
      <c r="G524" s="8">
        <f>_xlfn.IFS(F524="Tinggi",'B.kriteria &amp; R.kecocokan'!$C$34,F524="Sangat Tinggi",'B.kriteria &amp; R.kecocokan'!$C$35)</f>
        <v>7.5</v>
      </c>
      <c r="H524" s="8" t="str">
        <f>'B.kriteria &amp; R.kecocokan'!$B$41</f>
        <v>Rendah</v>
      </c>
      <c r="I524" s="8">
        <f>_xlfn.IFS(H524="Rendah",'B.kriteria &amp; R.kecocokan'!$C$41,H524="Sedang",'B.kriteria &amp; R.kecocokan'!$C$42,H524="Tinggi",'B.kriteria &amp; R.kecocokan'!$C$43)</f>
        <v>2.5</v>
      </c>
      <c r="J524" s="8" t="str">
        <f>'B.kriteria &amp; R.kecocokan'!$B$72</f>
        <v>Rendah</v>
      </c>
      <c r="K524" s="8">
        <f>_xlfn.IFS(J524="Rendah",'B.kriteria &amp; R.kecocokan'!$C$72,J524="Sedang",'B.kriteria &amp; R.kecocokan'!$C$73,J524="Tinggi",'B.kriteria &amp; R.kecocokan'!$C$74)</f>
        <v>2.5</v>
      </c>
      <c r="L524" s="8" t="str">
        <f>'B.kriteria &amp; R.kecocokan'!$B$95</f>
        <v>Rendah</v>
      </c>
      <c r="M524" s="8">
        <f>_xlfn.IFS(L524="Rendah",'B.kriteria &amp; R.kecocokan'!$C$95,L524="Tinggi",'B.kriteria &amp; R.kecocokan'!$C$96)</f>
        <v>2.5</v>
      </c>
      <c r="N524" s="8" t="str">
        <f>'B.kriteria &amp; R.kecocokan'!$B$80</f>
        <v>Rendah</v>
      </c>
      <c r="O524" s="8">
        <f>_xlfn.IFS(N524="Rendah",'B.kriteria &amp; R.kecocokan'!$C$80,N524="Tinggi",'B.kriteria &amp; R.kecocokan'!$C$81)</f>
        <v>2.5</v>
      </c>
      <c r="P524" s="9" t="str">
        <f>'B.kriteria &amp; R.kecocokan'!$B$88</f>
        <v>Sedang</v>
      </c>
      <c r="Q524" s="8">
        <f>_xlfn.IFS(P524="Sedikit",'B.kriteria &amp; R.kecocokan'!$C$89,P524="Sedang",'B.kriteria &amp; R.kecocokan'!$C$88,P524="Sangat Sedikit",'B.kriteria &amp; R.kecocokan'!$C$90)</f>
        <v>5</v>
      </c>
      <c r="R524" s="8" t="str">
        <f>'B.kriteria &amp; R.kecocokan'!$B$49</f>
        <v>Rendah</v>
      </c>
      <c r="S524" s="8">
        <f>_xlfn.IFS(R524="Rendah",'B.kriteria &amp; R.kecocokan'!$C$49,R524="Sedang",'B.kriteria &amp; R.kecocokan'!$C$50,R524="Tinggi",'B.kriteria &amp; R.kecocokan'!$C$51)</f>
        <v>2.5</v>
      </c>
      <c r="T524" s="8" t="str">
        <f>'B.kriteria &amp; R.kecocokan'!$B$57</f>
        <v>Rendah</v>
      </c>
      <c r="U524" s="51">
        <f>_xlfn.IFS(T524="Rendah",'B.kriteria &amp; R.kecocokan'!$C$57,T524="Sedang",'B.kriteria &amp; R.kecocokan'!$C$58,T524="Tinggi",'B.kriteria &amp; R.kecocokan'!$C$59)</f>
        <v>2.5</v>
      </c>
      <c r="V524" s="51" t="str">
        <f>'B.kriteria &amp; R.kecocokan'!$B$65</f>
        <v>Rendah</v>
      </c>
      <c r="W524" s="9">
        <f>_xlfn.IFS(V524="Rendah",'B.kriteria &amp; R.kecocokan'!$C$65,V524="Sedang",'B.kriteria &amp; R.kecocokan'!$C$66,V524="Tinggi",'B.kriteria &amp; R.kecocokan'!$C$67)</f>
        <v>1</v>
      </c>
      <c r="X524" s="117">
        <f t="shared" si="48"/>
        <v>7.2623712388640893</v>
      </c>
      <c r="Y524" s="117">
        <f t="shared" si="49"/>
        <v>2.9786236879814156</v>
      </c>
      <c r="Z524" s="119">
        <f t="shared" si="50"/>
        <v>2.9786236879814156</v>
      </c>
      <c r="AA524" s="55" t="str">
        <f t="shared" si="51"/>
        <v>Tidak Layak</v>
      </c>
    </row>
    <row r="527" spans="1:27" x14ac:dyDescent="0.35">
      <c r="AA527" s="43">
        <f>COUNTIF(AA432:AA524,AA522)</f>
        <v>38</v>
      </c>
    </row>
    <row r="528" spans="1:27" x14ac:dyDescent="0.35">
      <c r="AA528" s="43">
        <f>COUNTIF(AA432:AA524,AA523)</f>
        <v>55</v>
      </c>
    </row>
    <row r="529" spans="1:27" x14ac:dyDescent="0.35">
      <c r="B529" s="43" t="s">
        <v>418</v>
      </c>
      <c r="AA529">
        <f>SUM(AA527:AA528)</f>
        <v>93</v>
      </c>
    </row>
    <row r="530" spans="1:27" x14ac:dyDescent="0.35">
      <c r="B530" s="80" t="s">
        <v>404</v>
      </c>
      <c r="C530" s="80"/>
      <c r="D530" s="80"/>
      <c r="E530" s="80">
        <f>(SUMIF($AA$432:$AA$524,$AA$522,E432:F524))/$AA$527</f>
        <v>6.1184210526315788</v>
      </c>
      <c r="F530" s="80">
        <f t="shared" ref="F530:W530" si="52">(SUMIF($AA$432:$AA$524,$AA$522,F432:G524))/$AA$527</f>
        <v>0</v>
      </c>
      <c r="G530" s="80">
        <f t="shared" si="52"/>
        <v>7.9605263157894735</v>
      </c>
      <c r="H530" s="80">
        <f t="shared" si="52"/>
        <v>0</v>
      </c>
      <c r="I530" s="80">
        <f t="shared" si="52"/>
        <v>2.763157894736842</v>
      </c>
      <c r="J530" s="80">
        <f t="shared" si="52"/>
        <v>0</v>
      </c>
      <c r="K530" s="80">
        <f t="shared" si="52"/>
        <v>2.6315789473684212</v>
      </c>
      <c r="L530" s="80">
        <f t="shared" si="52"/>
        <v>0</v>
      </c>
      <c r="M530" s="80">
        <f t="shared" si="52"/>
        <v>2.5</v>
      </c>
      <c r="N530" s="80">
        <f t="shared" si="52"/>
        <v>0</v>
      </c>
      <c r="O530" s="80">
        <f t="shared" si="52"/>
        <v>7.5</v>
      </c>
      <c r="P530" s="80">
        <f t="shared" si="52"/>
        <v>0</v>
      </c>
      <c r="Q530" s="80">
        <f t="shared" si="52"/>
        <v>1.4210526315789473</v>
      </c>
      <c r="R530" s="80">
        <f t="shared" si="52"/>
        <v>0</v>
      </c>
      <c r="S530" s="80">
        <f t="shared" si="52"/>
        <v>3.1578947368421053</v>
      </c>
      <c r="T530" s="80">
        <f t="shared" si="52"/>
        <v>0</v>
      </c>
      <c r="U530" s="80">
        <f t="shared" si="52"/>
        <v>3.5526315789473686</v>
      </c>
      <c r="V530" s="80">
        <f t="shared" si="52"/>
        <v>0</v>
      </c>
      <c r="W530" s="80">
        <f t="shared" si="52"/>
        <v>1.0263157894736843</v>
      </c>
    </row>
    <row r="531" spans="1:27" x14ac:dyDescent="0.35">
      <c r="B531" s="80" t="s">
        <v>405</v>
      </c>
      <c r="C531" s="80"/>
      <c r="D531" s="80"/>
      <c r="E531" s="80">
        <f>(SUMIF($AA$432:$AA$524,$AA$523,E432:E524))/$AA$528</f>
        <v>4.7727272727272725</v>
      </c>
      <c r="F531" s="80">
        <f t="shared" ref="F531:W531" si="53">(SUMIF($AA$432:$AA$524,$AA$523,F432:F524))/$AA$528</f>
        <v>0</v>
      </c>
      <c r="G531" s="80">
        <f t="shared" si="53"/>
        <v>7.9090909090909092</v>
      </c>
      <c r="H531" s="80">
        <f t="shared" si="53"/>
        <v>0</v>
      </c>
      <c r="I531" s="80">
        <f t="shared" si="53"/>
        <v>3.3181818181818183</v>
      </c>
      <c r="J531" s="80">
        <f t="shared" si="53"/>
        <v>0</v>
      </c>
      <c r="K531" s="80">
        <f t="shared" si="53"/>
        <v>2.5</v>
      </c>
      <c r="L531" s="80">
        <f t="shared" si="53"/>
        <v>0</v>
      </c>
      <c r="M531" s="80">
        <f t="shared" si="53"/>
        <v>2.6818181818181817</v>
      </c>
      <c r="N531" s="80">
        <f t="shared" si="53"/>
        <v>0</v>
      </c>
      <c r="O531" s="80">
        <f t="shared" si="53"/>
        <v>2.5</v>
      </c>
      <c r="P531" s="80">
        <f t="shared" si="53"/>
        <v>0</v>
      </c>
      <c r="Q531" s="80">
        <f t="shared" si="53"/>
        <v>3.3909090909090911</v>
      </c>
      <c r="R531" s="80">
        <f t="shared" si="53"/>
        <v>0</v>
      </c>
      <c r="S531" s="80">
        <f t="shared" si="53"/>
        <v>2.7727272727272729</v>
      </c>
      <c r="T531" s="80">
        <f t="shared" si="53"/>
        <v>0</v>
      </c>
      <c r="U531" s="80">
        <f t="shared" si="53"/>
        <v>3</v>
      </c>
      <c r="V531" s="80">
        <f t="shared" si="53"/>
        <v>0</v>
      </c>
      <c r="W531" s="80">
        <f t="shared" si="53"/>
        <v>1</v>
      </c>
    </row>
    <row r="532" spans="1:27" ht="15" thickBot="1" x14ac:dyDescent="0.4"/>
    <row r="533" spans="1:27" ht="59" thickTop="1" thickBot="1" x14ac:dyDescent="0.4">
      <c r="A533" s="13" t="s">
        <v>0</v>
      </c>
      <c r="B533" s="15" t="s">
        <v>2</v>
      </c>
      <c r="C533" s="14" t="s">
        <v>3</v>
      </c>
      <c r="D533" s="14" t="s">
        <v>4</v>
      </c>
      <c r="E533" s="14" t="str">
        <f>$D$6</f>
        <v xml:space="preserve">Penghasilan </v>
      </c>
      <c r="F533" s="15" t="s">
        <v>5</v>
      </c>
      <c r="G533" s="15" t="str">
        <f>$F$6</f>
        <v>Luas Rumah</v>
      </c>
      <c r="H533" s="15" t="s">
        <v>6</v>
      </c>
      <c r="I533" s="15" t="str">
        <f>$H$6</f>
        <v xml:space="preserve">Status Kepemilikan Rumah </v>
      </c>
      <c r="J533" s="15" t="s">
        <v>21</v>
      </c>
      <c r="K533" s="15" t="str">
        <f>$J$6</f>
        <v>Sumber Air</v>
      </c>
      <c r="L533" s="15" t="s">
        <v>7</v>
      </c>
      <c r="M533" s="15" t="str">
        <f>$L$6</f>
        <v>ibu Hamil / menyusui</v>
      </c>
      <c r="N533" s="15" t="s">
        <v>8</v>
      </c>
      <c r="O533" s="15" t="str">
        <f>$N$6</f>
        <v>lansia</v>
      </c>
      <c r="P533" s="15" t="s">
        <v>25</v>
      </c>
      <c r="Q533" s="15" t="str">
        <f>$P$6</f>
        <v>jumlah tanggungan (Anak)</v>
      </c>
      <c r="R533" s="15" t="s">
        <v>9</v>
      </c>
      <c r="S533" s="15" t="str">
        <f>$R$6</f>
        <v>jenis dinding</v>
      </c>
      <c r="T533" s="15" t="s">
        <v>10</v>
      </c>
      <c r="U533" s="50" t="str">
        <f>$T$6</f>
        <v xml:space="preserve">jenis lantai </v>
      </c>
      <c r="V533" s="50" t="s">
        <v>11</v>
      </c>
      <c r="W533" s="120" t="str">
        <f>$V$6</f>
        <v>jenis atap</v>
      </c>
      <c r="X533" s="109" t="s">
        <v>400</v>
      </c>
      <c r="Y533" s="109" t="s">
        <v>401</v>
      </c>
      <c r="Z533" s="109" t="s">
        <v>402</v>
      </c>
      <c r="AA533" s="54" t="s">
        <v>403</v>
      </c>
    </row>
    <row r="534" spans="1:27" ht="15" thickTop="1" x14ac:dyDescent="0.35">
      <c r="A534" s="5">
        <v>1</v>
      </c>
      <c r="B534" s="6" t="s">
        <v>12</v>
      </c>
      <c r="C534" s="7" t="s">
        <v>13</v>
      </c>
      <c r="D534" s="32" t="str">
        <f>'B.kriteria &amp; R.kecocokan'!$B$24</f>
        <v>Cukup</v>
      </c>
      <c r="E534" s="111">
        <f>_xlfn.IFS(D534="Banyak",'B.kriteria &amp; R.kecocokan'!$C$23,D534="Cukup",'B.kriteria &amp; R.kecocokan'!$C$24,D534="Sedikit",'B.kriteria &amp; R.kecocokan'!$C$25)</f>
        <v>5</v>
      </c>
      <c r="F534" s="8" t="str">
        <f>'B.kriteria &amp; R.kecocokan'!$B$34</f>
        <v>Tinggi</v>
      </c>
      <c r="G534" s="8">
        <f>_xlfn.IFS(F534="Tinggi",'B.kriteria &amp; R.kecocokan'!$C$34,F534="Sangat Tinggi",'B.kriteria &amp; R.kecocokan'!$C$35)</f>
        <v>7.5</v>
      </c>
      <c r="H534" s="8" t="str">
        <f>'B.kriteria &amp; R.kecocokan'!$B$41</f>
        <v>Rendah</v>
      </c>
      <c r="I534" s="8">
        <f>_xlfn.IFS(H534="Rendah",'B.kriteria &amp; R.kecocokan'!$C$41,H534="Sedang",'B.kriteria &amp; R.kecocokan'!$C$42,H534="Tinggi",'B.kriteria &amp; R.kecocokan'!$C$43)</f>
        <v>2.5</v>
      </c>
      <c r="J534" s="8" t="str">
        <f>'B.kriteria &amp; R.kecocokan'!$B$72</f>
        <v>Rendah</v>
      </c>
      <c r="K534" s="8">
        <f>_xlfn.IFS(J534="Rendah",'B.kriteria &amp; R.kecocokan'!$C$72,J534="Sedang",'B.kriteria &amp; R.kecocokan'!$C$73,J534="Tinggi",'B.kriteria &amp; R.kecocokan'!$C$74)</f>
        <v>2.5</v>
      </c>
      <c r="L534" s="8" t="str">
        <f>'B.kriteria &amp; R.kecocokan'!$B$95</f>
        <v>Rendah</v>
      </c>
      <c r="M534" s="8">
        <f>_xlfn.IFS(L534="Rendah",'B.kriteria &amp; R.kecocokan'!$C$95,L534="Tinggi",'B.kriteria &amp; R.kecocokan'!$C$96)</f>
        <v>2.5</v>
      </c>
      <c r="N534" s="8" t="str">
        <f>'B.kriteria &amp; R.kecocokan'!$B$80</f>
        <v>Rendah</v>
      </c>
      <c r="O534" s="8">
        <f>_xlfn.IFS(N534="Rendah",'B.kriteria &amp; R.kecocokan'!$C$80,N534="Tinggi",'B.kriteria &amp; R.kecocokan'!$C$81)</f>
        <v>2.5</v>
      </c>
      <c r="P534" s="8" t="str">
        <f>'B.kriteria &amp; R.kecocokan'!$B$89</f>
        <v>Sedikit</v>
      </c>
      <c r="Q534" s="8">
        <f>_xlfn.IFS(P534="Sedikit",'B.kriteria &amp; R.kecocokan'!$C$89,P534="Sedang",'B.kriteria &amp; R.kecocokan'!$C$88,P534="Sangat Sedikit",'B.kriteria &amp; R.kecocokan'!$C$90)</f>
        <v>2.5</v>
      </c>
      <c r="R534" s="8" t="str">
        <f>'B.kriteria &amp; R.kecocokan'!$B$49</f>
        <v>Rendah</v>
      </c>
      <c r="S534" s="8">
        <f>_xlfn.IFS(R534="Rendah",'B.kriteria &amp; R.kecocokan'!$C$49,R534="Sedang",'B.kriteria &amp; R.kecocokan'!$C$50,R534="Tinggi",'B.kriteria &amp; R.kecocokan'!$C$51)</f>
        <v>2.5</v>
      </c>
      <c r="T534" s="8" t="str">
        <f>'B.kriteria &amp; R.kecocokan'!$B$57</f>
        <v>Rendah</v>
      </c>
      <c r="U534" s="51">
        <f>_xlfn.IFS(T534="Rendah",'B.kriteria &amp; R.kecocokan'!$C$57,T534="Sedang",'B.kriteria &amp; R.kecocokan'!$C$58,T534="Tinggi",'B.kriteria &amp; R.kecocokan'!$C$59)</f>
        <v>2.5</v>
      </c>
      <c r="V534" s="51" t="str">
        <f>'B.kriteria &amp; R.kecocokan'!$B$65</f>
        <v>Rendah</v>
      </c>
      <c r="W534" s="110">
        <f>_xlfn.IFS(V534="Rendah",'B.kriteria &amp; R.kecocokan'!$C$65,V534="Sedang",'B.kriteria &amp; R.kecocokan'!$C$66,V534="Tinggi",'B.kriteria &amp; R.kecocokan'!$C$67)</f>
        <v>1</v>
      </c>
      <c r="X534" s="116">
        <f>SQRT(((E534-$E$530)^2)+((G534-$G$530)^2)+((I534-$I$530)^2+((K534-$K$530)^2)+((M534-$M$530)^2)+((O534-$O$530)^2)+((Q534-$Q$530)^2)+((S534-$S$530)^2)+((U534-$U$530)^2)+((W534-$W$530)^2)))</f>
        <v>5.4088070686443581</v>
      </c>
      <c r="Y534" s="116">
        <f>SQRT(((E534-$E$531)^2)+((G534-$G$531)^2)+((I534-$I$531)^2)+((K534-$K$531)^2)+((M534-$M$531)^2+((O534-$O$531)^2)+((Q534-$Q$531)^2)+((S534-$S$531)^2)+((U534-$U$531)^2)+((W534-$W$531)^2)))</f>
        <v>1.428141021348909</v>
      </c>
      <c r="Z534" s="118">
        <f>MIN(X534:Y534)</f>
        <v>1.428141021348909</v>
      </c>
      <c r="AA534" s="121" t="str">
        <f>IF(X534&lt;Y534,"Layak","Tidak Layak")</f>
        <v>Tidak Layak</v>
      </c>
    </row>
    <row r="535" spans="1:27" x14ac:dyDescent="0.35">
      <c r="A535" s="1">
        <v>2</v>
      </c>
      <c r="B535" s="2" t="s">
        <v>24</v>
      </c>
      <c r="C535" s="11" t="s">
        <v>13</v>
      </c>
      <c r="D535" s="32" t="str">
        <f>'B.kriteria &amp; R.kecocokan'!$B$24</f>
        <v>Cukup</v>
      </c>
      <c r="E535" s="111">
        <f>_xlfn.IFS(D535="Banyak",'B.kriteria &amp; R.kecocokan'!$C$23,D535="Cukup",'B.kriteria &amp; R.kecocokan'!$C$24,D535="Sedikit",'B.kriteria &amp; R.kecocokan'!$C$25)</f>
        <v>5</v>
      </c>
      <c r="F535" s="9" t="str">
        <f>'B.kriteria &amp; R.kecocokan'!$B$34</f>
        <v>Tinggi</v>
      </c>
      <c r="G535" s="8">
        <f>_xlfn.IFS(F535="Tinggi",'B.kriteria &amp; R.kecocokan'!$C$34,F535="Sangat Tinggi",'B.kriteria &amp; R.kecocokan'!$C$35)</f>
        <v>7.5</v>
      </c>
      <c r="H535" s="8" t="str">
        <f>'B.kriteria &amp; R.kecocokan'!$B$41</f>
        <v>Rendah</v>
      </c>
      <c r="I535" s="8">
        <f>_xlfn.IFS(H535="Rendah",'B.kriteria &amp; R.kecocokan'!$C$41,H535="Sedang",'B.kriteria &amp; R.kecocokan'!$C$42,H535="Tinggi",'B.kriteria &amp; R.kecocokan'!$C$43)</f>
        <v>2.5</v>
      </c>
      <c r="J535" s="8" t="str">
        <f>'B.kriteria &amp; R.kecocokan'!$B$72</f>
        <v>Rendah</v>
      </c>
      <c r="K535" s="8">
        <f>_xlfn.IFS(J535="Rendah",'B.kriteria &amp; R.kecocokan'!$C$72,J535="Sedang",'B.kriteria &amp; R.kecocokan'!$C$73,J535="Tinggi",'B.kriteria &amp; R.kecocokan'!$C$74)</f>
        <v>2.5</v>
      </c>
      <c r="L535" s="8" t="str">
        <f>'B.kriteria &amp; R.kecocokan'!$B$95</f>
        <v>Rendah</v>
      </c>
      <c r="M535" s="8">
        <f>_xlfn.IFS(L535="Rendah",'B.kriteria &amp; R.kecocokan'!$C$95,L535="Tinggi",'B.kriteria &amp; R.kecocokan'!$C$96)</f>
        <v>2.5</v>
      </c>
      <c r="N535" s="9" t="str">
        <f>'B.kriteria &amp; R.kecocokan'!$B$81</f>
        <v>Tinggi</v>
      </c>
      <c r="O535" s="8">
        <f>_xlfn.IFS(N535="Rendah",'B.kriteria &amp; R.kecocokan'!$C$80,N535="Tinggi",'B.kriteria &amp; R.kecocokan'!$C$81)</f>
        <v>7.5</v>
      </c>
      <c r="P535" s="9" t="str">
        <f>'B.kriteria &amp; R.kecocokan'!$B$90</f>
        <v>Sangat Sedikit</v>
      </c>
      <c r="Q535" s="8">
        <f>_xlfn.IFS(P535="Sedikit",'B.kriteria &amp; R.kecocokan'!$C$89,P535="Sedang",'B.kriteria &amp; R.kecocokan'!$C$88,P535="Sangat Sedikit",'B.kriteria &amp; R.kecocokan'!$C$90)</f>
        <v>1</v>
      </c>
      <c r="R535" s="8" t="str">
        <f>'B.kriteria &amp; R.kecocokan'!$B$49</f>
        <v>Rendah</v>
      </c>
      <c r="S535" s="8">
        <f>_xlfn.IFS(R535="Rendah",'B.kriteria &amp; R.kecocokan'!$C$49,R535="Sedang",'B.kriteria &amp; R.kecocokan'!$C$50,R535="Tinggi",'B.kriteria &amp; R.kecocokan'!$C$51)</f>
        <v>2.5</v>
      </c>
      <c r="T535" s="8" t="str">
        <f>'B.kriteria &amp; R.kecocokan'!$B$57</f>
        <v>Rendah</v>
      </c>
      <c r="U535" s="51">
        <f>_xlfn.IFS(T535="Rendah",'B.kriteria &amp; R.kecocokan'!$C$57,T535="Sedang",'B.kriteria &amp; R.kecocokan'!$C$58,T535="Tinggi",'B.kriteria &amp; R.kecocokan'!$C$59)</f>
        <v>2.5</v>
      </c>
      <c r="V535" s="51" t="str">
        <f>'B.kriteria &amp; R.kecocokan'!$B$65</f>
        <v>Rendah</v>
      </c>
      <c r="W535" s="9">
        <f>_xlfn.IFS(V535="Rendah",'B.kriteria &amp; R.kecocokan'!$C$65,V535="Sedang",'B.kriteria &amp; R.kecocokan'!$C$66,V535="Tinggi",'B.kriteria &amp; R.kecocokan'!$C$67)</f>
        <v>1</v>
      </c>
      <c r="X535" s="117">
        <f>SQRT(((E535-$E$530)^2)+((G535-$G$530)^2)+((I535-$I$530)^2+((K535-$K$530)^2)+((M535-$M$530)^2)+((O535-$O$530)^2)+((Q535-$Q$530)^2)+((S535-$S$530)^2)+((U535-$U$530)^2)+((W535-$W$530)^2)))</f>
        <v>1.8078583463739675</v>
      </c>
      <c r="Y535" s="117">
        <f>SQRT(((E535-$E$531)^2)+((G535-$G$531)^2)+((I535-$I$531)^2)+((K535-$K$531)^2)+((M535-$M$531)^2+((O535-$O$531)^2)+((Q535-$Q$531)^2)+((S535-$S$531)^2)+((U535-$U$531)^2)+((W535-$W$531)^2)))</f>
        <v>5.6535222693102378</v>
      </c>
      <c r="Z535" s="119">
        <f>MIN(X535:Y535)</f>
        <v>1.8078583463739675</v>
      </c>
      <c r="AA535" s="55" t="str">
        <f>IF(X535&lt;Y535,"Layak","Tidak Layak")</f>
        <v>Layak</v>
      </c>
    </row>
    <row r="536" spans="1:27" x14ac:dyDescent="0.35">
      <c r="A536" s="5">
        <v>3</v>
      </c>
      <c r="B536" s="2" t="s">
        <v>26</v>
      </c>
      <c r="C536" s="11" t="s">
        <v>13</v>
      </c>
      <c r="D536" s="9" t="str">
        <f>'B.kriteria &amp; R.kecocokan'!$B$23</f>
        <v>Banyak</v>
      </c>
      <c r="E536" s="111">
        <f>_xlfn.IFS(D536="Banyak",'B.kriteria &amp; R.kecocokan'!$C$23,D536="Cukup",'B.kriteria &amp; R.kecocokan'!$C$24,D536="Sedikit",'B.kriteria &amp; R.kecocokan'!$C$25)</f>
        <v>2.5</v>
      </c>
      <c r="F536" s="9" t="str">
        <f>'B.kriteria &amp; R.kecocokan'!$B$34</f>
        <v>Tinggi</v>
      </c>
      <c r="G536" s="8">
        <f>_xlfn.IFS(F536="Tinggi",'B.kriteria &amp; R.kecocokan'!$C$34,F536="Sangat Tinggi",'B.kriteria &amp; R.kecocokan'!$C$35)</f>
        <v>7.5</v>
      </c>
      <c r="H536" s="8" t="str">
        <f>'B.kriteria &amp; R.kecocokan'!$B$41</f>
        <v>Rendah</v>
      </c>
      <c r="I536" s="8">
        <f>_xlfn.IFS(H536="Rendah",'B.kriteria &amp; R.kecocokan'!$C$41,H536="Sedang",'B.kriteria &amp; R.kecocokan'!$C$42,H536="Tinggi",'B.kriteria &amp; R.kecocokan'!$C$43)</f>
        <v>2.5</v>
      </c>
      <c r="J536" s="8" t="str">
        <f>'B.kriteria &amp; R.kecocokan'!$B$72</f>
        <v>Rendah</v>
      </c>
      <c r="K536" s="8">
        <f>_xlfn.IFS(J536="Rendah",'B.kriteria &amp; R.kecocokan'!$C$72,J536="Sedang",'B.kriteria &amp; R.kecocokan'!$C$73,J536="Tinggi",'B.kriteria &amp; R.kecocokan'!$C$74)</f>
        <v>2.5</v>
      </c>
      <c r="L536" s="8" t="str">
        <f>'B.kriteria &amp; R.kecocokan'!$B$95</f>
        <v>Rendah</v>
      </c>
      <c r="M536" s="8">
        <f>_xlfn.IFS(L536="Rendah",'B.kriteria &amp; R.kecocokan'!$C$95,L536="Tinggi",'B.kriteria &amp; R.kecocokan'!$C$96)</f>
        <v>2.5</v>
      </c>
      <c r="N536" s="8" t="str">
        <f>'B.kriteria &amp; R.kecocokan'!$B$80</f>
        <v>Rendah</v>
      </c>
      <c r="O536" s="8">
        <f>_xlfn.IFS(N536="Rendah",'B.kriteria &amp; R.kecocokan'!$C$80,N536="Tinggi",'B.kriteria &amp; R.kecocokan'!$C$81)</f>
        <v>2.5</v>
      </c>
      <c r="P536" s="9" t="str">
        <f>'B.kriteria &amp; R.kecocokan'!$B$90</f>
        <v>Sangat Sedikit</v>
      </c>
      <c r="Q536" s="8">
        <f>_xlfn.IFS(P536="Sedikit",'B.kriteria &amp; R.kecocokan'!$C$89,P536="Sedang",'B.kriteria &amp; R.kecocokan'!$C$88,P536="Sangat Sedikit",'B.kriteria &amp; R.kecocokan'!$C$90)</f>
        <v>1</v>
      </c>
      <c r="R536" s="8" t="str">
        <f>'B.kriteria &amp; R.kecocokan'!$B$49</f>
        <v>Rendah</v>
      </c>
      <c r="S536" s="8">
        <f>_xlfn.IFS(R536="Rendah",'B.kriteria &amp; R.kecocokan'!$C$49,R536="Sedang",'B.kriteria &amp; R.kecocokan'!$C$50,R536="Tinggi",'B.kriteria &amp; R.kecocokan'!$C$51)</f>
        <v>2.5</v>
      </c>
      <c r="T536" s="8" t="str">
        <f>'B.kriteria &amp; R.kecocokan'!$B$57</f>
        <v>Rendah</v>
      </c>
      <c r="U536" s="51">
        <f>_xlfn.IFS(T536="Rendah",'B.kriteria &amp; R.kecocokan'!$C$57,T536="Sedang",'B.kriteria &amp; R.kecocokan'!$C$58,T536="Tinggi",'B.kriteria &amp; R.kecocokan'!$C$59)</f>
        <v>2.5</v>
      </c>
      <c r="V536" s="51" t="str">
        <f>'B.kriteria &amp; R.kecocokan'!$B$65</f>
        <v>Rendah</v>
      </c>
      <c r="W536" s="9">
        <f>_xlfn.IFS(V536="Rendah",'B.kriteria &amp; R.kecocokan'!$C$65,V536="Sedang",'B.kriteria &amp; R.kecocokan'!$C$66,V536="Tinggi",'B.kriteria &amp; R.kecocokan'!$C$67)</f>
        <v>1</v>
      </c>
      <c r="X536" s="117">
        <f t="shared" ref="X536:X599" si="54">SQRT(((E536-$E$530)^2)+((G536-$G$530)^2)+((I536-$I$530)^2+((K536-$K$530)^2)+((M536-$M$530)^2)+((O536-$O$530)^2)+((Q536-$Q$530)^2)+((S536-$S$530)^2)+((U536-$U$530)^2)+((W536-$W$530)^2)))</f>
        <v>6.3332816978018514</v>
      </c>
      <c r="Y536" s="117">
        <f t="shared" ref="Y536:Y599" si="55">SQRT(((E536-$E$531)^2)+((G536-$G$531)^2)+((I536-$I$531)^2)+((K536-$K$531)^2)+((M536-$M$531)^2+((O536-$O$531)^2)+((Q536-$Q$531)^2)+((S536-$S$531)^2)+((U536-$U$531)^2)+((W536-$W$531)^2)))</f>
        <v>3.4750468217310599</v>
      </c>
      <c r="Z536" s="119">
        <f t="shared" ref="Z536:Z599" si="56">MIN(X536:Y536)</f>
        <v>3.4750468217310599</v>
      </c>
      <c r="AA536" s="55" t="str">
        <f t="shared" ref="AA536:AA599" si="57">IF(X536&lt;Y536,"Layak","Tidak Layak")</f>
        <v>Tidak Layak</v>
      </c>
    </row>
    <row r="537" spans="1:27" x14ac:dyDescent="0.35">
      <c r="A537" s="134">
        <v>4</v>
      </c>
      <c r="B537" s="135" t="s">
        <v>27</v>
      </c>
      <c r="C537" s="136" t="s">
        <v>13</v>
      </c>
      <c r="D537" s="137" t="str">
        <f>'B.kriteria &amp; R.kecocokan'!$B$24</f>
        <v>Cukup</v>
      </c>
      <c r="E537" s="138">
        <f>_xlfn.IFS(D537="Banyak",'B.kriteria &amp; R.kecocokan'!$C$23,D537="Cukup",'B.kriteria &amp; R.kecocokan'!$C$24,D537="Sedikit",'B.kriteria &amp; R.kecocokan'!$C$25)</f>
        <v>5</v>
      </c>
      <c r="F537" s="139" t="str">
        <f>'B.kriteria &amp; R.kecocokan'!$B$34</f>
        <v>Tinggi</v>
      </c>
      <c r="G537" s="140">
        <f>_xlfn.IFS(F537="Tinggi",'B.kriteria &amp; R.kecocokan'!$C$34,F537="Sangat Tinggi",'B.kriteria &amp; R.kecocokan'!$C$35)</f>
        <v>7.5</v>
      </c>
      <c r="H537" s="140" t="str">
        <f>'B.kriteria &amp; R.kecocokan'!$B$41</f>
        <v>Rendah</v>
      </c>
      <c r="I537" s="140">
        <f>_xlfn.IFS(H537="Rendah",'B.kriteria &amp; R.kecocokan'!$C$41,H537="Sedang",'B.kriteria &amp; R.kecocokan'!$C$42,H537="Tinggi",'B.kriteria &amp; R.kecocokan'!$C$43)</f>
        <v>2.5</v>
      </c>
      <c r="J537" s="140" t="str">
        <f>'B.kriteria &amp; R.kecocokan'!$B$72</f>
        <v>Rendah</v>
      </c>
      <c r="K537" s="140">
        <f>_xlfn.IFS(J537="Rendah",'B.kriteria &amp; R.kecocokan'!$C$72,J537="Sedang",'B.kriteria &amp; R.kecocokan'!$C$73,J537="Tinggi",'B.kriteria &amp; R.kecocokan'!$C$74)</f>
        <v>2.5</v>
      </c>
      <c r="L537" s="140" t="str">
        <f>'B.kriteria &amp; R.kecocokan'!$B$95</f>
        <v>Rendah</v>
      </c>
      <c r="M537" s="140">
        <f>_xlfn.IFS(L537="Rendah",'B.kriteria &amp; R.kecocokan'!$C$95,L537="Tinggi",'B.kriteria &amp; R.kecocokan'!$C$96)</f>
        <v>2.5</v>
      </c>
      <c r="N537" s="140" t="str">
        <f>'B.kriteria &amp; R.kecocokan'!$B$80</f>
        <v>Rendah</v>
      </c>
      <c r="O537" s="140">
        <f>_xlfn.IFS(N537="Rendah",'B.kriteria &amp; R.kecocokan'!$C$80,N537="Tinggi",'B.kriteria &amp; R.kecocokan'!$C$81)</f>
        <v>2.5</v>
      </c>
      <c r="P537" s="140" t="str">
        <f>'B.kriteria &amp; R.kecocokan'!$B$89</f>
        <v>Sedikit</v>
      </c>
      <c r="Q537" s="140">
        <f>_xlfn.IFS(P537="Sedikit",'B.kriteria &amp; R.kecocokan'!$C$89,P537="Sedang",'B.kriteria &amp; R.kecocokan'!$C$88,P537="Sangat Sedikit",'B.kriteria &amp; R.kecocokan'!$C$90)</f>
        <v>2.5</v>
      </c>
      <c r="R537" s="140" t="str">
        <f>'B.kriteria &amp; R.kecocokan'!$B$49</f>
        <v>Rendah</v>
      </c>
      <c r="S537" s="140">
        <f>_xlfn.IFS(R537="Rendah",'B.kriteria &amp; R.kecocokan'!$C$49,R537="Sedang",'B.kriteria &amp; R.kecocokan'!$C$50,R537="Tinggi",'B.kriteria &amp; R.kecocokan'!$C$51)</f>
        <v>2.5</v>
      </c>
      <c r="T537" s="140" t="str">
        <f>'B.kriteria &amp; R.kecocokan'!$B$57</f>
        <v>Rendah</v>
      </c>
      <c r="U537" s="141">
        <f>_xlfn.IFS(T537="Rendah",'B.kriteria &amp; R.kecocokan'!$C$57,T537="Sedang",'B.kriteria &amp; R.kecocokan'!$C$58,T537="Tinggi",'B.kriteria &amp; R.kecocokan'!$C$59)</f>
        <v>2.5</v>
      </c>
      <c r="V537" s="141" t="str">
        <f>'B.kriteria &amp; R.kecocokan'!$B$65</f>
        <v>Rendah</v>
      </c>
      <c r="W537" s="139">
        <f>_xlfn.IFS(V537="Rendah",'B.kriteria &amp; R.kecocokan'!$C$65,V537="Sedang",'B.kriteria &amp; R.kecocokan'!$C$66,V537="Tinggi",'B.kriteria &amp; R.kecocokan'!$C$67)</f>
        <v>1</v>
      </c>
      <c r="X537" s="117">
        <f t="shared" si="54"/>
        <v>5.4088070686443581</v>
      </c>
      <c r="Y537" s="117">
        <f t="shared" si="55"/>
        <v>1.428141021348909</v>
      </c>
      <c r="Z537" s="143">
        <f t="shared" si="56"/>
        <v>1.428141021348909</v>
      </c>
      <c r="AA537" s="144" t="str">
        <f t="shared" si="57"/>
        <v>Tidak Layak</v>
      </c>
    </row>
    <row r="538" spans="1:27" x14ac:dyDescent="0.35">
      <c r="A538" s="1">
        <v>5</v>
      </c>
      <c r="B538" s="2" t="s">
        <v>31</v>
      </c>
      <c r="C538" s="11" t="s">
        <v>95</v>
      </c>
      <c r="D538" s="32" t="str">
        <f>'B.kriteria &amp; R.kecocokan'!$B$24</f>
        <v>Cukup</v>
      </c>
      <c r="E538" s="111">
        <f>_xlfn.IFS(D538="Banyak",'B.kriteria &amp; R.kecocokan'!$C$23,D538="Cukup",'B.kriteria &amp; R.kecocokan'!$C$24,D538="Sedikit",'B.kriteria &amp; R.kecocokan'!$C$25)</f>
        <v>5</v>
      </c>
      <c r="F538" s="9" t="str">
        <f>'B.kriteria &amp; R.kecocokan'!$B$34</f>
        <v>Tinggi</v>
      </c>
      <c r="G538" s="8">
        <f>_xlfn.IFS(F538="Tinggi",'B.kriteria &amp; R.kecocokan'!$C$34,F538="Sangat Tinggi",'B.kriteria &amp; R.kecocokan'!$C$35)</f>
        <v>7.5</v>
      </c>
      <c r="H538" s="8" t="str">
        <f>'B.kriteria &amp; R.kecocokan'!$B$41</f>
        <v>Rendah</v>
      </c>
      <c r="I538" s="8">
        <f>_xlfn.IFS(H538="Rendah",'B.kriteria &amp; R.kecocokan'!$C$41,H538="Sedang",'B.kriteria &amp; R.kecocokan'!$C$42,H538="Tinggi",'B.kriteria &amp; R.kecocokan'!$C$43)</f>
        <v>2.5</v>
      </c>
      <c r="J538" s="8" t="str">
        <f>'B.kriteria &amp; R.kecocokan'!$B$72</f>
        <v>Rendah</v>
      </c>
      <c r="K538" s="8">
        <f>_xlfn.IFS(J538="Rendah",'B.kriteria &amp; R.kecocokan'!$C$72,J538="Sedang",'B.kriteria &amp; R.kecocokan'!$C$73,J538="Tinggi",'B.kriteria &amp; R.kecocokan'!$C$74)</f>
        <v>2.5</v>
      </c>
      <c r="L538" s="8" t="str">
        <f>'B.kriteria &amp; R.kecocokan'!$B$95</f>
        <v>Rendah</v>
      </c>
      <c r="M538" s="8">
        <f>_xlfn.IFS(L538="Rendah",'B.kriteria &amp; R.kecocokan'!$C$95,L538="Tinggi",'B.kriteria &amp; R.kecocokan'!$C$96)</f>
        <v>2.5</v>
      </c>
      <c r="N538" s="8" t="str">
        <f>'B.kriteria &amp; R.kecocokan'!$B$80</f>
        <v>Rendah</v>
      </c>
      <c r="O538" s="8">
        <f>_xlfn.IFS(N538="Rendah",'B.kriteria &amp; R.kecocokan'!$C$80,N538="Tinggi",'B.kriteria &amp; R.kecocokan'!$C$81)</f>
        <v>2.5</v>
      </c>
      <c r="P538" s="9" t="str">
        <f>'B.kriteria &amp; R.kecocokan'!$B$88</f>
        <v>Sedang</v>
      </c>
      <c r="Q538" s="8">
        <f>_xlfn.IFS(P538="Sedikit",'B.kriteria &amp; R.kecocokan'!$C$89,P538="Sedang",'B.kriteria &amp; R.kecocokan'!$C$88,P538="Sangat Sedikit",'B.kriteria &amp; R.kecocokan'!$C$90)</f>
        <v>5</v>
      </c>
      <c r="R538" s="8" t="str">
        <f>'B.kriteria &amp; R.kecocokan'!$B$49</f>
        <v>Rendah</v>
      </c>
      <c r="S538" s="8">
        <f>_xlfn.IFS(R538="Rendah",'B.kriteria &amp; R.kecocokan'!$C$49,R538="Sedang",'B.kriteria &amp; R.kecocokan'!$C$50,R538="Tinggi",'B.kriteria &amp; R.kecocokan'!$C$51)</f>
        <v>2.5</v>
      </c>
      <c r="T538" s="8" t="str">
        <f>'B.kriteria &amp; R.kecocokan'!$B$57</f>
        <v>Rendah</v>
      </c>
      <c r="U538" s="51">
        <f>_xlfn.IFS(T538="Rendah",'B.kriteria &amp; R.kecocokan'!$C$57,T538="Sedang",'B.kriteria &amp; R.kecocokan'!$C$58,T538="Tinggi",'B.kriteria &amp; R.kecocokan'!$C$59)</f>
        <v>2.5</v>
      </c>
      <c r="V538" s="51" t="str">
        <f>'B.kriteria &amp; R.kecocokan'!$B$65</f>
        <v>Rendah</v>
      </c>
      <c r="W538" s="9">
        <f>_xlfn.IFS(V538="Rendah",'B.kriteria &amp; R.kecocokan'!$C$65,V538="Sedang",'B.kriteria &amp; R.kecocokan'!$C$66,V538="Tinggi",'B.kriteria &amp; R.kecocokan'!$C$67)</f>
        <v>1</v>
      </c>
      <c r="X538" s="117">
        <f t="shared" si="54"/>
        <v>6.3953053678399474</v>
      </c>
      <c r="Y538" s="117">
        <f t="shared" si="55"/>
        <v>1.9583261532017717</v>
      </c>
      <c r="Z538" s="119">
        <f t="shared" si="56"/>
        <v>1.9583261532017717</v>
      </c>
      <c r="AA538" s="55" t="str">
        <f t="shared" si="57"/>
        <v>Tidak Layak</v>
      </c>
    </row>
    <row r="539" spans="1:27" x14ac:dyDescent="0.35">
      <c r="A539" s="5">
        <v>6</v>
      </c>
      <c r="B539" s="2" t="s">
        <v>32</v>
      </c>
      <c r="C539" s="11" t="s">
        <v>13</v>
      </c>
      <c r="D539" s="9" t="str">
        <f>'B.kriteria &amp; R.kecocokan'!$B$23</f>
        <v>Banyak</v>
      </c>
      <c r="E539" s="111">
        <f>_xlfn.IFS(D539="Banyak",'B.kriteria &amp; R.kecocokan'!$C$23,D539="Cukup",'B.kriteria &amp; R.kecocokan'!$C$24,D539="Sedikit",'B.kriteria &amp; R.kecocokan'!$C$25)</f>
        <v>2.5</v>
      </c>
      <c r="F539" s="9" t="str">
        <f>'B.kriteria &amp; R.kecocokan'!$B$34</f>
        <v>Tinggi</v>
      </c>
      <c r="G539" s="8">
        <f>_xlfn.IFS(F539="Tinggi",'B.kriteria &amp; R.kecocokan'!$C$34,F539="Sangat Tinggi",'B.kriteria &amp; R.kecocokan'!$C$35)</f>
        <v>7.5</v>
      </c>
      <c r="H539" s="8" t="str">
        <f>'B.kriteria &amp; R.kecocokan'!$B$41</f>
        <v>Rendah</v>
      </c>
      <c r="I539" s="8">
        <f>_xlfn.IFS(H539="Rendah",'B.kriteria &amp; R.kecocokan'!$C$41,H539="Sedang",'B.kriteria &amp; R.kecocokan'!$C$42,H539="Tinggi",'B.kriteria &amp; R.kecocokan'!$C$43)</f>
        <v>2.5</v>
      </c>
      <c r="J539" s="8" t="str">
        <f>'B.kriteria &amp; R.kecocokan'!$B$72</f>
        <v>Rendah</v>
      </c>
      <c r="K539" s="8">
        <f>_xlfn.IFS(J539="Rendah",'B.kriteria &amp; R.kecocokan'!$C$72,J539="Sedang",'B.kriteria &amp; R.kecocokan'!$C$73,J539="Tinggi",'B.kriteria &amp; R.kecocokan'!$C$74)</f>
        <v>2.5</v>
      </c>
      <c r="L539" s="8" t="str">
        <f>'B.kriteria &amp; R.kecocokan'!$B$95</f>
        <v>Rendah</v>
      </c>
      <c r="M539" s="8">
        <f>_xlfn.IFS(L539="Rendah",'B.kriteria &amp; R.kecocokan'!$C$95,L539="Tinggi",'B.kriteria &amp; R.kecocokan'!$C$96)</f>
        <v>2.5</v>
      </c>
      <c r="N539" s="8" t="str">
        <f>'B.kriteria &amp; R.kecocokan'!$B$80</f>
        <v>Rendah</v>
      </c>
      <c r="O539" s="8">
        <f>_xlfn.IFS(N539="Rendah",'B.kriteria &amp; R.kecocokan'!$C$80,N539="Tinggi",'B.kriteria &amp; R.kecocokan'!$C$81)</f>
        <v>2.5</v>
      </c>
      <c r="P539" s="8" t="str">
        <f>'B.kriteria &amp; R.kecocokan'!$B$89</f>
        <v>Sedikit</v>
      </c>
      <c r="Q539" s="8">
        <f>_xlfn.IFS(P539="Sedikit",'B.kriteria &amp; R.kecocokan'!$C$89,P539="Sedang",'B.kriteria &amp; R.kecocokan'!$C$88,P539="Sangat Sedikit",'B.kriteria &amp; R.kecocokan'!$C$90)</f>
        <v>2.5</v>
      </c>
      <c r="R539" s="8" t="str">
        <f>'B.kriteria &amp; R.kecocokan'!$B$49</f>
        <v>Rendah</v>
      </c>
      <c r="S539" s="8">
        <f>_xlfn.IFS(R539="Rendah",'B.kriteria &amp; R.kecocokan'!$C$49,R539="Sedang",'B.kriteria &amp; R.kecocokan'!$C$50,R539="Tinggi",'B.kriteria &amp; R.kecocokan'!$C$51)</f>
        <v>2.5</v>
      </c>
      <c r="T539" s="8" t="str">
        <f>'B.kriteria &amp; R.kecocokan'!$B$57</f>
        <v>Rendah</v>
      </c>
      <c r="U539" s="51">
        <f>_xlfn.IFS(T539="Rendah",'B.kriteria &amp; R.kecocokan'!$C$57,T539="Sedang",'B.kriteria &amp; R.kecocokan'!$C$58,T539="Tinggi",'B.kriteria &amp; R.kecocokan'!$C$59)</f>
        <v>2.5</v>
      </c>
      <c r="V539" s="51" t="str">
        <f>'B.kriteria &amp; R.kecocokan'!$B$65</f>
        <v>Rendah</v>
      </c>
      <c r="W539" s="9">
        <f>_xlfn.IFS(V539="Rendah",'B.kriteria &amp; R.kecocokan'!$C$65,V539="Sedang",'B.kriteria &amp; R.kecocokan'!$C$66,V539="Tinggi",'B.kriteria &amp; R.kecocokan'!$C$67)</f>
        <v>1</v>
      </c>
      <c r="X539" s="117">
        <f t="shared" si="54"/>
        <v>6.410717523723461</v>
      </c>
      <c r="Y539" s="117">
        <f t="shared" si="55"/>
        <v>2.6745510166186524</v>
      </c>
      <c r="Z539" s="119">
        <f t="shared" si="56"/>
        <v>2.6745510166186524</v>
      </c>
      <c r="AA539" s="55" t="str">
        <f t="shared" si="57"/>
        <v>Tidak Layak</v>
      </c>
    </row>
    <row r="540" spans="1:27" x14ac:dyDescent="0.35">
      <c r="A540" s="5">
        <v>7</v>
      </c>
      <c r="B540" s="2" t="s">
        <v>34</v>
      </c>
      <c r="C540" s="11" t="s">
        <v>13</v>
      </c>
      <c r="D540" s="9" t="str">
        <f>'B.kriteria &amp; R.kecocokan'!$B$23</f>
        <v>Banyak</v>
      </c>
      <c r="E540" s="111">
        <f>_xlfn.IFS(D540="Banyak",'B.kriteria &amp; R.kecocokan'!$C$23,D540="Cukup",'B.kriteria &amp; R.kecocokan'!$C$24,D540="Sedikit",'B.kriteria &amp; R.kecocokan'!$C$25)</f>
        <v>2.5</v>
      </c>
      <c r="F540" s="9" t="str">
        <f>'B.kriteria &amp; R.kecocokan'!$B$34</f>
        <v>Tinggi</v>
      </c>
      <c r="G540" s="8">
        <f>_xlfn.IFS(F540="Tinggi",'B.kriteria &amp; R.kecocokan'!$C$34,F540="Sangat Tinggi",'B.kriteria &amp; R.kecocokan'!$C$35)</f>
        <v>7.5</v>
      </c>
      <c r="H540" s="8" t="str">
        <f>'B.kriteria &amp; R.kecocokan'!$B$41</f>
        <v>Rendah</v>
      </c>
      <c r="I540" s="8">
        <f>_xlfn.IFS(H540="Rendah",'B.kriteria &amp; R.kecocokan'!$C$41,H540="Sedang",'B.kriteria &amp; R.kecocokan'!$C$42,H540="Tinggi",'B.kriteria &amp; R.kecocokan'!$C$43)</f>
        <v>2.5</v>
      </c>
      <c r="J540" s="8" t="str">
        <f>'B.kriteria &amp; R.kecocokan'!$B$72</f>
        <v>Rendah</v>
      </c>
      <c r="K540" s="8">
        <f>_xlfn.IFS(J540="Rendah",'B.kriteria &amp; R.kecocokan'!$C$72,J540="Sedang",'B.kriteria &amp; R.kecocokan'!$C$73,J540="Tinggi",'B.kriteria &amp; R.kecocokan'!$C$74)</f>
        <v>2.5</v>
      </c>
      <c r="L540" s="8" t="str">
        <f>'B.kriteria &amp; R.kecocokan'!$B$95</f>
        <v>Rendah</v>
      </c>
      <c r="M540" s="8">
        <f>_xlfn.IFS(L540="Rendah",'B.kriteria &amp; R.kecocokan'!$C$95,L540="Tinggi",'B.kriteria &amp; R.kecocokan'!$C$96)</f>
        <v>2.5</v>
      </c>
      <c r="N540" s="9" t="str">
        <f>'B.kriteria &amp; R.kecocokan'!$B$81</f>
        <v>Tinggi</v>
      </c>
      <c r="O540" s="8">
        <f>_xlfn.IFS(N540="Rendah",'B.kriteria &amp; R.kecocokan'!$C$80,N540="Tinggi",'B.kriteria &amp; R.kecocokan'!$C$81)</f>
        <v>7.5</v>
      </c>
      <c r="P540" s="9" t="str">
        <f>'B.kriteria &amp; R.kecocokan'!$B$88</f>
        <v>Sedang</v>
      </c>
      <c r="Q540" s="8">
        <f>_xlfn.IFS(P540="Sedikit",'B.kriteria &amp; R.kecocokan'!$C$89,P540="Sedang",'B.kriteria &amp; R.kecocokan'!$C$88,P540="Sangat Sedikit",'B.kriteria &amp; R.kecocokan'!$C$90)</f>
        <v>5</v>
      </c>
      <c r="R540" s="8" t="str">
        <f>'B.kriteria &amp; R.kecocokan'!$B$49</f>
        <v>Rendah</v>
      </c>
      <c r="S540" s="8">
        <f>_xlfn.IFS(R540="Rendah",'B.kriteria &amp; R.kecocokan'!$C$49,R540="Sedang",'B.kriteria &amp; R.kecocokan'!$C$50,R540="Tinggi",'B.kriteria &amp; R.kecocokan'!$C$51)</f>
        <v>2.5</v>
      </c>
      <c r="T540" s="8" t="str">
        <f>'B.kriteria &amp; R.kecocokan'!$B$57</f>
        <v>Rendah</v>
      </c>
      <c r="U540" s="51">
        <f>_xlfn.IFS(T540="Rendah",'B.kriteria &amp; R.kecocokan'!$C$57,T540="Sedang",'B.kriteria &amp; R.kecocokan'!$C$58,T540="Tinggi",'B.kriteria &amp; R.kecocokan'!$C$59)</f>
        <v>2.5</v>
      </c>
      <c r="V540" s="51" t="str">
        <f>'B.kriteria &amp; R.kecocokan'!$B$65</f>
        <v>Rendah</v>
      </c>
      <c r="W540" s="9">
        <f>_xlfn.IFS(V540="Rendah",'B.kriteria &amp; R.kecocokan'!$C$65,V540="Sedang",'B.kriteria &amp; R.kecocokan'!$C$66,V540="Tinggi",'B.kriteria &amp; R.kecocokan'!$C$67)</f>
        <v>1</v>
      </c>
      <c r="X540" s="117">
        <f t="shared" si="54"/>
        <v>5.2670709138078191</v>
      </c>
      <c r="Y540" s="117">
        <f t="shared" si="55"/>
        <v>5.8265493807184372</v>
      </c>
      <c r="Z540" s="119">
        <f t="shared" si="56"/>
        <v>5.2670709138078191</v>
      </c>
      <c r="AA540" s="55" t="str">
        <f t="shared" si="57"/>
        <v>Layak</v>
      </c>
    </row>
    <row r="541" spans="1:27" x14ac:dyDescent="0.35">
      <c r="A541" s="1">
        <v>8</v>
      </c>
      <c r="B541" s="2" t="s">
        <v>35</v>
      </c>
      <c r="C541" s="12" t="s">
        <v>13</v>
      </c>
      <c r="D541" s="32" t="str">
        <f>'B.kriteria &amp; R.kecocokan'!$B$24</f>
        <v>Cukup</v>
      </c>
      <c r="E541" s="111">
        <f>_xlfn.IFS(D541="Banyak",'B.kriteria &amp; R.kecocokan'!$C$23,D541="Cukup",'B.kriteria &amp; R.kecocokan'!$C$24,D541="Sedikit",'B.kriteria &amp; R.kecocokan'!$C$25)</f>
        <v>5</v>
      </c>
      <c r="F541" s="9" t="str">
        <f>'B.kriteria &amp; R.kecocokan'!$B$34</f>
        <v>Tinggi</v>
      </c>
      <c r="G541" s="8">
        <f>_xlfn.IFS(F541="Tinggi",'B.kriteria &amp; R.kecocokan'!$C$34,F541="Sangat Tinggi",'B.kriteria &amp; R.kecocokan'!$C$35)</f>
        <v>7.5</v>
      </c>
      <c r="H541" s="8" t="str">
        <f>'B.kriteria &amp; R.kecocokan'!$B$41</f>
        <v>Rendah</v>
      </c>
      <c r="I541" s="8">
        <f>_xlfn.IFS(H541="Rendah",'B.kriteria &amp; R.kecocokan'!$C$41,H541="Sedang",'B.kriteria &amp; R.kecocokan'!$C$42,H541="Tinggi",'B.kriteria &amp; R.kecocokan'!$C$43)</f>
        <v>2.5</v>
      </c>
      <c r="J541" s="8" t="str">
        <f>'B.kriteria &amp; R.kecocokan'!$B$72</f>
        <v>Rendah</v>
      </c>
      <c r="K541" s="8">
        <f>_xlfn.IFS(J541="Rendah",'B.kriteria &amp; R.kecocokan'!$C$72,J541="Sedang",'B.kriteria &amp; R.kecocokan'!$C$73,J541="Tinggi",'B.kriteria &amp; R.kecocokan'!$C$74)</f>
        <v>2.5</v>
      </c>
      <c r="L541" s="8" t="str">
        <f>'B.kriteria &amp; R.kecocokan'!$B$95</f>
        <v>Rendah</v>
      </c>
      <c r="M541" s="8">
        <f>_xlfn.IFS(L541="Rendah",'B.kriteria &amp; R.kecocokan'!$C$95,L541="Tinggi",'B.kriteria &amp; R.kecocokan'!$C$96)</f>
        <v>2.5</v>
      </c>
      <c r="N541" s="8" t="str">
        <f>'B.kriteria &amp; R.kecocokan'!$B$80</f>
        <v>Rendah</v>
      </c>
      <c r="O541" s="8">
        <f>_xlfn.IFS(N541="Rendah",'B.kriteria &amp; R.kecocokan'!$C$80,N541="Tinggi",'B.kriteria &amp; R.kecocokan'!$C$81)</f>
        <v>2.5</v>
      </c>
      <c r="P541" s="8" t="str">
        <f>'B.kriteria &amp; R.kecocokan'!$B$89</f>
        <v>Sedikit</v>
      </c>
      <c r="Q541" s="8">
        <f>_xlfn.IFS(P541="Sedikit",'B.kriteria &amp; R.kecocokan'!$C$89,P541="Sedang",'B.kriteria &amp; R.kecocokan'!$C$88,P541="Sangat Sedikit",'B.kriteria &amp; R.kecocokan'!$C$90)</f>
        <v>2.5</v>
      </c>
      <c r="R541" s="8" t="str">
        <f>'B.kriteria &amp; R.kecocokan'!$B$49</f>
        <v>Rendah</v>
      </c>
      <c r="S541" s="8">
        <f>_xlfn.IFS(R541="Rendah",'B.kriteria &amp; R.kecocokan'!$C$49,R541="Sedang",'B.kriteria &amp; R.kecocokan'!$C$50,R541="Tinggi",'B.kriteria &amp; R.kecocokan'!$C$51)</f>
        <v>2.5</v>
      </c>
      <c r="T541" s="8" t="str">
        <f>'B.kriteria &amp; R.kecocokan'!$B$57</f>
        <v>Rendah</v>
      </c>
      <c r="U541" s="51">
        <f>_xlfn.IFS(T541="Rendah",'B.kriteria &amp; R.kecocokan'!$C$57,T541="Sedang",'B.kriteria &amp; R.kecocokan'!$C$58,T541="Tinggi",'B.kriteria &amp; R.kecocokan'!$C$59)</f>
        <v>2.5</v>
      </c>
      <c r="V541" s="51" t="str">
        <f>'B.kriteria &amp; R.kecocokan'!$B$65</f>
        <v>Rendah</v>
      </c>
      <c r="W541" s="9">
        <f>_xlfn.IFS(V541="Rendah",'B.kriteria &amp; R.kecocokan'!$C$65,V541="Sedang",'B.kriteria &amp; R.kecocokan'!$C$66,V541="Tinggi",'B.kriteria &amp; R.kecocokan'!$C$67)</f>
        <v>1</v>
      </c>
      <c r="X541" s="117">
        <f t="shared" si="54"/>
        <v>5.4088070686443581</v>
      </c>
      <c r="Y541" s="117">
        <f t="shared" si="55"/>
        <v>1.428141021348909</v>
      </c>
      <c r="Z541" s="119">
        <f t="shared" si="56"/>
        <v>1.428141021348909</v>
      </c>
      <c r="AA541" s="55" t="str">
        <f t="shared" si="57"/>
        <v>Tidak Layak</v>
      </c>
    </row>
    <row r="542" spans="1:27" x14ac:dyDescent="0.35">
      <c r="A542" s="5">
        <v>9</v>
      </c>
      <c r="B542" s="2" t="s">
        <v>36</v>
      </c>
      <c r="C542" s="11" t="s">
        <v>13</v>
      </c>
      <c r="D542" s="32" t="str">
        <f>'B.kriteria &amp; R.kecocokan'!$B$24</f>
        <v>Cukup</v>
      </c>
      <c r="E542" s="111">
        <f>_xlfn.IFS(D542="Banyak",'B.kriteria &amp; R.kecocokan'!$C$23,D542="Cukup",'B.kriteria &amp; R.kecocokan'!$C$24,D542="Sedikit",'B.kriteria &amp; R.kecocokan'!$C$25)</f>
        <v>5</v>
      </c>
      <c r="F542" s="9" t="str">
        <f>'B.kriteria &amp; R.kecocokan'!$B$34</f>
        <v>Tinggi</v>
      </c>
      <c r="G542" s="8">
        <f>_xlfn.IFS(F542="Tinggi",'B.kriteria &amp; R.kecocokan'!$C$34,F542="Sangat Tinggi",'B.kriteria &amp; R.kecocokan'!$C$35)</f>
        <v>7.5</v>
      </c>
      <c r="H542" s="9" t="str">
        <f>'B.kriteria &amp; R.kecocokan'!$B$43</f>
        <v>Tinggi</v>
      </c>
      <c r="I542" s="8">
        <f>_xlfn.IFS(H542="Rendah",'B.kriteria &amp; R.kecocokan'!$C$41,H542="Sedang",'B.kriteria &amp; R.kecocokan'!$C$42,H542="Tinggi",'B.kriteria &amp; R.kecocokan'!$C$43)</f>
        <v>7.5</v>
      </c>
      <c r="J542" s="8" t="str">
        <f>'B.kriteria &amp; R.kecocokan'!$B$72</f>
        <v>Rendah</v>
      </c>
      <c r="K542" s="8">
        <f>_xlfn.IFS(J542="Rendah",'B.kriteria &amp; R.kecocokan'!$C$72,J542="Sedang",'B.kriteria &amp; R.kecocokan'!$C$73,J542="Tinggi",'B.kriteria &amp; R.kecocokan'!$C$74)</f>
        <v>2.5</v>
      </c>
      <c r="L542" s="8" t="str">
        <f>'B.kriteria &amp; R.kecocokan'!$B$95</f>
        <v>Rendah</v>
      </c>
      <c r="M542" s="8">
        <f>_xlfn.IFS(L542="Rendah",'B.kriteria &amp; R.kecocokan'!$C$95,L542="Tinggi",'B.kriteria &amp; R.kecocokan'!$C$96)</f>
        <v>2.5</v>
      </c>
      <c r="N542" s="8" t="str">
        <f>'B.kriteria &amp; R.kecocokan'!$B$80</f>
        <v>Rendah</v>
      </c>
      <c r="O542" s="8">
        <f>_xlfn.IFS(N542="Rendah",'B.kriteria &amp; R.kecocokan'!$C$80,N542="Tinggi",'B.kriteria &amp; R.kecocokan'!$C$81)</f>
        <v>2.5</v>
      </c>
      <c r="P542" s="9" t="str">
        <f>'B.kriteria &amp; R.kecocokan'!$B$88</f>
        <v>Sedang</v>
      </c>
      <c r="Q542" s="8">
        <f>_xlfn.IFS(P542="Sedikit",'B.kriteria &amp; R.kecocokan'!$C$89,P542="Sedang",'B.kriteria &amp; R.kecocokan'!$C$88,P542="Sangat Sedikit",'B.kriteria &amp; R.kecocokan'!$C$90)</f>
        <v>5</v>
      </c>
      <c r="R542" s="8" t="str">
        <f>'B.kriteria &amp; R.kecocokan'!$B$49</f>
        <v>Rendah</v>
      </c>
      <c r="S542" s="8">
        <f>_xlfn.IFS(R542="Rendah",'B.kriteria &amp; R.kecocokan'!$C$49,R542="Sedang",'B.kriteria &amp; R.kecocokan'!$C$50,R542="Tinggi",'B.kriteria &amp; R.kecocokan'!$C$51)</f>
        <v>2.5</v>
      </c>
      <c r="T542" s="8" t="str">
        <f>'B.kriteria &amp; R.kecocokan'!$B$57</f>
        <v>Rendah</v>
      </c>
      <c r="U542" s="51">
        <f>_xlfn.IFS(T542="Rendah",'B.kriteria &amp; R.kecocokan'!$C$57,T542="Sedang",'B.kriteria &amp; R.kecocokan'!$C$58,T542="Tinggi",'B.kriteria &amp; R.kecocokan'!$C$59)</f>
        <v>2.5</v>
      </c>
      <c r="V542" s="51" t="str">
        <f>'B.kriteria &amp; R.kecocokan'!$B$65</f>
        <v>Rendah</v>
      </c>
      <c r="W542" s="9">
        <f>_xlfn.IFS(V542="Rendah",'B.kriteria &amp; R.kecocokan'!$C$65,V542="Sedang",'B.kriteria &amp; R.kecocokan'!$C$66,V542="Tinggi",'B.kriteria &amp; R.kecocokan'!$C$67)</f>
        <v>1</v>
      </c>
      <c r="X542" s="117">
        <f t="shared" si="54"/>
        <v>7.9541405444305555</v>
      </c>
      <c r="Y542" s="117">
        <f t="shared" si="55"/>
        <v>4.5445817343839101</v>
      </c>
      <c r="Z542" s="119">
        <f t="shared" si="56"/>
        <v>4.5445817343839101</v>
      </c>
      <c r="AA542" s="55" t="str">
        <f t="shared" si="57"/>
        <v>Tidak Layak</v>
      </c>
    </row>
    <row r="543" spans="1:27" x14ac:dyDescent="0.35">
      <c r="A543" s="5">
        <v>10</v>
      </c>
      <c r="B543" s="2" t="s">
        <v>39</v>
      </c>
      <c r="C543" s="12" t="s">
        <v>13</v>
      </c>
      <c r="D543" s="32" t="str">
        <f>'B.kriteria &amp; R.kecocokan'!$B$24</f>
        <v>Cukup</v>
      </c>
      <c r="E543" s="111">
        <f>_xlfn.IFS(D543="Banyak",'B.kriteria &amp; R.kecocokan'!$C$23,D543="Cukup",'B.kriteria &amp; R.kecocokan'!$C$24,D543="Sedikit",'B.kriteria &amp; R.kecocokan'!$C$25)</f>
        <v>5</v>
      </c>
      <c r="F543" s="9" t="str">
        <f>'B.kriteria &amp; R.kecocokan'!$B$34</f>
        <v>Tinggi</v>
      </c>
      <c r="G543" s="8">
        <f>_xlfn.IFS(F543="Tinggi",'B.kriteria &amp; R.kecocokan'!$C$34,F543="Sangat Tinggi",'B.kriteria &amp; R.kecocokan'!$C$35)</f>
        <v>7.5</v>
      </c>
      <c r="H543" s="8" t="str">
        <f>'B.kriteria &amp; R.kecocokan'!$B$41</f>
        <v>Rendah</v>
      </c>
      <c r="I543" s="8">
        <f>_xlfn.IFS(H543="Rendah",'B.kriteria &amp; R.kecocokan'!$C$41,H543="Sedang",'B.kriteria &amp; R.kecocokan'!$C$42,H543="Tinggi",'B.kriteria &amp; R.kecocokan'!$C$43)</f>
        <v>2.5</v>
      </c>
      <c r="J543" s="8" t="str">
        <f>'B.kriteria &amp; R.kecocokan'!$B$72</f>
        <v>Rendah</v>
      </c>
      <c r="K543" s="8">
        <f>_xlfn.IFS(J543="Rendah",'B.kriteria &amp; R.kecocokan'!$C$72,J543="Sedang",'B.kriteria &amp; R.kecocokan'!$C$73,J543="Tinggi",'B.kriteria &amp; R.kecocokan'!$C$74)</f>
        <v>2.5</v>
      </c>
      <c r="L543" s="8" t="str">
        <f>'B.kriteria &amp; R.kecocokan'!$B$95</f>
        <v>Rendah</v>
      </c>
      <c r="M543" s="8">
        <f>_xlfn.IFS(L543="Rendah",'B.kriteria &amp; R.kecocokan'!$C$95,L543="Tinggi",'B.kriteria &amp; R.kecocokan'!$C$96)</f>
        <v>2.5</v>
      </c>
      <c r="N543" s="9" t="str">
        <f>'B.kriteria &amp; R.kecocokan'!$B$81</f>
        <v>Tinggi</v>
      </c>
      <c r="O543" s="8">
        <f>_xlfn.IFS(N543="Rendah",'B.kriteria &amp; R.kecocokan'!$C$80,N543="Tinggi",'B.kriteria &amp; R.kecocokan'!$C$81)</f>
        <v>7.5</v>
      </c>
      <c r="P543" s="9" t="str">
        <f>'B.kriteria &amp; R.kecocokan'!$B$90</f>
        <v>Sangat Sedikit</v>
      </c>
      <c r="Q543" s="8">
        <f>_xlfn.IFS(P543="Sedikit",'B.kriteria &amp; R.kecocokan'!$C$89,P543="Sedang",'B.kriteria &amp; R.kecocokan'!$C$88,P543="Sangat Sedikit",'B.kriteria &amp; R.kecocokan'!$C$90)</f>
        <v>1</v>
      </c>
      <c r="R543" s="8" t="str">
        <f>'B.kriteria &amp; R.kecocokan'!$B$49</f>
        <v>Rendah</v>
      </c>
      <c r="S543" s="8">
        <f>_xlfn.IFS(R543="Rendah",'B.kriteria &amp; R.kecocokan'!$C$49,R543="Sedang",'B.kriteria &amp; R.kecocokan'!$C$50,R543="Tinggi",'B.kriteria &amp; R.kecocokan'!$C$51)</f>
        <v>2.5</v>
      </c>
      <c r="T543" s="8" t="str">
        <f>'B.kriteria &amp; R.kecocokan'!$B$57</f>
        <v>Rendah</v>
      </c>
      <c r="U543" s="51">
        <f>_xlfn.IFS(T543="Rendah",'B.kriteria &amp; R.kecocokan'!$C$57,T543="Sedang",'B.kriteria &amp; R.kecocokan'!$C$58,T543="Tinggi",'B.kriteria &amp; R.kecocokan'!$C$59)</f>
        <v>2.5</v>
      </c>
      <c r="V543" s="51" t="str">
        <f>'B.kriteria &amp; R.kecocokan'!$B$65</f>
        <v>Rendah</v>
      </c>
      <c r="W543" s="9">
        <f>_xlfn.IFS(V543="Rendah",'B.kriteria &amp; R.kecocokan'!$C$65,V543="Sedang",'B.kriteria &amp; R.kecocokan'!$C$66,V543="Tinggi",'B.kriteria &amp; R.kecocokan'!$C$67)</f>
        <v>1</v>
      </c>
      <c r="X543" s="117">
        <f t="shared" si="54"/>
        <v>1.8078583463739675</v>
      </c>
      <c r="Y543" s="117">
        <f t="shared" si="55"/>
        <v>5.6535222693102378</v>
      </c>
      <c r="Z543" s="119">
        <f t="shared" si="56"/>
        <v>1.8078583463739675</v>
      </c>
      <c r="AA543" s="55" t="str">
        <f t="shared" si="57"/>
        <v>Layak</v>
      </c>
    </row>
    <row r="544" spans="1:27" x14ac:dyDescent="0.35">
      <c r="A544" s="1">
        <v>11</v>
      </c>
      <c r="B544" s="2" t="s">
        <v>40</v>
      </c>
      <c r="C544" s="11" t="s">
        <v>13</v>
      </c>
      <c r="D544" s="9" t="str">
        <f>'B.kriteria &amp; R.kecocokan'!$B$25</f>
        <v>Sedikit</v>
      </c>
      <c r="E544" s="111">
        <f>_xlfn.IFS(D544="Banyak",'B.kriteria &amp; R.kecocokan'!$C$23,D544="Cukup",'B.kriteria &amp; R.kecocokan'!$C$24,D544="Sedikit",'B.kriteria &amp; R.kecocokan'!$C$25)</f>
        <v>7.5</v>
      </c>
      <c r="F544" s="9" t="str">
        <f>'B.kriteria &amp; R.kecocokan'!$B$34</f>
        <v>Tinggi</v>
      </c>
      <c r="G544" s="8">
        <f>_xlfn.IFS(F544="Tinggi",'B.kriteria &amp; R.kecocokan'!$C$34,F544="Sangat Tinggi",'B.kriteria &amp; R.kecocokan'!$C$35)</f>
        <v>7.5</v>
      </c>
      <c r="H544" s="8" t="str">
        <f>'B.kriteria &amp; R.kecocokan'!$B$41</f>
        <v>Rendah</v>
      </c>
      <c r="I544" s="8">
        <f>_xlfn.IFS(H544="Rendah",'B.kriteria &amp; R.kecocokan'!$C$41,H544="Sedang",'B.kriteria &amp; R.kecocokan'!$C$42,H544="Tinggi",'B.kriteria &amp; R.kecocokan'!$C$43)</f>
        <v>2.5</v>
      </c>
      <c r="J544" s="8" t="str">
        <f>'B.kriteria &amp; R.kecocokan'!$B$72</f>
        <v>Rendah</v>
      </c>
      <c r="K544" s="8">
        <f>_xlfn.IFS(J544="Rendah",'B.kriteria &amp; R.kecocokan'!$C$72,J544="Sedang",'B.kriteria &amp; R.kecocokan'!$C$73,J544="Tinggi",'B.kriteria &amp; R.kecocokan'!$C$74)</f>
        <v>2.5</v>
      </c>
      <c r="L544" s="8" t="str">
        <f>'B.kriteria &amp; R.kecocokan'!$B$95</f>
        <v>Rendah</v>
      </c>
      <c r="M544" s="8">
        <f>_xlfn.IFS(L544="Rendah",'B.kriteria &amp; R.kecocokan'!$C$95,L544="Tinggi",'B.kriteria &amp; R.kecocokan'!$C$96)</f>
        <v>2.5</v>
      </c>
      <c r="N544" s="9" t="str">
        <f>'B.kriteria &amp; R.kecocokan'!$B$81</f>
        <v>Tinggi</v>
      </c>
      <c r="O544" s="8">
        <f>_xlfn.IFS(N544="Rendah",'B.kriteria &amp; R.kecocokan'!$C$80,N544="Tinggi",'B.kriteria &amp; R.kecocokan'!$C$81)</f>
        <v>7.5</v>
      </c>
      <c r="P544" s="9" t="str">
        <f>'B.kriteria &amp; R.kecocokan'!$B$90</f>
        <v>Sangat Sedikit</v>
      </c>
      <c r="Q544" s="8">
        <f>_xlfn.IFS(P544="Sedikit",'B.kriteria &amp; R.kecocokan'!$C$89,P544="Sedang",'B.kriteria &amp; R.kecocokan'!$C$88,P544="Sangat Sedikit",'B.kriteria &amp; R.kecocokan'!$C$90)</f>
        <v>1</v>
      </c>
      <c r="R544" s="9" t="str">
        <f>'B.kriteria &amp; R.kecocokan'!$B$50</f>
        <v>Sedang</v>
      </c>
      <c r="S544" s="8">
        <f>_xlfn.IFS(R544="Rendah",'B.kriteria &amp; R.kecocokan'!$C$49,R544="Sedang",'B.kriteria &amp; R.kecocokan'!$C$50,R544="Tinggi",'B.kriteria &amp; R.kecocokan'!$C$51)</f>
        <v>5</v>
      </c>
      <c r="T544" s="9" t="str">
        <f>'B.kriteria &amp; R.kecocokan'!$B$58</f>
        <v>Sedang</v>
      </c>
      <c r="U544" s="51">
        <f>_xlfn.IFS(T544="Rendah",'B.kriteria &amp; R.kecocokan'!$C$57,T544="Sedang",'B.kriteria &amp; R.kecocokan'!$C$58,T544="Tinggi",'B.kriteria &amp; R.kecocokan'!$C$59)</f>
        <v>5</v>
      </c>
      <c r="V544" s="52" t="str">
        <f>'B.kriteria &amp; R.kecocokan'!$B$66</f>
        <v>Sedang</v>
      </c>
      <c r="W544" s="9">
        <f>_xlfn.IFS(V544="Rendah",'B.kriteria &amp; R.kecocokan'!$C$65,V544="Sedang",'B.kriteria &amp; R.kecocokan'!$C$66,V544="Tinggi",'B.kriteria &amp; R.kecocokan'!$C$67)</f>
        <v>2</v>
      </c>
      <c r="X544" s="117">
        <f t="shared" si="54"/>
        <v>2.9700140369199244</v>
      </c>
      <c r="Y544" s="117">
        <f t="shared" si="55"/>
        <v>6.99893144146405</v>
      </c>
      <c r="Z544" s="119">
        <f t="shared" si="56"/>
        <v>2.9700140369199244</v>
      </c>
      <c r="AA544" s="55" t="str">
        <f t="shared" si="57"/>
        <v>Layak</v>
      </c>
    </row>
    <row r="545" spans="1:27" x14ac:dyDescent="0.35">
      <c r="A545" s="5">
        <v>12</v>
      </c>
      <c r="B545" s="2" t="s">
        <v>44</v>
      </c>
      <c r="C545" s="11" t="s">
        <v>13</v>
      </c>
      <c r="D545" s="32" t="str">
        <f>'B.kriteria &amp; R.kecocokan'!$B$24</f>
        <v>Cukup</v>
      </c>
      <c r="E545" s="111">
        <f>_xlfn.IFS(D545="Banyak",'B.kriteria &amp; R.kecocokan'!$C$23,D545="Cukup",'B.kriteria &amp; R.kecocokan'!$C$24,D545="Sedikit",'B.kriteria &amp; R.kecocokan'!$C$25)</f>
        <v>5</v>
      </c>
      <c r="F545" s="9" t="str">
        <f>'B.kriteria &amp; R.kecocokan'!$B$34</f>
        <v>Tinggi</v>
      </c>
      <c r="G545" s="8">
        <f>_xlfn.IFS(F545="Tinggi",'B.kriteria &amp; R.kecocokan'!$C$34,F545="Sangat Tinggi",'B.kriteria &amp; R.kecocokan'!$C$35)</f>
        <v>7.5</v>
      </c>
      <c r="H545" s="8" t="str">
        <f>'B.kriteria &amp; R.kecocokan'!$B$41</f>
        <v>Rendah</v>
      </c>
      <c r="I545" s="8">
        <f>_xlfn.IFS(H545="Rendah",'B.kriteria &amp; R.kecocokan'!$C$41,H545="Sedang",'B.kriteria &amp; R.kecocokan'!$C$42,H545="Tinggi",'B.kriteria &amp; R.kecocokan'!$C$43)</f>
        <v>2.5</v>
      </c>
      <c r="J545" s="8" t="str">
        <f>'B.kriteria &amp; R.kecocokan'!$B$72</f>
        <v>Rendah</v>
      </c>
      <c r="K545" s="8">
        <f>_xlfn.IFS(J545="Rendah",'B.kriteria &amp; R.kecocokan'!$C$72,J545="Sedang",'B.kriteria &amp; R.kecocokan'!$C$73,J545="Tinggi",'B.kriteria &amp; R.kecocokan'!$C$74)</f>
        <v>2.5</v>
      </c>
      <c r="L545" s="8" t="str">
        <f>'B.kriteria &amp; R.kecocokan'!$B$95</f>
        <v>Rendah</v>
      </c>
      <c r="M545" s="8">
        <f>_xlfn.IFS(L545="Rendah",'B.kriteria &amp; R.kecocokan'!$C$95,L545="Tinggi",'B.kriteria &amp; R.kecocokan'!$C$96)</f>
        <v>2.5</v>
      </c>
      <c r="N545" s="9" t="str">
        <f>'B.kriteria &amp; R.kecocokan'!$B$81</f>
        <v>Tinggi</v>
      </c>
      <c r="O545" s="8">
        <f>_xlfn.IFS(N545="Rendah",'B.kriteria &amp; R.kecocokan'!$C$80,N545="Tinggi",'B.kriteria &amp; R.kecocokan'!$C$81)</f>
        <v>7.5</v>
      </c>
      <c r="P545" s="9" t="str">
        <f>'B.kriteria &amp; R.kecocokan'!$B$90</f>
        <v>Sangat Sedikit</v>
      </c>
      <c r="Q545" s="8">
        <f>_xlfn.IFS(P545="Sedikit",'B.kriteria &amp; R.kecocokan'!$C$89,P545="Sedang",'B.kriteria &amp; R.kecocokan'!$C$88,P545="Sangat Sedikit",'B.kriteria &amp; R.kecocokan'!$C$90)</f>
        <v>1</v>
      </c>
      <c r="R545" s="8" t="str">
        <f>'B.kriteria &amp; R.kecocokan'!$B$49</f>
        <v>Rendah</v>
      </c>
      <c r="S545" s="8">
        <f>_xlfn.IFS(R545="Rendah",'B.kriteria &amp; R.kecocokan'!$C$49,R545="Sedang",'B.kriteria &amp; R.kecocokan'!$C$50,R545="Tinggi",'B.kriteria &amp; R.kecocokan'!$C$51)</f>
        <v>2.5</v>
      </c>
      <c r="T545" s="8" t="str">
        <f>'B.kriteria &amp; R.kecocokan'!$B$57</f>
        <v>Rendah</v>
      </c>
      <c r="U545" s="51">
        <f>_xlfn.IFS(T545="Rendah",'B.kriteria &amp; R.kecocokan'!$C$57,T545="Sedang",'B.kriteria &amp; R.kecocokan'!$C$58,T545="Tinggi",'B.kriteria &amp; R.kecocokan'!$C$59)</f>
        <v>2.5</v>
      </c>
      <c r="V545" s="51" t="str">
        <f>'B.kriteria &amp; R.kecocokan'!$B$65</f>
        <v>Rendah</v>
      </c>
      <c r="W545" s="9">
        <f>_xlfn.IFS(V545="Rendah",'B.kriteria &amp; R.kecocokan'!$C$65,V545="Sedang",'B.kriteria &amp; R.kecocokan'!$C$66,V545="Tinggi",'B.kriteria &amp; R.kecocokan'!$C$67)</f>
        <v>1</v>
      </c>
      <c r="X545" s="117">
        <f t="shared" si="54"/>
        <v>1.8078583463739675</v>
      </c>
      <c r="Y545" s="117">
        <f t="shared" si="55"/>
        <v>5.6535222693102378</v>
      </c>
      <c r="Z545" s="119">
        <f t="shared" si="56"/>
        <v>1.8078583463739675</v>
      </c>
      <c r="AA545" s="55" t="str">
        <f t="shared" si="57"/>
        <v>Layak</v>
      </c>
    </row>
    <row r="546" spans="1:27" x14ac:dyDescent="0.35">
      <c r="A546" s="5">
        <v>13</v>
      </c>
      <c r="B546" s="2" t="s">
        <v>45</v>
      </c>
      <c r="C546" s="11" t="s">
        <v>13</v>
      </c>
      <c r="D546" s="32" t="str">
        <f>'B.kriteria &amp; R.kecocokan'!$B$24</f>
        <v>Cukup</v>
      </c>
      <c r="E546" s="111">
        <f>_xlfn.IFS(D546="Banyak",'B.kriteria &amp; R.kecocokan'!$C$23,D546="Cukup",'B.kriteria &amp; R.kecocokan'!$C$24,D546="Sedikit",'B.kriteria &amp; R.kecocokan'!$C$25)</f>
        <v>5</v>
      </c>
      <c r="F546" s="9" t="str">
        <f>'B.kriteria &amp; R.kecocokan'!$B$34</f>
        <v>Tinggi</v>
      </c>
      <c r="G546" s="8">
        <f>_xlfn.IFS(F546="Tinggi",'B.kriteria &amp; R.kecocokan'!$C$34,F546="Sangat Tinggi",'B.kriteria &amp; R.kecocokan'!$C$35)</f>
        <v>7.5</v>
      </c>
      <c r="H546" s="9" t="str">
        <f>'B.kriteria &amp; R.kecocokan'!$B$43</f>
        <v>Tinggi</v>
      </c>
      <c r="I546" s="8">
        <f>_xlfn.IFS(H546="Rendah",'B.kriteria &amp; R.kecocokan'!$C$41,H546="Sedang",'B.kriteria &amp; R.kecocokan'!$C$42,H546="Tinggi",'B.kriteria &amp; R.kecocokan'!$C$43)</f>
        <v>7.5</v>
      </c>
      <c r="J546" s="8" t="str">
        <f>'B.kriteria &amp; R.kecocokan'!$B$72</f>
        <v>Rendah</v>
      </c>
      <c r="K546" s="8">
        <f>_xlfn.IFS(J546="Rendah",'B.kriteria &amp; R.kecocokan'!$C$72,J546="Sedang",'B.kriteria &amp; R.kecocokan'!$C$73,J546="Tinggi",'B.kriteria &amp; R.kecocokan'!$C$74)</f>
        <v>2.5</v>
      </c>
      <c r="L546" s="8" t="str">
        <f>'B.kriteria &amp; R.kecocokan'!$B$95</f>
        <v>Rendah</v>
      </c>
      <c r="M546" s="8">
        <f>_xlfn.IFS(L546="Rendah",'B.kriteria &amp; R.kecocokan'!$C$95,L546="Tinggi",'B.kriteria &amp; R.kecocokan'!$C$96)</f>
        <v>2.5</v>
      </c>
      <c r="N546" s="8" t="str">
        <f>'B.kriteria &amp; R.kecocokan'!$B$80</f>
        <v>Rendah</v>
      </c>
      <c r="O546" s="8">
        <f>_xlfn.IFS(N546="Rendah",'B.kriteria &amp; R.kecocokan'!$C$80,N546="Tinggi",'B.kriteria &amp; R.kecocokan'!$C$81)</f>
        <v>2.5</v>
      </c>
      <c r="P546" s="9" t="str">
        <f>'B.kriteria &amp; R.kecocokan'!$B$88</f>
        <v>Sedang</v>
      </c>
      <c r="Q546" s="8">
        <f>_xlfn.IFS(P546="Sedikit",'B.kriteria &amp; R.kecocokan'!$C$89,P546="Sedang",'B.kriteria &amp; R.kecocokan'!$C$88,P546="Sangat Sedikit",'B.kriteria &amp; R.kecocokan'!$C$90)</f>
        <v>5</v>
      </c>
      <c r="R546" s="8" t="str">
        <f>'B.kriteria &amp; R.kecocokan'!$B$49</f>
        <v>Rendah</v>
      </c>
      <c r="S546" s="8">
        <f>_xlfn.IFS(R546="Rendah",'B.kriteria &amp; R.kecocokan'!$C$49,R546="Sedang",'B.kriteria &amp; R.kecocokan'!$C$50,R546="Tinggi",'B.kriteria &amp; R.kecocokan'!$C$51)</f>
        <v>2.5</v>
      </c>
      <c r="T546" s="8" t="str">
        <f>'B.kriteria &amp; R.kecocokan'!$B$57</f>
        <v>Rendah</v>
      </c>
      <c r="U546" s="51">
        <f>_xlfn.IFS(T546="Rendah",'B.kriteria &amp; R.kecocokan'!$C$57,T546="Sedang",'B.kriteria &amp; R.kecocokan'!$C$58,T546="Tinggi",'B.kriteria &amp; R.kecocokan'!$C$59)</f>
        <v>2.5</v>
      </c>
      <c r="V546" s="51" t="str">
        <f>'B.kriteria &amp; R.kecocokan'!$B$65</f>
        <v>Rendah</v>
      </c>
      <c r="W546" s="9">
        <f>_xlfn.IFS(V546="Rendah",'B.kriteria &amp; R.kecocokan'!$C$65,V546="Sedang",'B.kriteria &amp; R.kecocokan'!$C$66,V546="Tinggi",'B.kriteria &amp; R.kecocokan'!$C$67)</f>
        <v>1</v>
      </c>
      <c r="X546" s="117">
        <f t="shared" si="54"/>
        <v>7.9541405444305555</v>
      </c>
      <c r="Y546" s="117">
        <f t="shared" si="55"/>
        <v>4.5445817343839101</v>
      </c>
      <c r="Z546" s="119">
        <f t="shared" si="56"/>
        <v>4.5445817343839101</v>
      </c>
      <c r="AA546" s="55" t="str">
        <f t="shared" si="57"/>
        <v>Tidak Layak</v>
      </c>
    </row>
    <row r="547" spans="1:27" x14ac:dyDescent="0.35">
      <c r="A547" s="1">
        <v>14</v>
      </c>
      <c r="B547" s="2" t="s">
        <v>46</v>
      </c>
      <c r="C547" s="11" t="s">
        <v>13</v>
      </c>
      <c r="D547" s="32" t="str">
        <f>'B.kriteria &amp; R.kecocokan'!$B$24</f>
        <v>Cukup</v>
      </c>
      <c r="E547" s="111">
        <f>_xlfn.IFS(D547="Banyak",'B.kriteria &amp; R.kecocokan'!$C$23,D547="Cukup",'B.kriteria &amp; R.kecocokan'!$C$24,D547="Sedikit",'B.kriteria &amp; R.kecocokan'!$C$25)</f>
        <v>5</v>
      </c>
      <c r="F547" s="9" t="str">
        <f>'B.kriteria &amp; R.kecocokan'!$B$35</f>
        <v>Sangat Tinggi</v>
      </c>
      <c r="G547" s="8">
        <f>_xlfn.IFS(F547="Tinggi",'B.kriteria &amp; R.kecocokan'!$C$34,F547="Sangat Tinggi",'B.kriteria &amp; R.kecocokan'!$C$35)</f>
        <v>10</v>
      </c>
      <c r="H547" s="8" t="str">
        <f>'B.kriteria &amp; R.kecocokan'!$B$41</f>
        <v>Rendah</v>
      </c>
      <c r="I547" s="8">
        <f>_xlfn.IFS(H547="Rendah",'B.kriteria &amp; R.kecocokan'!$C$41,H547="Sedang",'B.kriteria &amp; R.kecocokan'!$C$42,H547="Tinggi",'B.kriteria &amp; R.kecocokan'!$C$43)</f>
        <v>2.5</v>
      </c>
      <c r="J547" s="8" t="str">
        <f>'B.kriteria &amp; R.kecocokan'!$B$72</f>
        <v>Rendah</v>
      </c>
      <c r="K547" s="8">
        <f>_xlfn.IFS(J547="Rendah",'B.kriteria &amp; R.kecocokan'!$C$72,J547="Sedang",'B.kriteria &amp; R.kecocokan'!$C$73,J547="Tinggi",'B.kriteria &amp; R.kecocokan'!$C$74)</f>
        <v>2.5</v>
      </c>
      <c r="L547" s="8" t="str">
        <f>'B.kriteria &amp; R.kecocokan'!$B$95</f>
        <v>Rendah</v>
      </c>
      <c r="M547" s="8">
        <f>_xlfn.IFS(L547="Rendah",'B.kriteria &amp; R.kecocokan'!$C$95,L547="Tinggi",'B.kriteria &amp; R.kecocokan'!$C$96)</f>
        <v>2.5</v>
      </c>
      <c r="N547" s="8" t="str">
        <f>'B.kriteria &amp; R.kecocokan'!$B$80</f>
        <v>Rendah</v>
      </c>
      <c r="O547" s="8">
        <f>_xlfn.IFS(N547="Rendah",'B.kriteria &amp; R.kecocokan'!$C$80,N547="Tinggi",'B.kriteria &amp; R.kecocokan'!$C$81)</f>
        <v>2.5</v>
      </c>
      <c r="P547" s="8" t="str">
        <f>'B.kriteria &amp; R.kecocokan'!$B$89</f>
        <v>Sedikit</v>
      </c>
      <c r="Q547" s="8">
        <f>_xlfn.IFS(P547="Sedikit",'B.kriteria &amp; R.kecocokan'!$C$89,P547="Sedang",'B.kriteria &amp; R.kecocokan'!$C$88,P547="Sangat Sedikit",'B.kriteria &amp; R.kecocokan'!$C$90)</f>
        <v>2.5</v>
      </c>
      <c r="R547" s="8" t="str">
        <f>'B.kriteria &amp; R.kecocokan'!$B$49</f>
        <v>Rendah</v>
      </c>
      <c r="S547" s="8">
        <f>_xlfn.IFS(R547="Rendah",'B.kriteria &amp; R.kecocokan'!$C$49,R547="Sedang",'B.kriteria &amp; R.kecocokan'!$C$50,R547="Tinggi",'B.kriteria &amp; R.kecocokan'!$C$51)</f>
        <v>2.5</v>
      </c>
      <c r="T547" s="9" t="str">
        <f>'B.kriteria &amp; R.kecocokan'!$B$58</f>
        <v>Sedang</v>
      </c>
      <c r="U547" s="51">
        <f>_xlfn.IFS(T547="Rendah",'B.kriteria &amp; R.kecocokan'!$C$57,T547="Sedang",'B.kriteria &amp; R.kecocokan'!$C$58,T547="Tinggi",'B.kriteria &amp; R.kecocokan'!$C$59)</f>
        <v>5</v>
      </c>
      <c r="V547" s="51" t="str">
        <f>'B.kriteria &amp; R.kecocokan'!$B$65</f>
        <v>Rendah</v>
      </c>
      <c r="W547" s="9">
        <f>_xlfn.IFS(V547="Rendah",'B.kriteria &amp; R.kecocokan'!$C$65,V547="Sedang",'B.kriteria &amp; R.kecocokan'!$C$66,V547="Tinggi",'B.kriteria &amp; R.kecocokan'!$C$67)</f>
        <v>1</v>
      </c>
      <c r="X547" s="117">
        <f t="shared" si="54"/>
        <v>5.8471706347713992</v>
      </c>
      <c r="Y547" s="117">
        <f t="shared" si="55"/>
        <v>3.1613497483519533</v>
      </c>
      <c r="Z547" s="119">
        <f t="shared" si="56"/>
        <v>3.1613497483519533</v>
      </c>
      <c r="AA547" s="55" t="str">
        <f t="shared" si="57"/>
        <v>Tidak Layak</v>
      </c>
    </row>
    <row r="548" spans="1:27" x14ac:dyDescent="0.35">
      <c r="A548" s="5">
        <v>15</v>
      </c>
      <c r="B548" s="2" t="s">
        <v>48</v>
      </c>
      <c r="C548" s="11" t="s">
        <v>13</v>
      </c>
      <c r="D548" s="9" t="str">
        <f>'B.kriteria &amp; R.kecocokan'!$B$23</f>
        <v>Banyak</v>
      </c>
      <c r="E548" s="111">
        <f>_xlfn.IFS(D548="Banyak",'B.kriteria &amp; R.kecocokan'!$C$23,D548="Cukup",'B.kriteria &amp; R.kecocokan'!$C$24,D548="Sedikit",'B.kriteria &amp; R.kecocokan'!$C$25)</f>
        <v>2.5</v>
      </c>
      <c r="F548" s="9" t="str">
        <f>'B.kriteria &amp; R.kecocokan'!$B$35</f>
        <v>Sangat Tinggi</v>
      </c>
      <c r="G548" s="8">
        <f>_xlfn.IFS(F548="Tinggi",'B.kriteria &amp; R.kecocokan'!$C$34,F548="Sangat Tinggi",'B.kriteria &amp; R.kecocokan'!$C$35)</f>
        <v>10</v>
      </c>
      <c r="H548" s="8" t="str">
        <f>'B.kriteria &amp; R.kecocokan'!$B$41</f>
        <v>Rendah</v>
      </c>
      <c r="I548" s="8">
        <f>_xlfn.IFS(H548="Rendah",'B.kriteria &amp; R.kecocokan'!$C$41,H548="Sedang",'B.kriteria &amp; R.kecocokan'!$C$42,H548="Tinggi",'B.kriteria &amp; R.kecocokan'!$C$43)</f>
        <v>2.5</v>
      </c>
      <c r="J548" s="8" t="str">
        <f>'B.kriteria &amp; R.kecocokan'!$B$72</f>
        <v>Rendah</v>
      </c>
      <c r="K548" s="8">
        <f>_xlfn.IFS(J548="Rendah",'B.kriteria &amp; R.kecocokan'!$C$72,J548="Sedang",'B.kriteria &amp; R.kecocokan'!$C$73,J548="Tinggi",'B.kriteria &amp; R.kecocokan'!$C$74)</f>
        <v>2.5</v>
      </c>
      <c r="L548" s="8" t="str">
        <f>'B.kriteria &amp; R.kecocokan'!$B$95</f>
        <v>Rendah</v>
      </c>
      <c r="M548" s="8">
        <f>_xlfn.IFS(L548="Rendah",'B.kriteria &amp; R.kecocokan'!$C$95,L548="Tinggi",'B.kriteria &amp; R.kecocokan'!$C$96)</f>
        <v>2.5</v>
      </c>
      <c r="N548" s="8" t="str">
        <f>'B.kriteria &amp; R.kecocokan'!$B$80</f>
        <v>Rendah</v>
      </c>
      <c r="O548" s="8">
        <f>_xlfn.IFS(N548="Rendah",'B.kriteria &amp; R.kecocokan'!$C$80,N548="Tinggi",'B.kriteria &amp; R.kecocokan'!$C$81)</f>
        <v>2.5</v>
      </c>
      <c r="P548" s="9" t="str">
        <f>'B.kriteria &amp; R.kecocokan'!$B$88</f>
        <v>Sedang</v>
      </c>
      <c r="Q548" s="8">
        <f>_xlfn.IFS(P548="Sedikit",'B.kriteria &amp; R.kecocokan'!$C$89,P548="Sedang",'B.kriteria &amp; R.kecocokan'!$C$88,P548="Sangat Sedikit",'B.kriteria &amp; R.kecocokan'!$C$90)</f>
        <v>5</v>
      </c>
      <c r="R548" s="8" t="str">
        <f>'B.kriteria &amp; R.kecocokan'!$B$49</f>
        <v>Rendah</v>
      </c>
      <c r="S548" s="8">
        <f>_xlfn.IFS(R548="Rendah",'B.kriteria &amp; R.kecocokan'!$C$49,R548="Sedang",'B.kriteria &amp; R.kecocokan'!$C$50,R548="Tinggi",'B.kriteria &amp; R.kecocokan'!$C$51)</f>
        <v>2.5</v>
      </c>
      <c r="T548" s="8" t="str">
        <f>'B.kriteria &amp; R.kecocokan'!$B$57</f>
        <v>Rendah</v>
      </c>
      <c r="U548" s="51">
        <f>_xlfn.IFS(T548="Rendah",'B.kriteria &amp; R.kecocokan'!$C$57,T548="Sedang",'B.kriteria &amp; R.kecocokan'!$C$58,T548="Tinggi",'B.kriteria &amp; R.kecocokan'!$C$59)</f>
        <v>2.5</v>
      </c>
      <c r="V548" s="51" t="str">
        <f>'B.kriteria &amp; R.kecocokan'!$B$65</f>
        <v>Rendah</v>
      </c>
      <c r="W548" s="9">
        <f>_xlfn.IFS(V548="Rendah",'B.kriteria &amp; R.kecocokan'!$C$65,V548="Sedang",'B.kriteria &amp; R.kecocokan'!$C$66,V548="Tinggi",'B.kriteria &amp; R.kecocokan'!$C$67)</f>
        <v>1</v>
      </c>
      <c r="X548" s="117">
        <f t="shared" si="54"/>
        <v>7.5292366433877591</v>
      </c>
      <c r="Y548" s="117">
        <f t="shared" si="55"/>
        <v>3.6267372582661492</v>
      </c>
      <c r="Z548" s="119">
        <f t="shared" si="56"/>
        <v>3.6267372582661492</v>
      </c>
      <c r="AA548" s="55" t="str">
        <f t="shared" si="57"/>
        <v>Tidak Layak</v>
      </c>
    </row>
    <row r="549" spans="1:27" x14ac:dyDescent="0.35">
      <c r="A549" s="5">
        <v>16</v>
      </c>
      <c r="B549" s="2" t="s">
        <v>49</v>
      </c>
      <c r="C549" s="11" t="s">
        <v>13</v>
      </c>
      <c r="D549" s="32" t="str">
        <f>'B.kriteria &amp; R.kecocokan'!$B$24</f>
        <v>Cukup</v>
      </c>
      <c r="E549" s="111">
        <f>_xlfn.IFS(D549="Banyak",'B.kriteria &amp; R.kecocokan'!$C$23,D549="Cukup",'B.kriteria &amp; R.kecocokan'!$C$24,D549="Sedikit",'B.kriteria &amp; R.kecocokan'!$C$25)</f>
        <v>5</v>
      </c>
      <c r="F549" s="9" t="str">
        <f>'B.kriteria &amp; R.kecocokan'!$B$34</f>
        <v>Tinggi</v>
      </c>
      <c r="G549" s="8">
        <f>_xlfn.IFS(F549="Tinggi",'B.kriteria &amp; R.kecocokan'!$C$34,F549="Sangat Tinggi",'B.kriteria &amp; R.kecocokan'!$C$35)</f>
        <v>7.5</v>
      </c>
      <c r="H549" s="8" t="str">
        <f>'B.kriteria &amp; R.kecocokan'!$B$41</f>
        <v>Rendah</v>
      </c>
      <c r="I549" s="8">
        <f>_xlfn.IFS(H549="Rendah",'B.kriteria &amp; R.kecocokan'!$C$41,H549="Sedang",'B.kriteria &amp; R.kecocokan'!$C$42,H549="Tinggi",'B.kriteria &amp; R.kecocokan'!$C$43)</f>
        <v>2.5</v>
      </c>
      <c r="J549" s="8" t="str">
        <f>'B.kriteria &amp; R.kecocokan'!$B$72</f>
        <v>Rendah</v>
      </c>
      <c r="K549" s="8">
        <f>_xlfn.IFS(J549="Rendah",'B.kriteria &amp; R.kecocokan'!$C$72,J549="Sedang",'B.kriteria &amp; R.kecocokan'!$C$73,J549="Tinggi",'B.kriteria &amp; R.kecocokan'!$C$74)</f>
        <v>2.5</v>
      </c>
      <c r="L549" s="8" t="str">
        <f>'B.kriteria &amp; R.kecocokan'!$B$95</f>
        <v>Rendah</v>
      </c>
      <c r="M549" s="8">
        <f>_xlfn.IFS(L549="Rendah",'B.kriteria &amp; R.kecocokan'!$C$95,L549="Tinggi",'B.kriteria &amp; R.kecocokan'!$C$96)</f>
        <v>2.5</v>
      </c>
      <c r="N549" s="9" t="str">
        <f>'B.kriteria &amp; R.kecocokan'!$B$81</f>
        <v>Tinggi</v>
      </c>
      <c r="O549" s="8">
        <f>_xlfn.IFS(N549="Rendah",'B.kriteria &amp; R.kecocokan'!$C$80,N549="Tinggi",'B.kriteria &amp; R.kecocokan'!$C$81)</f>
        <v>7.5</v>
      </c>
      <c r="P549" s="9" t="str">
        <f>'B.kriteria &amp; R.kecocokan'!$B$90</f>
        <v>Sangat Sedikit</v>
      </c>
      <c r="Q549" s="8">
        <f>_xlfn.IFS(P549="Sedikit",'B.kriteria &amp; R.kecocokan'!$C$89,P549="Sedang",'B.kriteria &amp; R.kecocokan'!$C$88,P549="Sangat Sedikit",'B.kriteria &amp; R.kecocokan'!$C$90)</f>
        <v>1</v>
      </c>
      <c r="R549" s="8" t="str">
        <f>'B.kriteria &amp; R.kecocokan'!$B$49</f>
        <v>Rendah</v>
      </c>
      <c r="S549" s="8">
        <f>_xlfn.IFS(R549="Rendah",'B.kriteria &amp; R.kecocokan'!$C$49,R549="Sedang",'B.kriteria &amp; R.kecocokan'!$C$50,R549="Tinggi",'B.kriteria &amp; R.kecocokan'!$C$51)</f>
        <v>2.5</v>
      </c>
      <c r="T549" s="8" t="str">
        <f>'B.kriteria &amp; R.kecocokan'!$B$57</f>
        <v>Rendah</v>
      </c>
      <c r="U549" s="51">
        <f>_xlfn.IFS(T549="Rendah",'B.kriteria &amp; R.kecocokan'!$C$57,T549="Sedang",'B.kriteria &amp; R.kecocokan'!$C$58,T549="Tinggi",'B.kriteria &amp; R.kecocokan'!$C$59)</f>
        <v>2.5</v>
      </c>
      <c r="V549" s="51" t="str">
        <f>'B.kriteria &amp; R.kecocokan'!$B$65</f>
        <v>Rendah</v>
      </c>
      <c r="W549" s="9">
        <f>_xlfn.IFS(V549="Rendah",'B.kriteria &amp; R.kecocokan'!$C$65,V549="Sedang",'B.kriteria &amp; R.kecocokan'!$C$66,V549="Tinggi",'B.kriteria &amp; R.kecocokan'!$C$67)</f>
        <v>1</v>
      </c>
      <c r="X549" s="117">
        <f t="shared" si="54"/>
        <v>1.8078583463739675</v>
      </c>
      <c r="Y549" s="117">
        <f t="shared" si="55"/>
        <v>5.6535222693102378</v>
      </c>
      <c r="Z549" s="119">
        <f t="shared" si="56"/>
        <v>1.8078583463739675</v>
      </c>
      <c r="AA549" s="55" t="str">
        <f t="shared" si="57"/>
        <v>Layak</v>
      </c>
    </row>
    <row r="550" spans="1:27" x14ac:dyDescent="0.35">
      <c r="A550" s="1">
        <v>17</v>
      </c>
      <c r="B550" s="2" t="s">
        <v>257</v>
      </c>
      <c r="C550" s="11" t="s">
        <v>13</v>
      </c>
      <c r="D550" s="32" t="str">
        <f>'B.kriteria &amp; R.kecocokan'!$B$24</f>
        <v>Cukup</v>
      </c>
      <c r="E550" s="111">
        <f>_xlfn.IFS(D550="Banyak",'B.kriteria &amp; R.kecocokan'!$C$23,D550="Cukup",'B.kriteria &amp; R.kecocokan'!$C$24,D550="Sedikit",'B.kriteria &amp; R.kecocokan'!$C$25)</f>
        <v>5</v>
      </c>
      <c r="F550" s="9" t="str">
        <f>'B.kriteria &amp; R.kecocokan'!$B$35</f>
        <v>Sangat Tinggi</v>
      </c>
      <c r="G550" s="8">
        <f>_xlfn.IFS(F550="Tinggi",'B.kriteria &amp; R.kecocokan'!$C$34,F550="Sangat Tinggi",'B.kriteria &amp; R.kecocokan'!$C$35)</f>
        <v>10</v>
      </c>
      <c r="H550" s="8" t="str">
        <f>'B.kriteria &amp; R.kecocokan'!$B$41</f>
        <v>Rendah</v>
      </c>
      <c r="I550" s="8">
        <f>_xlfn.IFS(H550="Rendah",'B.kriteria &amp; R.kecocokan'!$C$41,H550="Sedang",'B.kriteria &amp; R.kecocokan'!$C$42,H550="Tinggi",'B.kriteria &amp; R.kecocokan'!$C$43)</f>
        <v>2.5</v>
      </c>
      <c r="J550" s="8" t="str">
        <f>'B.kriteria &amp; R.kecocokan'!$B$72</f>
        <v>Rendah</v>
      </c>
      <c r="K550" s="8">
        <f>_xlfn.IFS(J550="Rendah",'B.kriteria &amp; R.kecocokan'!$C$72,J550="Sedang",'B.kriteria &amp; R.kecocokan'!$C$73,J550="Tinggi",'B.kriteria &amp; R.kecocokan'!$C$74)</f>
        <v>2.5</v>
      </c>
      <c r="L550" s="8" t="str">
        <f>'B.kriteria &amp; R.kecocokan'!$B$95</f>
        <v>Rendah</v>
      </c>
      <c r="M550" s="8">
        <f>_xlfn.IFS(L550="Rendah",'B.kriteria &amp; R.kecocokan'!$C$95,L550="Tinggi",'B.kriteria &amp; R.kecocokan'!$C$96)</f>
        <v>2.5</v>
      </c>
      <c r="N550" s="8" t="str">
        <f>'B.kriteria &amp; R.kecocokan'!$B$80</f>
        <v>Rendah</v>
      </c>
      <c r="O550" s="8">
        <f>_xlfn.IFS(N550="Rendah",'B.kriteria &amp; R.kecocokan'!$C$80,N550="Tinggi",'B.kriteria &amp; R.kecocokan'!$C$81)</f>
        <v>2.5</v>
      </c>
      <c r="P550" s="9" t="str">
        <f>'B.kriteria &amp; R.kecocokan'!$B$88</f>
        <v>Sedang</v>
      </c>
      <c r="Q550" s="8">
        <f>_xlfn.IFS(P550="Sedikit",'B.kriteria &amp; R.kecocokan'!$C$89,P550="Sedang",'B.kriteria &amp; R.kecocokan'!$C$88,P550="Sangat Sedikit",'B.kriteria &amp; R.kecocokan'!$C$90)</f>
        <v>5</v>
      </c>
      <c r="R550" s="9" t="str">
        <f>'B.kriteria &amp; R.kecocokan'!$B$51</f>
        <v>Tinggi</v>
      </c>
      <c r="S550" s="8">
        <f>_xlfn.IFS(R550="Rendah",'B.kriteria &amp; R.kecocokan'!$C$49,R550="Sedang",'B.kriteria &amp; R.kecocokan'!$C$50,R550="Tinggi",'B.kriteria &amp; R.kecocokan'!$C$51)</f>
        <v>7.5</v>
      </c>
      <c r="T550" s="9" t="str">
        <f>'B.kriteria &amp; R.kecocokan'!$B$58</f>
        <v>Sedang</v>
      </c>
      <c r="U550" s="51">
        <f>_xlfn.IFS(T550="Rendah",'B.kriteria &amp; R.kecocokan'!$C$57,T550="Sedang",'B.kriteria &amp; R.kecocokan'!$C$58,T550="Tinggi",'B.kriteria &amp; R.kecocokan'!$C$59)</f>
        <v>5</v>
      </c>
      <c r="V550" s="51" t="str">
        <f>'B.kriteria &amp; R.kecocokan'!$B$65</f>
        <v>Rendah</v>
      </c>
      <c r="W550" s="9">
        <f>_xlfn.IFS(V550="Rendah",'B.kriteria &amp; R.kecocokan'!$C$65,V550="Sedang",'B.kriteria &amp; R.kecocokan'!$C$66,V550="Tinggi",'B.kriteria &amp; R.kecocokan'!$C$67)</f>
        <v>1</v>
      </c>
      <c r="X550" s="117">
        <f t="shared" si="54"/>
        <v>8.0159337513365951</v>
      </c>
      <c r="Y550" s="117">
        <f t="shared" si="55"/>
        <v>5.8362928344615099</v>
      </c>
      <c r="Z550" s="119">
        <f t="shared" si="56"/>
        <v>5.8362928344615099</v>
      </c>
      <c r="AA550" s="55" t="str">
        <f t="shared" si="57"/>
        <v>Tidak Layak</v>
      </c>
    </row>
    <row r="551" spans="1:27" x14ac:dyDescent="0.35">
      <c r="A551" s="5">
        <v>18</v>
      </c>
      <c r="B551" s="2" t="s">
        <v>52</v>
      </c>
      <c r="C551" s="11" t="s">
        <v>13</v>
      </c>
      <c r="D551" s="32" t="str">
        <f>'B.kriteria &amp; R.kecocokan'!$B$24</f>
        <v>Cukup</v>
      </c>
      <c r="E551" s="111">
        <f>_xlfn.IFS(D551="Banyak",'B.kriteria &amp; R.kecocokan'!$C$23,D551="Cukup",'B.kriteria &amp; R.kecocokan'!$C$24,D551="Sedikit",'B.kriteria &amp; R.kecocokan'!$C$25)</f>
        <v>5</v>
      </c>
      <c r="F551" s="9" t="str">
        <f>'B.kriteria &amp; R.kecocokan'!$B$35</f>
        <v>Sangat Tinggi</v>
      </c>
      <c r="G551" s="8">
        <f>_xlfn.IFS(F551="Tinggi",'B.kriteria &amp; R.kecocokan'!$C$34,F551="Sangat Tinggi",'B.kriteria &amp; R.kecocokan'!$C$35)</f>
        <v>10</v>
      </c>
      <c r="H551" s="8" t="str">
        <f>'B.kriteria &amp; R.kecocokan'!$B$41</f>
        <v>Rendah</v>
      </c>
      <c r="I551" s="8">
        <f>_xlfn.IFS(H551="Rendah",'B.kriteria &amp; R.kecocokan'!$C$41,H551="Sedang",'B.kriteria &amp; R.kecocokan'!$C$42,H551="Tinggi",'B.kriteria &amp; R.kecocokan'!$C$43)</f>
        <v>2.5</v>
      </c>
      <c r="J551" s="8" t="str">
        <f>'B.kriteria &amp; R.kecocokan'!$B$72</f>
        <v>Rendah</v>
      </c>
      <c r="K551" s="8">
        <f>_xlfn.IFS(J551="Rendah",'B.kriteria &amp; R.kecocokan'!$C$72,J551="Sedang",'B.kriteria &amp; R.kecocokan'!$C$73,J551="Tinggi",'B.kriteria &amp; R.kecocokan'!$C$74)</f>
        <v>2.5</v>
      </c>
      <c r="L551" s="8" t="str">
        <f>'B.kriteria &amp; R.kecocokan'!$B$95</f>
        <v>Rendah</v>
      </c>
      <c r="M551" s="8">
        <f>_xlfn.IFS(L551="Rendah",'B.kriteria &amp; R.kecocokan'!$C$95,L551="Tinggi",'B.kriteria &amp; R.kecocokan'!$C$96)</f>
        <v>2.5</v>
      </c>
      <c r="N551" s="8" t="str">
        <f>'B.kriteria &amp; R.kecocokan'!$B$80</f>
        <v>Rendah</v>
      </c>
      <c r="O551" s="8">
        <f>_xlfn.IFS(N551="Rendah",'B.kriteria &amp; R.kecocokan'!$C$80,N551="Tinggi",'B.kriteria &amp; R.kecocokan'!$C$81)</f>
        <v>2.5</v>
      </c>
      <c r="P551" s="9" t="str">
        <f>'B.kriteria &amp; R.kecocokan'!$B$88</f>
        <v>Sedang</v>
      </c>
      <c r="Q551" s="8">
        <f>_xlfn.IFS(P551="Sedikit",'B.kriteria &amp; R.kecocokan'!$C$89,P551="Sedang",'B.kriteria &amp; R.kecocokan'!$C$88,P551="Sangat Sedikit",'B.kriteria &amp; R.kecocokan'!$C$90)</f>
        <v>5</v>
      </c>
      <c r="R551" s="9" t="str">
        <f>'B.kriteria &amp; R.kecocokan'!$B$50</f>
        <v>Sedang</v>
      </c>
      <c r="S551" s="8">
        <f>_xlfn.IFS(R551="Rendah",'B.kriteria &amp; R.kecocokan'!$C$49,R551="Sedang",'B.kriteria &amp; R.kecocokan'!$C$50,R551="Tinggi",'B.kriteria &amp; R.kecocokan'!$C$51)</f>
        <v>5</v>
      </c>
      <c r="T551" s="9" t="str">
        <f>'B.kriteria &amp; R.kecocokan'!$B$58</f>
        <v>Sedang</v>
      </c>
      <c r="U551" s="51">
        <f>_xlfn.IFS(T551="Rendah",'B.kriteria &amp; R.kecocokan'!$C$57,T551="Sedang",'B.kriteria &amp; R.kecocokan'!$C$58,T551="Tinggi",'B.kriteria &amp; R.kecocokan'!$C$59)</f>
        <v>5</v>
      </c>
      <c r="V551" s="51" t="str">
        <f>'B.kriteria &amp; R.kecocokan'!$B$65</f>
        <v>Rendah</v>
      </c>
      <c r="W551" s="9">
        <f>_xlfn.IFS(V551="Rendah",'B.kriteria &amp; R.kecocokan'!$C$65,V551="Sedang",'B.kriteria &amp; R.kecocokan'!$C$66,V551="Tinggi",'B.kriteria &amp; R.kecocokan'!$C$67)</f>
        <v>1</v>
      </c>
      <c r="X551" s="117">
        <f t="shared" si="54"/>
        <v>6.9853180020688894</v>
      </c>
      <c r="Y551" s="117">
        <f t="shared" si="55"/>
        <v>4.0836197684435724</v>
      </c>
      <c r="Z551" s="119">
        <f t="shared" si="56"/>
        <v>4.0836197684435724</v>
      </c>
      <c r="AA551" s="55" t="str">
        <f t="shared" si="57"/>
        <v>Tidak Layak</v>
      </c>
    </row>
    <row r="552" spans="1:27" x14ac:dyDescent="0.35">
      <c r="A552" s="5">
        <v>19</v>
      </c>
      <c r="B552" s="2" t="s">
        <v>55</v>
      </c>
      <c r="C552" s="11" t="s">
        <v>13</v>
      </c>
      <c r="D552" s="9" t="str">
        <f>'B.kriteria &amp; R.kecocokan'!$B$25</f>
        <v>Sedikit</v>
      </c>
      <c r="E552" s="111">
        <f>_xlfn.IFS(D552="Banyak",'B.kriteria &amp; R.kecocokan'!$C$23,D552="Cukup",'B.kriteria &amp; R.kecocokan'!$C$24,D552="Sedikit",'B.kriteria &amp; R.kecocokan'!$C$25)</f>
        <v>7.5</v>
      </c>
      <c r="F552" s="9" t="str">
        <f>'B.kriteria &amp; R.kecocokan'!$B$34</f>
        <v>Tinggi</v>
      </c>
      <c r="G552" s="8">
        <f>_xlfn.IFS(F552="Tinggi",'B.kriteria &amp; R.kecocokan'!$C$34,F552="Sangat Tinggi",'B.kriteria &amp; R.kecocokan'!$C$35)</f>
        <v>7.5</v>
      </c>
      <c r="H552" s="8" t="str">
        <f>'B.kriteria &amp; R.kecocokan'!$B$41</f>
        <v>Rendah</v>
      </c>
      <c r="I552" s="8">
        <f>_xlfn.IFS(H552="Rendah",'B.kriteria &amp; R.kecocokan'!$C$41,H552="Sedang",'B.kriteria &amp; R.kecocokan'!$C$42,H552="Tinggi",'B.kriteria &amp; R.kecocokan'!$C$43)</f>
        <v>2.5</v>
      </c>
      <c r="J552" s="8" t="str">
        <f>'B.kriteria &amp; R.kecocokan'!$B$72</f>
        <v>Rendah</v>
      </c>
      <c r="K552" s="8">
        <f>_xlfn.IFS(J552="Rendah",'B.kriteria &amp; R.kecocokan'!$C$72,J552="Sedang",'B.kriteria &amp; R.kecocokan'!$C$73,J552="Tinggi",'B.kriteria &amp; R.kecocokan'!$C$74)</f>
        <v>2.5</v>
      </c>
      <c r="L552" s="8" t="str">
        <f>'B.kriteria &amp; R.kecocokan'!$B$95</f>
        <v>Rendah</v>
      </c>
      <c r="M552" s="8">
        <f>_xlfn.IFS(L552="Rendah",'B.kriteria &amp; R.kecocokan'!$C$95,L552="Tinggi",'B.kriteria &amp; R.kecocokan'!$C$96)</f>
        <v>2.5</v>
      </c>
      <c r="N552" s="9" t="str">
        <f>'B.kriteria &amp; R.kecocokan'!$B$81</f>
        <v>Tinggi</v>
      </c>
      <c r="O552" s="8">
        <f>_xlfn.IFS(N552="Rendah",'B.kriteria &amp; R.kecocokan'!$C$80,N552="Tinggi",'B.kriteria &amp; R.kecocokan'!$C$81)</f>
        <v>7.5</v>
      </c>
      <c r="P552" s="9" t="str">
        <f>'B.kriteria &amp; R.kecocokan'!$B$90</f>
        <v>Sangat Sedikit</v>
      </c>
      <c r="Q552" s="8">
        <f>_xlfn.IFS(P552="Sedikit",'B.kriteria &amp; R.kecocokan'!$C$89,P552="Sedang",'B.kriteria &amp; R.kecocokan'!$C$88,P552="Sangat Sedikit",'B.kriteria &amp; R.kecocokan'!$C$90)</f>
        <v>1</v>
      </c>
      <c r="R552" s="8" t="str">
        <f>'B.kriteria &amp; R.kecocokan'!$B$49</f>
        <v>Rendah</v>
      </c>
      <c r="S552" s="8">
        <f>_xlfn.IFS(R552="Rendah",'B.kriteria &amp; R.kecocokan'!$C$49,R552="Sedang",'B.kriteria &amp; R.kecocokan'!$C$50,R552="Tinggi",'B.kriteria &amp; R.kecocokan'!$C$51)</f>
        <v>2.5</v>
      </c>
      <c r="T552" s="9" t="str">
        <f>'B.kriteria &amp; R.kecocokan'!$B$58</f>
        <v>Sedang</v>
      </c>
      <c r="U552" s="51">
        <f>_xlfn.IFS(T552="Rendah",'B.kriteria &amp; R.kecocokan'!$C$57,T552="Sedang",'B.kriteria &amp; R.kecocokan'!$C$58,T552="Tinggi",'B.kriteria &amp; R.kecocokan'!$C$59)</f>
        <v>5</v>
      </c>
      <c r="V552" s="51" t="str">
        <f>'B.kriteria &amp; R.kecocokan'!$B$65</f>
        <v>Rendah</v>
      </c>
      <c r="W552" s="9">
        <f>_xlfn.IFS(V552="Rendah",'B.kriteria &amp; R.kecocokan'!$C$65,V552="Sedang",'B.kriteria &amp; R.kecocokan'!$C$66,V552="Tinggi",'B.kriteria &amp; R.kecocokan'!$C$67)</f>
        <v>1</v>
      </c>
      <c r="X552" s="117">
        <f t="shared" si="54"/>
        <v>2.2165488135069982</v>
      </c>
      <c r="Y552" s="117">
        <f t="shared" si="55"/>
        <v>6.5649583156293092</v>
      </c>
      <c r="Z552" s="119">
        <f t="shared" si="56"/>
        <v>2.2165488135069982</v>
      </c>
      <c r="AA552" s="55" t="str">
        <f t="shared" si="57"/>
        <v>Layak</v>
      </c>
    </row>
    <row r="553" spans="1:27" x14ac:dyDescent="0.35">
      <c r="A553" s="1">
        <v>20</v>
      </c>
      <c r="B553" s="2" t="s">
        <v>56</v>
      </c>
      <c r="C553" s="11" t="s">
        <v>13</v>
      </c>
      <c r="D553" s="32" t="str">
        <f>'B.kriteria &amp; R.kecocokan'!$B$24</f>
        <v>Cukup</v>
      </c>
      <c r="E553" s="111">
        <f>_xlfn.IFS(D553="Banyak",'B.kriteria &amp; R.kecocokan'!$C$23,D553="Cukup",'B.kriteria &amp; R.kecocokan'!$C$24,D553="Sedikit",'B.kriteria &amp; R.kecocokan'!$C$25)</f>
        <v>5</v>
      </c>
      <c r="F553" s="9" t="str">
        <f>'B.kriteria &amp; R.kecocokan'!$B$34</f>
        <v>Tinggi</v>
      </c>
      <c r="G553" s="8">
        <f>_xlfn.IFS(F553="Tinggi",'B.kriteria &amp; R.kecocokan'!$C$34,F553="Sangat Tinggi",'B.kriteria &amp; R.kecocokan'!$C$35)</f>
        <v>7.5</v>
      </c>
      <c r="H553" s="8" t="str">
        <f>'B.kriteria &amp; R.kecocokan'!$B$41</f>
        <v>Rendah</v>
      </c>
      <c r="I553" s="8">
        <f>_xlfn.IFS(H553="Rendah",'B.kriteria &amp; R.kecocokan'!$C$41,H553="Sedang",'B.kriteria &amp; R.kecocokan'!$C$42,H553="Tinggi",'B.kriteria &amp; R.kecocokan'!$C$43)</f>
        <v>2.5</v>
      </c>
      <c r="J553" s="8" t="str">
        <f>'B.kriteria &amp; R.kecocokan'!$B$72</f>
        <v>Rendah</v>
      </c>
      <c r="K553" s="8">
        <f>_xlfn.IFS(J553="Rendah",'B.kriteria &amp; R.kecocokan'!$C$72,J553="Sedang",'B.kriteria &amp; R.kecocokan'!$C$73,J553="Tinggi",'B.kriteria &amp; R.kecocokan'!$C$74)</f>
        <v>2.5</v>
      </c>
      <c r="L553" s="8" t="str">
        <f>'B.kriteria &amp; R.kecocokan'!$B$95</f>
        <v>Rendah</v>
      </c>
      <c r="M553" s="8">
        <f>_xlfn.IFS(L553="Rendah",'B.kriteria &amp; R.kecocokan'!$C$95,L553="Tinggi",'B.kriteria &amp; R.kecocokan'!$C$96)</f>
        <v>2.5</v>
      </c>
      <c r="N553" s="8" t="str">
        <f>'B.kriteria &amp; R.kecocokan'!$B$80</f>
        <v>Rendah</v>
      </c>
      <c r="O553" s="8">
        <f>_xlfn.IFS(N553="Rendah",'B.kriteria &amp; R.kecocokan'!$C$80,N553="Tinggi",'B.kriteria &amp; R.kecocokan'!$C$81)</f>
        <v>2.5</v>
      </c>
      <c r="P553" s="8" t="str">
        <f>'B.kriteria &amp; R.kecocokan'!$B$89</f>
        <v>Sedikit</v>
      </c>
      <c r="Q553" s="8">
        <f>_xlfn.IFS(P553="Sedikit",'B.kriteria &amp; R.kecocokan'!$C$89,P553="Sedang",'B.kriteria &amp; R.kecocokan'!$C$88,P553="Sangat Sedikit",'B.kriteria &amp; R.kecocokan'!$C$90)</f>
        <v>2.5</v>
      </c>
      <c r="R553" s="8" t="str">
        <f>'B.kriteria &amp; R.kecocokan'!$B$49</f>
        <v>Rendah</v>
      </c>
      <c r="S553" s="8">
        <f>_xlfn.IFS(R553="Rendah",'B.kriteria &amp; R.kecocokan'!$C$49,R553="Sedang",'B.kriteria &amp; R.kecocokan'!$C$50,R553="Tinggi",'B.kriteria &amp; R.kecocokan'!$C$51)</f>
        <v>2.5</v>
      </c>
      <c r="T553" s="9" t="str">
        <f>'B.kriteria &amp; R.kecocokan'!$B$58</f>
        <v>Sedang</v>
      </c>
      <c r="U553" s="51">
        <f>_xlfn.IFS(T553="Rendah",'B.kriteria &amp; R.kecocokan'!$C$57,T553="Sedang",'B.kriteria &amp; R.kecocokan'!$C$58,T553="Tinggi",'B.kriteria &amp; R.kecocokan'!$C$59)</f>
        <v>5</v>
      </c>
      <c r="V553" s="51" t="str">
        <f>'B.kriteria &amp; R.kecocokan'!$B$65</f>
        <v>Rendah</v>
      </c>
      <c r="W553" s="9">
        <f>_xlfn.IFS(V553="Rendah",'B.kriteria &amp; R.kecocokan'!$C$65,V553="Sedang",'B.kriteria &amp; R.kecocokan'!$C$66,V553="Tinggi",'B.kriteria &amp; R.kecocokan'!$C$67)</f>
        <v>1</v>
      </c>
      <c r="X553" s="117">
        <f t="shared" si="54"/>
        <v>5.499275953348798</v>
      </c>
      <c r="Y553" s="117">
        <f t="shared" si="55"/>
        <v>2.4061560167328104</v>
      </c>
      <c r="Z553" s="119">
        <f t="shared" si="56"/>
        <v>2.4061560167328104</v>
      </c>
      <c r="AA553" s="55" t="str">
        <f t="shared" si="57"/>
        <v>Tidak Layak</v>
      </c>
    </row>
    <row r="554" spans="1:27" x14ac:dyDescent="0.35">
      <c r="A554" s="5">
        <v>21</v>
      </c>
      <c r="B554" s="2" t="s">
        <v>57</v>
      </c>
      <c r="C554" s="11" t="s">
        <v>13</v>
      </c>
      <c r="D554" s="9" t="str">
        <f>'B.kriteria &amp; R.kecocokan'!$B$25</f>
        <v>Sedikit</v>
      </c>
      <c r="E554" s="111">
        <f>_xlfn.IFS(D554="Banyak",'B.kriteria &amp; R.kecocokan'!$C$23,D554="Cukup",'B.kriteria &amp; R.kecocokan'!$C$24,D554="Sedikit",'B.kriteria &amp; R.kecocokan'!$C$25)</f>
        <v>7.5</v>
      </c>
      <c r="F554" s="9" t="str">
        <f>'B.kriteria &amp; R.kecocokan'!$B$35</f>
        <v>Sangat Tinggi</v>
      </c>
      <c r="G554" s="8">
        <f>_xlfn.IFS(F554="Tinggi",'B.kriteria &amp; R.kecocokan'!$C$34,F554="Sangat Tinggi",'B.kriteria &amp; R.kecocokan'!$C$35)</f>
        <v>10</v>
      </c>
      <c r="H554" s="8" t="str">
        <f>'B.kriteria &amp; R.kecocokan'!$B$41</f>
        <v>Rendah</v>
      </c>
      <c r="I554" s="8">
        <f>_xlfn.IFS(H554="Rendah",'B.kriteria &amp; R.kecocokan'!$C$41,H554="Sedang",'B.kriteria &amp; R.kecocokan'!$C$42,H554="Tinggi",'B.kriteria &amp; R.kecocokan'!$C$43)</f>
        <v>2.5</v>
      </c>
      <c r="J554" s="8" t="str">
        <f>'B.kriteria &amp; R.kecocokan'!$B$72</f>
        <v>Rendah</v>
      </c>
      <c r="K554" s="8">
        <f>_xlfn.IFS(J554="Rendah",'B.kriteria &amp; R.kecocokan'!$C$72,J554="Sedang",'B.kriteria &amp; R.kecocokan'!$C$73,J554="Tinggi",'B.kriteria &amp; R.kecocokan'!$C$74)</f>
        <v>2.5</v>
      </c>
      <c r="L554" s="8" t="str">
        <f>'B.kriteria &amp; R.kecocokan'!$B$95</f>
        <v>Rendah</v>
      </c>
      <c r="M554" s="8">
        <f>_xlfn.IFS(L554="Rendah",'B.kriteria &amp; R.kecocokan'!$C$95,L554="Tinggi",'B.kriteria &amp; R.kecocokan'!$C$96)</f>
        <v>2.5</v>
      </c>
      <c r="N554" s="9" t="str">
        <f>'B.kriteria &amp; R.kecocokan'!$B$81</f>
        <v>Tinggi</v>
      </c>
      <c r="O554" s="8">
        <f>_xlfn.IFS(N554="Rendah",'B.kriteria &amp; R.kecocokan'!$C$80,N554="Tinggi",'B.kriteria &amp; R.kecocokan'!$C$81)</f>
        <v>7.5</v>
      </c>
      <c r="P554" s="9" t="str">
        <f>'B.kriteria &amp; R.kecocokan'!$B$90</f>
        <v>Sangat Sedikit</v>
      </c>
      <c r="Q554" s="8">
        <f>_xlfn.IFS(P554="Sedikit",'B.kriteria &amp; R.kecocokan'!$C$89,P554="Sedang",'B.kriteria &amp; R.kecocokan'!$C$88,P554="Sangat Sedikit",'B.kriteria &amp; R.kecocokan'!$C$90)</f>
        <v>1</v>
      </c>
      <c r="R554" s="8" t="str">
        <f>'B.kriteria &amp; R.kecocokan'!$B$49</f>
        <v>Rendah</v>
      </c>
      <c r="S554" s="8">
        <f>_xlfn.IFS(R554="Rendah",'B.kriteria &amp; R.kecocokan'!$C$49,R554="Sedang",'B.kriteria &amp; R.kecocokan'!$C$50,R554="Tinggi",'B.kriteria &amp; R.kecocokan'!$C$51)</f>
        <v>2.5</v>
      </c>
      <c r="T554" s="9" t="str">
        <f>'B.kriteria &amp; R.kecocokan'!$B$58</f>
        <v>Sedang</v>
      </c>
      <c r="U554" s="51">
        <f>_xlfn.IFS(T554="Rendah",'B.kriteria &amp; R.kecocokan'!$C$57,T554="Sedang",'B.kriteria &amp; R.kecocokan'!$C$58,T554="Tinggi",'B.kriteria &amp; R.kecocokan'!$C$59)</f>
        <v>5</v>
      </c>
      <c r="V554" s="51" t="str">
        <f>'B.kriteria &amp; R.kecocokan'!$B$65</f>
        <v>Rendah</v>
      </c>
      <c r="W554" s="9">
        <f>_xlfn.IFS(V554="Rendah",'B.kriteria &amp; R.kecocokan'!$C$65,V554="Sedang",'B.kriteria &amp; R.kecocokan'!$C$66,V554="Tinggi",'B.kriteria &amp; R.kecocokan'!$C$67)</f>
        <v>1</v>
      </c>
      <c r="X554" s="117">
        <f t="shared" si="54"/>
        <v>2.9766519890158327</v>
      </c>
      <c r="Y554" s="117">
        <f t="shared" si="55"/>
        <v>6.8777338666522914</v>
      </c>
      <c r="Z554" s="119">
        <f t="shared" si="56"/>
        <v>2.9766519890158327</v>
      </c>
      <c r="AA554" s="55" t="str">
        <f t="shared" si="57"/>
        <v>Layak</v>
      </c>
    </row>
    <row r="555" spans="1:27" x14ac:dyDescent="0.35">
      <c r="A555" s="5">
        <v>22</v>
      </c>
      <c r="B555" s="2" t="s">
        <v>59</v>
      </c>
      <c r="C555" s="11" t="s">
        <v>13</v>
      </c>
      <c r="D555" s="9" t="str">
        <f>'B.kriteria &amp; R.kecocokan'!$B$23</f>
        <v>Banyak</v>
      </c>
      <c r="E555" s="111">
        <f>_xlfn.IFS(D555="Banyak",'B.kriteria &amp; R.kecocokan'!$C$23,D555="Cukup",'B.kriteria &amp; R.kecocokan'!$C$24,D555="Sedikit",'B.kriteria &amp; R.kecocokan'!$C$25)</f>
        <v>2.5</v>
      </c>
      <c r="F555" s="9" t="str">
        <f>'B.kriteria &amp; R.kecocokan'!$B$34</f>
        <v>Tinggi</v>
      </c>
      <c r="G555" s="8">
        <f>_xlfn.IFS(F555="Tinggi",'B.kriteria &amp; R.kecocokan'!$C$34,F555="Sangat Tinggi",'B.kriteria &amp; R.kecocokan'!$C$35)</f>
        <v>7.5</v>
      </c>
      <c r="H555" s="8" t="str">
        <f>'B.kriteria &amp; R.kecocokan'!$B$41</f>
        <v>Rendah</v>
      </c>
      <c r="I555" s="8">
        <f>_xlfn.IFS(H555="Rendah",'B.kriteria &amp; R.kecocokan'!$C$41,H555="Sedang",'B.kriteria &amp; R.kecocokan'!$C$42,H555="Tinggi",'B.kriteria &amp; R.kecocokan'!$C$43)</f>
        <v>2.5</v>
      </c>
      <c r="J555" s="8" t="str">
        <f>'B.kriteria &amp; R.kecocokan'!$B$72</f>
        <v>Rendah</v>
      </c>
      <c r="K555" s="8">
        <f>_xlfn.IFS(J555="Rendah",'B.kriteria &amp; R.kecocokan'!$C$72,J555="Sedang",'B.kriteria &amp; R.kecocokan'!$C$73,J555="Tinggi",'B.kriteria &amp; R.kecocokan'!$C$74)</f>
        <v>2.5</v>
      </c>
      <c r="L555" s="8" t="str">
        <f>'B.kriteria &amp; R.kecocokan'!$B$95</f>
        <v>Rendah</v>
      </c>
      <c r="M555" s="8">
        <f>_xlfn.IFS(L555="Rendah",'B.kriteria &amp; R.kecocokan'!$C$95,L555="Tinggi",'B.kriteria &amp; R.kecocokan'!$C$96)</f>
        <v>2.5</v>
      </c>
      <c r="N555" s="8" t="str">
        <f>'B.kriteria &amp; R.kecocokan'!$B$80</f>
        <v>Rendah</v>
      </c>
      <c r="O555" s="8">
        <f>_xlfn.IFS(N555="Rendah",'B.kriteria &amp; R.kecocokan'!$C$80,N555="Tinggi",'B.kriteria &amp; R.kecocokan'!$C$81)</f>
        <v>2.5</v>
      </c>
      <c r="P555" s="9" t="str">
        <f>'B.kriteria &amp; R.kecocokan'!$B$88</f>
        <v>Sedang</v>
      </c>
      <c r="Q555" s="8">
        <f>_xlfn.IFS(P555="Sedikit",'B.kriteria &amp; R.kecocokan'!$C$89,P555="Sedang",'B.kriteria &amp; R.kecocokan'!$C$88,P555="Sangat Sedikit",'B.kriteria &amp; R.kecocokan'!$C$90)</f>
        <v>5</v>
      </c>
      <c r="R555" s="8" t="str">
        <f>'B.kriteria &amp; R.kecocokan'!$B$49</f>
        <v>Rendah</v>
      </c>
      <c r="S555" s="8">
        <f>_xlfn.IFS(R555="Rendah",'B.kriteria &amp; R.kecocokan'!$C$49,R555="Sedang",'B.kriteria &amp; R.kecocokan'!$C$50,R555="Tinggi",'B.kriteria &amp; R.kecocokan'!$C$51)</f>
        <v>2.5</v>
      </c>
      <c r="T555" s="8" t="str">
        <f>'B.kriteria &amp; R.kecocokan'!$B$57</f>
        <v>Rendah</v>
      </c>
      <c r="U555" s="51">
        <f>_xlfn.IFS(T555="Rendah",'B.kriteria &amp; R.kecocokan'!$C$57,T555="Sedang",'B.kriteria &amp; R.kecocokan'!$C$58,T555="Tinggi",'B.kriteria &amp; R.kecocokan'!$C$59)</f>
        <v>2.5</v>
      </c>
      <c r="V555" s="51" t="str">
        <f>'B.kriteria &amp; R.kecocokan'!$B$65</f>
        <v>Rendah</v>
      </c>
      <c r="W555" s="9">
        <f>_xlfn.IFS(V555="Rendah",'B.kriteria &amp; R.kecocokan'!$C$65,V555="Sedang",'B.kriteria &amp; R.kecocokan'!$C$66,V555="Tinggi",'B.kriteria &amp; R.kecocokan'!$C$67)</f>
        <v>1</v>
      </c>
      <c r="X555" s="117">
        <f t="shared" si="54"/>
        <v>7.2623712388640893</v>
      </c>
      <c r="Y555" s="117">
        <f t="shared" si="55"/>
        <v>2.9914340517468223</v>
      </c>
      <c r="Z555" s="119">
        <f t="shared" si="56"/>
        <v>2.9914340517468223</v>
      </c>
      <c r="AA555" s="55" t="str">
        <f t="shared" si="57"/>
        <v>Tidak Layak</v>
      </c>
    </row>
    <row r="556" spans="1:27" x14ac:dyDescent="0.35">
      <c r="A556" s="1">
        <v>23</v>
      </c>
      <c r="B556" s="2" t="s">
        <v>61</v>
      </c>
      <c r="C556" s="11" t="s">
        <v>13</v>
      </c>
      <c r="D556" s="32" t="str">
        <f>'B.kriteria &amp; R.kecocokan'!$B$24</f>
        <v>Cukup</v>
      </c>
      <c r="E556" s="111">
        <f>_xlfn.IFS(D556="Banyak",'B.kriteria &amp; R.kecocokan'!$C$23,D556="Cukup",'B.kriteria &amp; R.kecocokan'!$C$24,D556="Sedikit",'B.kriteria &amp; R.kecocokan'!$C$25)</f>
        <v>5</v>
      </c>
      <c r="F556" s="9" t="str">
        <f>'B.kriteria &amp; R.kecocokan'!$B$34</f>
        <v>Tinggi</v>
      </c>
      <c r="G556" s="8">
        <f>_xlfn.IFS(F556="Tinggi",'B.kriteria &amp; R.kecocokan'!$C$34,F556="Sangat Tinggi",'B.kriteria &amp; R.kecocokan'!$C$35)</f>
        <v>7.5</v>
      </c>
      <c r="H556" s="8" t="str">
        <f>'B.kriteria &amp; R.kecocokan'!$B$41</f>
        <v>Rendah</v>
      </c>
      <c r="I556" s="8">
        <f>_xlfn.IFS(H556="Rendah",'B.kriteria &amp; R.kecocokan'!$C$41,H556="Sedang",'B.kriteria &amp; R.kecocokan'!$C$42,H556="Tinggi",'B.kriteria &amp; R.kecocokan'!$C$43)</f>
        <v>2.5</v>
      </c>
      <c r="J556" s="8" t="str">
        <f>'B.kriteria &amp; R.kecocokan'!$B$72</f>
        <v>Rendah</v>
      </c>
      <c r="K556" s="8">
        <f>_xlfn.IFS(J556="Rendah",'B.kriteria &amp; R.kecocokan'!$C$72,J556="Sedang",'B.kriteria &amp; R.kecocokan'!$C$73,J556="Tinggi",'B.kriteria &amp; R.kecocokan'!$C$74)</f>
        <v>2.5</v>
      </c>
      <c r="L556" s="8" t="str">
        <f>'B.kriteria &amp; R.kecocokan'!$B$95</f>
        <v>Rendah</v>
      </c>
      <c r="M556" s="8">
        <f>_xlfn.IFS(L556="Rendah",'B.kriteria &amp; R.kecocokan'!$C$95,L556="Tinggi",'B.kriteria &amp; R.kecocokan'!$C$96)</f>
        <v>2.5</v>
      </c>
      <c r="N556" s="8" t="str">
        <f>'B.kriteria &amp; R.kecocokan'!$B$80</f>
        <v>Rendah</v>
      </c>
      <c r="O556" s="8">
        <f>_xlfn.IFS(N556="Rendah",'B.kriteria &amp; R.kecocokan'!$C$80,N556="Tinggi",'B.kriteria &amp; R.kecocokan'!$C$81)</f>
        <v>2.5</v>
      </c>
      <c r="P556" s="9" t="str">
        <f>'B.kriteria &amp; R.kecocokan'!$B$88</f>
        <v>Sedang</v>
      </c>
      <c r="Q556" s="8">
        <f>_xlfn.IFS(P556="Sedikit",'B.kriteria &amp; R.kecocokan'!$C$89,P556="Sedang",'B.kriteria &amp; R.kecocokan'!$C$88,P556="Sangat Sedikit",'B.kriteria &amp; R.kecocokan'!$C$90)</f>
        <v>5</v>
      </c>
      <c r="R556" s="8" t="str">
        <f>'B.kriteria &amp; R.kecocokan'!$B$49</f>
        <v>Rendah</v>
      </c>
      <c r="S556" s="8">
        <f>_xlfn.IFS(R556="Rendah",'B.kriteria &amp; R.kecocokan'!$C$49,R556="Sedang",'B.kriteria &amp; R.kecocokan'!$C$50,R556="Tinggi",'B.kriteria &amp; R.kecocokan'!$C$51)</f>
        <v>2.5</v>
      </c>
      <c r="T556" s="8" t="str">
        <f>'B.kriteria &amp; R.kecocokan'!$B$57</f>
        <v>Rendah</v>
      </c>
      <c r="U556" s="51">
        <f>_xlfn.IFS(T556="Rendah",'B.kriteria &amp; R.kecocokan'!$C$57,T556="Sedang",'B.kriteria &amp; R.kecocokan'!$C$58,T556="Tinggi",'B.kriteria &amp; R.kecocokan'!$C$59)</f>
        <v>2.5</v>
      </c>
      <c r="V556" s="51" t="str">
        <f>'B.kriteria &amp; R.kecocokan'!$B$65</f>
        <v>Rendah</v>
      </c>
      <c r="W556" s="9">
        <f>_xlfn.IFS(V556="Rendah",'B.kriteria &amp; R.kecocokan'!$C$65,V556="Sedang",'B.kriteria &amp; R.kecocokan'!$C$66,V556="Tinggi",'B.kriteria &amp; R.kecocokan'!$C$67)</f>
        <v>1</v>
      </c>
      <c r="X556" s="117">
        <f t="shared" si="54"/>
        <v>6.3953053678399474</v>
      </c>
      <c r="Y556" s="117">
        <f t="shared" si="55"/>
        <v>1.9583261532017717</v>
      </c>
      <c r="Z556" s="119">
        <f t="shared" si="56"/>
        <v>1.9583261532017717</v>
      </c>
      <c r="AA556" s="55" t="str">
        <f t="shared" si="57"/>
        <v>Tidak Layak</v>
      </c>
    </row>
    <row r="557" spans="1:27" x14ac:dyDescent="0.35">
      <c r="A557" s="122">
        <v>24</v>
      </c>
      <c r="B557" s="88" t="s">
        <v>62</v>
      </c>
      <c r="C557" s="123" t="s">
        <v>13</v>
      </c>
      <c r="D557" s="124" t="str">
        <f>'B.kriteria &amp; R.kecocokan'!$B$24</f>
        <v>Cukup</v>
      </c>
      <c r="E557" s="125">
        <f>_xlfn.IFS(D557="Banyak",'B.kriteria &amp; R.kecocokan'!$C$23,D557="Cukup",'B.kriteria &amp; R.kecocokan'!$C$24,D557="Sedikit",'B.kriteria &amp; R.kecocokan'!$C$25)</f>
        <v>5</v>
      </c>
      <c r="F557" s="126" t="str">
        <f>'B.kriteria &amp; R.kecocokan'!$B$35</f>
        <v>Sangat Tinggi</v>
      </c>
      <c r="G557" s="127">
        <f>_xlfn.IFS(F557="Tinggi",'B.kriteria &amp; R.kecocokan'!$C$34,F557="Sangat Tinggi",'B.kriteria &amp; R.kecocokan'!$C$35)</f>
        <v>10</v>
      </c>
      <c r="H557" s="127" t="str">
        <f>'B.kriteria &amp; R.kecocokan'!$B$41</f>
        <v>Rendah</v>
      </c>
      <c r="I557" s="127">
        <f>_xlfn.IFS(H557="Rendah",'B.kriteria &amp; R.kecocokan'!$C$41,H557="Sedang",'B.kriteria &amp; R.kecocokan'!$C$42,H557="Tinggi",'B.kriteria &amp; R.kecocokan'!$C$43)</f>
        <v>2.5</v>
      </c>
      <c r="J557" s="127" t="str">
        <f>'B.kriteria &amp; R.kecocokan'!$B$72</f>
        <v>Rendah</v>
      </c>
      <c r="K557" s="127">
        <f>_xlfn.IFS(J557="Rendah",'B.kriteria &amp; R.kecocokan'!$C$72,J557="Sedang",'B.kriteria &amp; R.kecocokan'!$C$73,J557="Tinggi",'B.kriteria &amp; R.kecocokan'!$C$74)</f>
        <v>2.5</v>
      </c>
      <c r="L557" s="127" t="str">
        <f>'B.kriteria &amp; R.kecocokan'!$B$95</f>
        <v>Rendah</v>
      </c>
      <c r="M557" s="127">
        <f>_xlfn.IFS(L557="Rendah",'B.kriteria &amp; R.kecocokan'!$C$95,L557="Tinggi",'B.kriteria &amp; R.kecocokan'!$C$96)</f>
        <v>2.5</v>
      </c>
      <c r="N557" s="127" t="str">
        <f>'B.kriteria &amp; R.kecocokan'!$B$80</f>
        <v>Rendah</v>
      </c>
      <c r="O557" s="127">
        <f>_xlfn.IFS(N557="Rendah",'B.kriteria &amp; R.kecocokan'!$C$80,N557="Tinggi",'B.kriteria &amp; R.kecocokan'!$C$81)</f>
        <v>2.5</v>
      </c>
      <c r="P557" s="126" t="str">
        <f>'B.kriteria &amp; R.kecocokan'!$B$88</f>
        <v>Sedang</v>
      </c>
      <c r="Q557" s="127">
        <f>_xlfn.IFS(P557="Sedikit",'B.kriteria &amp; R.kecocokan'!$C$89,P557="Sedang",'B.kriteria &amp; R.kecocokan'!$C$88,P557="Sangat Sedikit",'B.kriteria &amp; R.kecocokan'!$C$90)</f>
        <v>5</v>
      </c>
      <c r="R557" s="127" t="str">
        <f>'B.kriteria &amp; R.kecocokan'!$B$49</f>
        <v>Rendah</v>
      </c>
      <c r="S557" s="127">
        <f>_xlfn.IFS(R557="Rendah",'B.kriteria &amp; R.kecocokan'!$C$49,R557="Sedang",'B.kriteria &amp; R.kecocokan'!$C$50,R557="Tinggi",'B.kriteria &amp; R.kecocokan'!$C$51)</f>
        <v>2.5</v>
      </c>
      <c r="T557" s="127" t="str">
        <f>'B.kriteria &amp; R.kecocokan'!$B$57</f>
        <v>Rendah</v>
      </c>
      <c r="U557" s="128">
        <f>_xlfn.IFS(T557="Rendah",'B.kriteria &amp; R.kecocokan'!$C$57,T557="Sedang",'B.kriteria &amp; R.kecocokan'!$C$58,T557="Tinggi",'B.kriteria &amp; R.kecocokan'!$C$59)</f>
        <v>2.5</v>
      </c>
      <c r="V557" s="128" t="str">
        <f>'B.kriteria &amp; R.kecocokan'!$B$65</f>
        <v>Rendah</v>
      </c>
      <c r="W557" s="126">
        <f>_xlfn.IFS(V557="Rendah",'B.kriteria &amp; R.kecocokan'!$C$65,V557="Sedang",'B.kriteria &amp; R.kecocokan'!$C$66,V557="Tinggi",'B.kriteria &amp; R.kecocokan'!$C$67)</f>
        <v>1</v>
      </c>
      <c r="X557" s="117">
        <f t="shared" si="54"/>
        <v>6.6968126126520122</v>
      </c>
      <c r="Y557" s="117">
        <f t="shared" si="55"/>
        <v>2.8354165085326533</v>
      </c>
      <c r="Z557" s="130">
        <f t="shared" si="56"/>
        <v>2.8354165085326533</v>
      </c>
      <c r="AA557" s="131" t="str">
        <f t="shared" si="57"/>
        <v>Tidak Layak</v>
      </c>
    </row>
    <row r="558" spans="1:27" x14ac:dyDescent="0.35">
      <c r="A558" s="5">
        <v>25</v>
      </c>
      <c r="B558" s="2" t="s">
        <v>64</v>
      </c>
      <c r="C558" s="11" t="s">
        <v>13</v>
      </c>
      <c r="D558" s="9" t="str">
        <f>'B.kriteria &amp; R.kecocokan'!$B$25</f>
        <v>Sedikit</v>
      </c>
      <c r="E558" s="111">
        <f>_xlfn.IFS(D558="Banyak",'B.kriteria &amp; R.kecocokan'!$C$23,D558="Cukup",'B.kriteria &amp; R.kecocokan'!$C$24,D558="Sedikit",'B.kriteria &amp; R.kecocokan'!$C$25)</f>
        <v>7.5</v>
      </c>
      <c r="F558" s="9" t="str">
        <f>'B.kriteria &amp; R.kecocokan'!$B$35</f>
        <v>Sangat Tinggi</v>
      </c>
      <c r="G558" s="8">
        <f>_xlfn.IFS(F558="Tinggi",'B.kriteria &amp; R.kecocokan'!$C$34,F558="Sangat Tinggi",'B.kriteria &amp; R.kecocokan'!$C$35)</f>
        <v>10</v>
      </c>
      <c r="H558" s="8" t="str">
        <f>'B.kriteria &amp; R.kecocokan'!$B$41</f>
        <v>Rendah</v>
      </c>
      <c r="I558" s="8">
        <f>_xlfn.IFS(H558="Rendah",'B.kriteria &amp; R.kecocokan'!$C$41,H558="Sedang",'B.kriteria &amp; R.kecocokan'!$C$42,H558="Tinggi",'B.kriteria &amp; R.kecocokan'!$C$43)</f>
        <v>2.5</v>
      </c>
      <c r="J558" s="8" t="str">
        <f>'B.kriteria &amp; R.kecocokan'!$B$72</f>
        <v>Rendah</v>
      </c>
      <c r="K558" s="8">
        <f>_xlfn.IFS(J558="Rendah",'B.kriteria &amp; R.kecocokan'!$C$72,J558="Sedang",'B.kriteria &amp; R.kecocokan'!$C$73,J558="Tinggi",'B.kriteria &amp; R.kecocokan'!$C$74)</f>
        <v>2.5</v>
      </c>
      <c r="L558" s="8" t="str">
        <f>'B.kriteria &amp; R.kecocokan'!$B$95</f>
        <v>Rendah</v>
      </c>
      <c r="M558" s="8">
        <f>_xlfn.IFS(L558="Rendah",'B.kriteria &amp; R.kecocokan'!$C$95,L558="Tinggi",'B.kriteria &amp; R.kecocokan'!$C$96)</f>
        <v>2.5</v>
      </c>
      <c r="N558" s="9" t="str">
        <f>'B.kriteria &amp; R.kecocokan'!$B$81</f>
        <v>Tinggi</v>
      </c>
      <c r="O558" s="8">
        <f>_xlfn.IFS(N558="Rendah",'B.kriteria &amp; R.kecocokan'!$C$80,N558="Tinggi",'B.kriteria &amp; R.kecocokan'!$C$81)</f>
        <v>7.5</v>
      </c>
      <c r="P558" s="9" t="str">
        <f>'B.kriteria &amp; R.kecocokan'!$B$90</f>
        <v>Sangat Sedikit</v>
      </c>
      <c r="Q558" s="8">
        <f>_xlfn.IFS(P558="Sedikit",'B.kriteria &amp; R.kecocokan'!$C$89,P558="Sedang",'B.kriteria &amp; R.kecocokan'!$C$88,P558="Sangat Sedikit",'B.kriteria &amp; R.kecocokan'!$C$90)</f>
        <v>1</v>
      </c>
      <c r="R558" s="8" t="str">
        <f>'B.kriteria &amp; R.kecocokan'!$B$49</f>
        <v>Rendah</v>
      </c>
      <c r="S558" s="8">
        <f>_xlfn.IFS(R558="Rendah",'B.kriteria &amp; R.kecocokan'!$C$49,R558="Sedang",'B.kriteria &amp; R.kecocokan'!$C$50,R558="Tinggi",'B.kriteria &amp; R.kecocokan'!$C$51)</f>
        <v>2.5</v>
      </c>
      <c r="T558" s="9" t="str">
        <f>'B.kriteria &amp; R.kecocokan'!$B$58</f>
        <v>Sedang</v>
      </c>
      <c r="U558" s="51">
        <f>_xlfn.IFS(T558="Rendah",'B.kriteria &amp; R.kecocokan'!$C$57,T558="Sedang",'B.kriteria &amp; R.kecocokan'!$C$58,T558="Tinggi",'B.kriteria &amp; R.kecocokan'!$C$59)</f>
        <v>5</v>
      </c>
      <c r="V558" s="51" t="str">
        <f>'B.kriteria &amp; R.kecocokan'!$B$65</f>
        <v>Rendah</v>
      </c>
      <c r="W558" s="9">
        <f>_xlfn.IFS(V558="Rendah",'B.kriteria &amp; R.kecocokan'!$C$65,V558="Sedang",'B.kriteria &amp; R.kecocokan'!$C$66,V558="Tinggi",'B.kriteria &amp; R.kecocokan'!$C$67)</f>
        <v>1</v>
      </c>
      <c r="X558" s="117">
        <f t="shared" si="54"/>
        <v>2.9766519890158327</v>
      </c>
      <c r="Y558" s="117">
        <f t="shared" si="55"/>
        <v>6.8777338666522914</v>
      </c>
      <c r="Z558" s="119">
        <f t="shared" si="56"/>
        <v>2.9766519890158327</v>
      </c>
      <c r="AA558" s="55" t="str">
        <f t="shared" si="57"/>
        <v>Layak</v>
      </c>
    </row>
    <row r="559" spans="1:27" x14ac:dyDescent="0.35">
      <c r="A559" s="1">
        <v>26</v>
      </c>
      <c r="B559" s="2" t="s">
        <v>66</v>
      </c>
      <c r="C559" s="11" t="s">
        <v>13</v>
      </c>
      <c r="D559" s="9" t="str">
        <f>'B.kriteria &amp; R.kecocokan'!$B$25</f>
        <v>Sedikit</v>
      </c>
      <c r="E559" s="111">
        <f>_xlfn.IFS(D559="Banyak",'B.kriteria &amp; R.kecocokan'!$C$23,D559="Cukup",'B.kriteria &amp; R.kecocokan'!$C$24,D559="Sedikit",'B.kriteria &amp; R.kecocokan'!$C$25)</f>
        <v>7.5</v>
      </c>
      <c r="F559" s="9" t="str">
        <f>'B.kriteria &amp; R.kecocokan'!$B$34</f>
        <v>Tinggi</v>
      </c>
      <c r="G559" s="8">
        <f>_xlfn.IFS(F559="Tinggi",'B.kriteria &amp; R.kecocokan'!$C$34,F559="Sangat Tinggi",'B.kriteria &amp; R.kecocokan'!$C$35)</f>
        <v>7.5</v>
      </c>
      <c r="H559" s="8" t="str">
        <f>'B.kriteria &amp; R.kecocokan'!$B$41</f>
        <v>Rendah</v>
      </c>
      <c r="I559" s="8">
        <f>_xlfn.IFS(H559="Rendah",'B.kriteria &amp; R.kecocokan'!$C$41,H559="Sedang",'B.kriteria &amp; R.kecocokan'!$C$42,H559="Tinggi",'B.kriteria &amp; R.kecocokan'!$C$43)</f>
        <v>2.5</v>
      </c>
      <c r="J559" s="8" t="str">
        <f>'B.kriteria &amp; R.kecocokan'!$B$72</f>
        <v>Rendah</v>
      </c>
      <c r="K559" s="8">
        <f>_xlfn.IFS(J559="Rendah",'B.kriteria &amp; R.kecocokan'!$C$72,J559="Sedang",'B.kriteria &amp; R.kecocokan'!$C$73,J559="Tinggi",'B.kriteria &amp; R.kecocokan'!$C$74)</f>
        <v>2.5</v>
      </c>
      <c r="L559" s="8" t="str">
        <f>'B.kriteria &amp; R.kecocokan'!$B$95</f>
        <v>Rendah</v>
      </c>
      <c r="M559" s="8">
        <f>_xlfn.IFS(L559="Rendah",'B.kriteria &amp; R.kecocokan'!$C$95,L559="Tinggi",'B.kriteria &amp; R.kecocokan'!$C$96)</f>
        <v>2.5</v>
      </c>
      <c r="N559" s="9" t="str">
        <f>'B.kriteria &amp; R.kecocokan'!$B$81</f>
        <v>Tinggi</v>
      </c>
      <c r="O559" s="8">
        <f>_xlfn.IFS(N559="Rendah",'B.kriteria &amp; R.kecocokan'!$C$80,N559="Tinggi",'B.kriteria &amp; R.kecocokan'!$C$81)</f>
        <v>7.5</v>
      </c>
      <c r="P559" s="9" t="str">
        <f>'B.kriteria &amp; R.kecocokan'!$B$90</f>
        <v>Sangat Sedikit</v>
      </c>
      <c r="Q559" s="8">
        <f>_xlfn.IFS(P559="Sedikit",'B.kriteria &amp; R.kecocokan'!$C$89,P559="Sedang",'B.kriteria &amp; R.kecocokan'!$C$88,P559="Sangat Sedikit",'B.kriteria &amp; R.kecocokan'!$C$90)</f>
        <v>1</v>
      </c>
      <c r="R559" s="8" t="str">
        <f>'B.kriteria &amp; R.kecocokan'!$B$49</f>
        <v>Rendah</v>
      </c>
      <c r="S559" s="8">
        <f>_xlfn.IFS(R559="Rendah",'B.kriteria &amp; R.kecocokan'!$C$49,R559="Sedang",'B.kriteria &amp; R.kecocokan'!$C$50,R559="Tinggi",'B.kriteria &amp; R.kecocokan'!$C$51)</f>
        <v>2.5</v>
      </c>
      <c r="T559" s="8" t="str">
        <f>'B.kriteria &amp; R.kecocokan'!$B$57</f>
        <v>Rendah</v>
      </c>
      <c r="U559" s="51">
        <f>_xlfn.IFS(T559="Rendah",'B.kriteria &amp; R.kecocokan'!$C$57,T559="Sedang",'B.kriteria &amp; R.kecocokan'!$C$58,T559="Tinggi",'B.kriteria &amp; R.kecocokan'!$C$59)</f>
        <v>2.5</v>
      </c>
      <c r="V559" s="51" t="str">
        <f>'B.kriteria &amp; R.kecocokan'!$B$65</f>
        <v>Rendah</v>
      </c>
      <c r="W559" s="9">
        <f>_xlfn.IFS(V559="Rendah",'B.kriteria &amp; R.kecocokan'!$C$65,V559="Sedang",'B.kriteria &amp; R.kecocokan'!$C$66,V559="Tinggi",'B.kriteria &amp; R.kecocokan'!$C$67)</f>
        <v>1</v>
      </c>
      <c r="X559" s="117">
        <f t="shared" si="54"/>
        <v>1.9814758482999792</v>
      </c>
      <c r="Y559" s="117">
        <f t="shared" si="55"/>
        <v>6.2728524361689244</v>
      </c>
      <c r="Z559" s="119">
        <f t="shared" si="56"/>
        <v>1.9814758482999792</v>
      </c>
      <c r="AA559" s="55" t="str">
        <f t="shared" si="57"/>
        <v>Layak</v>
      </c>
    </row>
    <row r="560" spans="1:27" x14ac:dyDescent="0.35">
      <c r="A560" s="5">
        <v>27</v>
      </c>
      <c r="B560" s="2" t="s">
        <v>68</v>
      </c>
      <c r="C560" s="11" t="s">
        <v>13</v>
      </c>
      <c r="D560" s="32" t="str">
        <f>'B.kriteria &amp; R.kecocokan'!$B$24</f>
        <v>Cukup</v>
      </c>
      <c r="E560" s="111">
        <f>_xlfn.IFS(D560="Banyak",'B.kriteria &amp; R.kecocokan'!$C$23,D560="Cukup",'B.kriteria &amp; R.kecocokan'!$C$24,D560="Sedikit",'B.kriteria &amp; R.kecocokan'!$C$25)</f>
        <v>5</v>
      </c>
      <c r="F560" s="9" t="str">
        <f>'B.kriteria &amp; R.kecocokan'!$B$34</f>
        <v>Tinggi</v>
      </c>
      <c r="G560" s="8">
        <f>_xlfn.IFS(F560="Tinggi",'B.kriteria &amp; R.kecocokan'!$C$34,F560="Sangat Tinggi",'B.kriteria &amp; R.kecocokan'!$C$35)</f>
        <v>7.5</v>
      </c>
      <c r="H560" s="9" t="str">
        <f>'B.kriteria &amp; R.kecocokan'!$B$43</f>
        <v>Tinggi</v>
      </c>
      <c r="I560" s="8">
        <f>_xlfn.IFS(H560="Rendah",'B.kriteria &amp; R.kecocokan'!$C$41,H560="Sedang",'B.kriteria &amp; R.kecocokan'!$C$42,H560="Tinggi",'B.kriteria &amp; R.kecocokan'!$C$43)</f>
        <v>7.5</v>
      </c>
      <c r="J560" s="8" t="str">
        <f>'B.kriteria &amp; R.kecocokan'!$B$72</f>
        <v>Rendah</v>
      </c>
      <c r="K560" s="8">
        <f>_xlfn.IFS(J560="Rendah",'B.kriteria &amp; R.kecocokan'!$C$72,J560="Sedang",'B.kriteria &amp; R.kecocokan'!$C$73,J560="Tinggi",'B.kriteria &amp; R.kecocokan'!$C$74)</f>
        <v>2.5</v>
      </c>
      <c r="L560" s="8" t="str">
        <f>'B.kriteria &amp; R.kecocokan'!$B$95</f>
        <v>Rendah</v>
      </c>
      <c r="M560" s="8">
        <f>_xlfn.IFS(L560="Rendah",'B.kriteria &amp; R.kecocokan'!$C$95,L560="Tinggi",'B.kriteria &amp; R.kecocokan'!$C$96)</f>
        <v>2.5</v>
      </c>
      <c r="N560" s="8" t="str">
        <f>'B.kriteria &amp; R.kecocokan'!$B$80</f>
        <v>Rendah</v>
      </c>
      <c r="O560" s="8">
        <f>_xlfn.IFS(N560="Rendah",'B.kriteria &amp; R.kecocokan'!$C$80,N560="Tinggi",'B.kriteria &amp; R.kecocokan'!$C$81)</f>
        <v>2.5</v>
      </c>
      <c r="P560" s="9" t="str">
        <f>'B.kriteria &amp; R.kecocokan'!$B$88</f>
        <v>Sedang</v>
      </c>
      <c r="Q560" s="8">
        <f>_xlfn.IFS(P560="Sedikit",'B.kriteria &amp; R.kecocokan'!$C$89,P560="Sedang",'B.kriteria &amp; R.kecocokan'!$C$88,P560="Sangat Sedikit",'B.kriteria &amp; R.kecocokan'!$C$90)</f>
        <v>5</v>
      </c>
      <c r="R560" s="8" t="str">
        <f>'B.kriteria &amp; R.kecocokan'!$B$49</f>
        <v>Rendah</v>
      </c>
      <c r="S560" s="8">
        <f>_xlfn.IFS(R560="Rendah",'B.kriteria &amp; R.kecocokan'!$C$49,R560="Sedang",'B.kriteria &amp; R.kecocokan'!$C$50,R560="Tinggi",'B.kriteria &amp; R.kecocokan'!$C$51)</f>
        <v>2.5</v>
      </c>
      <c r="T560" s="8" t="str">
        <f>'B.kriteria &amp; R.kecocokan'!$B$57</f>
        <v>Rendah</v>
      </c>
      <c r="U560" s="51">
        <f>_xlfn.IFS(T560="Rendah",'B.kriteria &amp; R.kecocokan'!$C$57,T560="Sedang",'B.kriteria &amp; R.kecocokan'!$C$58,T560="Tinggi",'B.kriteria &amp; R.kecocokan'!$C$59)</f>
        <v>2.5</v>
      </c>
      <c r="V560" s="51" t="str">
        <f>'B.kriteria &amp; R.kecocokan'!$B$65</f>
        <v>Rendah</v>
      </c>
      <c r="W560" s="9">
        <f>_xlfn.IFS(V560="Rendah",'B.kriteria &amp; R.kecocokan'!$C$65,V560="Sedang",'B.kriteria &amp; R.kecocokan'!$C$66,V560="Tinggi",'B.kriteria &amp; R.kecocokan'!$C$67)</f>
        <v>1</v>
      </c>
      <c r="X560" s="117">
        <f t="shared" si="54"/>
        <v>7.9541405444305555</v>
      </c>
      <c r="Y560" s="117">
        <f t="shared" si="55"/>
        <v>4.5445817343839101</v>
      </c>
      <c r="Z560" s="119">
        <f t="shared" si="56"/>
        <v>4.5445817343839101</v>
      </c>
      <c r="AA560" s="55" t="str">
        <f t="shared" si="57"/>
        <v>Tidak Layak</v>
      </c>
    </row>
    <row r="561" spans="1:27" x14ac:dyDescent="0.35">
      <c r="A561" s="5">
        <v>28</v>
      </c>
      <c r="B561" s="2" t="s">
        <v>69</v>
      </c>
      <c r="C561" s="11" t="s">
        <v>13</v>
      </c>
      <c r="D561" s="32" t="str">
        <f>'B.kriteria &amp; R.kecocokan'!$B$24</f>
        <v>Cukup</v>
      </c>
      <c r="E561" s="111">
        <f>_xlfn.IFS(D561="Banyak",'B.kriteria &amp; R.kecocokan'!$C$23,D561="Cukup",'B.kriteria &amp; R.kecocokan'!$C$24,D561="Sedikit",'B.kriteria &amp; R.kecocokan'!$C$25)</f>
        <v>5</v>
      </c>
      <c r="F561" s="9" t="str">
        <f>'B.kriteria &amp; R.kecocokan'!$B$34</f>
        <v>Tinggi</v>
      </c>
      <c r="G561" s="8">
        <f>_xlfn.IFS(F561="Tinggi",'B.kriteria &amp; R.kecocokan'!$C$34,F561="Sangat Tinggi",'B.kriteria &amp; R.kecocokan'!$C$35)</f>
        <v>7.5</v>
      </c>
      <c r="H561" s="8" t="str">
        <f>'B.kriteria &amp; R.kecocokan'!$B$41</f>
        <v>Rendah</v>
      </c>
      <c r="I561" s="8">
        <f>_xlfn.IFS(H561="Rendah",'B.kriteria &amp; R.kecocokan'!$C$41,H561="Sedang",'B.kriteria &amp; R.kecocokan'!$C$42,H561="Tinggi",'B.kriteria &amp; R.kecocokan'!$C$43)</f>
        <v>2.5</v>
      </c>
      <c r="J561" s="8" t="str">
        <f>'B.kriteria &amp; R.kecocokan'!$B$72</f>
        <v>Rendah</v>
      </c>
      <c r="K561" s="8">
        <f>_xlfn.IFS(J561="Rendah",'B.kriteria &amp; R.kecocokan'!$C$72,J561="Sedang",'B.kriteria &amp; R.kecocokan'!$C$73,J561="Tinggi",'B.kriteria &amp; R.kecocokan'!$C$74)</f>
        <v>2.5</v>
      </c>
      <c r="L561" s="8" t="str">
        <f>'B.kriteria &amp; R.kecocokan'!$B$95</f>
        <v>Rendah</v>
      </c>
      <c r="M561" s="8">
        <f>_xlfn.IFS(L561="Rendah",'B.kriteria &amp; R.kecocokan'!$C$95,L561="Tinggi",'B.kriteria &amp; R.kecocokan'!$C$96)</f>
        <v>2.5</v>
      </c>
      <c r="N561" s="8" t="str">
        <f>'B.kriteria &amp; R.kecocokan'!$B$80</f>
        <v>Rendah</v>
      </c>
      <c r="O561" s="8">
        <f>_xlfn.IFS(N561="Rendah",'B.kriteria &amp; R.kecocokan'!$C$80,N561="Tinggi",'B.kriteria &amp; R.kecocokan'!$C$81)</f>
        <v>2.5</v>
      </c>
      <c r="P561" s="8" t="str">
        <f>'B.kriteria &amp; R.kecocokan'!$B$89</f>
        <v>Sedikit</v>
      </c>
      <c r="Q561" s="8">
        <f>_xlfn.IFS(P561="Sedikit",'B.kriteria &amp; R.kecocokan'!$C$89,P561="Sedang",'B.kriteria &amp; R.kecocokan'!$C$88,P561="Sangat Sedikit",'B.kriteria &amp; R.kecocokan'!$C$90)</f>
        <v>2.5</v>
      </c>
      <c r="R561" s="8" t="str">
        <f>'B.kriteria &amp; R.kecocokan'!$B$49</f>
        <v>Rendah</v>
      </c>
      <c r="S561" s="8">
        <f>_xlfn.IFS(R561="Rendah",'B.kriteria &amp; R.kecocokan'!$C$49,R561="Sedang",'B.kriteria &amp; R.kecocokan'!$C$50,R561="Tinggi",'B.kriteria &amp; R.kecocokan'!$C$51)</f>
        <v>2.5</v>
      </c>
      <c r="T561" s="9" t="str">
        <f>'B.kriteria &amp; R.kecocokan'!$B$58</f>
        <v>Sedang</v>
      </c>
      <c r="U561" s="51">
        <f>_xlfn.IFS(T561="Rendah",'B.kriteria &amp; R.kecocokan'!$C$57,T561="Sedang",'B.kriteria &amp; R.kecocokan'!$C$58,T561="Tinggi",'B.kriteria &amp; R.kecocokan'!$C$59)</f>
        <v>5</v>
      </c>
      <c r="V561" s="51" t="str">
        <f>'B.kriteria &amp; R.kecocokan'!$B$65</f>
        <v>Rendah</v>
      </c>
      <c r="W561" s="9">
        <f>_xlfn.IFS(V561="Rendah",'B.kriteria &amp; R.kecocokan'!$C$65,V561="Sedang",'B.kriteria &amp; R.kecocokan'!$C$66,V561="Tinggi",'B.kriteria &amp; R.kecocokan'!$C$67)</f>
        <v>1</v>
      </c>
      <c r="X561" s="117">
        <f t="shared" si="54"/>
        <v>5.499275953348798</v>
      </c>
      <c r="Y561" s="117">
        <f t="shared" si="55"/>
        <v>2.4061560167328104</v>
      </c>
      <c r="Z561" s="119">
        <f t="shared" si="56"/>
        <v>2.4061560167328104</v>
      </c>
      <c r="AA561" s="55" t="str">
        <f t="shared" si="57"/>
        <v>Tidak Layak</v>
      </c>
    </row>
    <row r="562" spans="1:27" x14ac:dyDescent="0.35">
      <c r="A562" s="1">
        <v>29</v>
      </c>
      <c r="B562" s="2" t="s">
        <v>70</v>
      </c>
      <c r="C562" s="11" t="s">
        <v>13</v>
      </c>
      <c r="D562" s="9" t="str">
        <f>'B.kriteria &amp; R.kecocokan'!$B$23</f>
        <v>Banyak</v>
      </c>
      <c r="E562" s="111">
        <f>_xlfn.IFS(D562="Banyak",'B.kriteria &amp; R.kecocokan'!$C$23,D562="Cukup",'B.kriteria &amp; R.kecocokan'!$C$24,D562="Sedikit",'B.kriteria &amp; R.kecocokan'!$C$25)</f>
        <v>2.5</v>
      </c>
      <c r="F562" s="9" t="str">
        <f>'B.kriteria &amp; R.kecocokan'!$B$35</f>
        <v>Sangat Tinggi</v>
      </c>
      <c r="G562" s="8">
        <f>_xlfn.IFS(F562="Tinggi",'B.kriteria &amp; R.kecocokan'!$C$34,F562="Sangat Tinggi",'B.kriteria &amp; R.kecocokan'!$C$35)</f>
        <v>10</v>
      </c>
      <c r="H562" s="8" t="str">
        <f>'B.kriteria &amp; R.kecocokan'!$B$41</f>
        <v>Rendah</v>
      </c>
      <c r="I562" s="8">
        <f>_xlfn.IFS(H562="Rendah",'B.kriteria &amp; R.kecocokan'!$C$41,H562="Sedang",'B.kriteria &amp; R.kecocokan'!$C$42,H562="Tinggi",'B.kriteria &amp; R.kecocokan'!$C$43)</f>
        <v>2.5</v>
      </c>
      <c r="J562" s="8" t="str">
        <f>'B.kriteria &amp; R.kecocokan'!$B$72</f>
        <v>Rendah</v>
      </c>
      <c r="K562" s="8">
        <f>_xlfn.IFS(J562="Rendah",'B.kriteria &amp; R.kecocokan'!$C$72,J562="Sedang",'B.kriteria &amp; R.kecocokan'!$C$73,J562="Tinggi",'B.kriteria &amp; R.kecocokan'!$C$74)</f>
        <v>2.5</v>
      </c>
      <c r="L562" s="8" t="str">
        <f>'B.kriteria &amp; R.kecocokan'!$B$95</f>
        <v>Rendah</v>
      </c>
      <c r="M562" s="8">
        <f>_xlfn.IFS(L562="Rendah",'B.kriteria &amp; R.kecocokan'!$C$95,L562="Tinggi",'B.kriteria &amp; R.kecocokan'!$C$96)</f>
        <v>2.5</v>
      </c>
      <c r="N562" s="8" t="str">
        <f>'B.kriteria &amp; R.kecocokan'!$B$80</f>
        <v>Rendah</v>
      </c>
      <c r="O562" s="8">
        <f>_xlfn.IFS(N562="Rendah",'B.kriteria &amp; R.kecocokan'!$C$80,N562="Tinggi",'B.kriteria &amp; R.kecocokan'!$C$81)</f>
        <v>2.5</v>
      </c>
      <c r="P562" s="9" t="str">
        <f>'B.kriteria &amp; R.kecocokan'!$B$90</f>
        <v>Sangat Sedikit</v>
      </c>
      <c r="Q562" s="8">
        <f>_xlfn.IFS(P562="Sedikit",'B.kriteria &amp; R.kecocokan'!$C$89,P562="Sedang",'B.kriteria &amp; R.kecocokan'!$C$88,P562="Sangat Sedikit",'B.kriteria &amp; R.kecocokan'!$C$90)</f>
        <v>1</v>
      </c>
      <c r="R562" s="8" t="str">
        <f>'B.kriteria &amp; R.kecocokan'!$B$49</f>
        <v>Rendah</v>
      </c>
      <c r="S562" s="8">
        <f>_xlfn.IFS(R562="Rendah",'B.kriteria &amp; R.kecocokan'!$C$49,R562="Sedang",'B.kriteria &amp; R.kecocokan'!$C$50,R562="Tinggi",'B.kriteria &amp; R.kecocokan'!$C$51)</f>
        <v>2.5</v>
      </c>
      <c r="T562" s="8" t="str">
        <f>'B.kriteria &amp; R.kecocokan'!$B$57</f>
        <v>Rendah</v>
      </c>
      <c r="U562" s="51">
        <f>_xlfn.IFS(T562="Rendah",'B.kriteria &amp; R.kecocokan'!$C$57,T562="Sedang",'B.kriteria &amp; R.kecocokan'!$C$58,T562="Tinggi",'B.kriteria &amp; R.kecocokan'!$C$59)</f>
        <v>2.5</v>
      </c>
      <c r="V562" s="51" t="str">
        <f>'B.kriteria &amp; R.kecocokan'!$B$65</f>
        <v>Rendah</v>
      </c>
      <c r="W562" s="9">
        <f>_xlfn.IFS(V562="Rendah",'B.kriteria &amp; R.kecocokan'!$C$65,V562="Sedang",'B.kriteria &amp; R.kecocokan'!$C$66,V562="Tinggi",'B.kriteria &amp; R.kecocokan'!$C$67)</f>
        <v>1</v>
      </c>
      <c r="X562" s="117">
        <f t="shared" si="54"/>
        <v>6.6376069094790893</v>
      </c>
      <c r="Y562" s="117">
        <f t="shared" si="55"/>
        <v>4.0349096480303732</v>
      </c>
      <c r="Z562" s="119">
        <f t="shared" si="56"/>
        <v>4.0349096480303732</v>
      </c>
      <c r="AA562" s="55" t="str">
        <f t="shared" si="57"/>
        <v>Tidak Layak</v>
      </c>
    </row>
    <row r="563" spans="1:27" x14ac:dyDescent="0.35">
      <c r="A563" s="5">
        <v>30</v>
      </c>
      <c r="B563" s="2" t="s">
        <v>71</v>
      </c>
      <c r="C563" s="11" t="s">
        <v>13</v>
      </c>
      <c r="D563" s="9" t="str">
        <f>'B.kriteria &amp; R.kecocokan'!$B$25</f>
        <v>Sedikit</v>
      </c>
      <c r="E563" s="111">
        <f>_xlfn.IFS(D563="Banyak",'B.kriteria &amp; R.kecocokan'!$C$23,D563="Cukup",'B.kriteria &amp; R.kecocokan'!$C$24,D563="Sedikit",'B.kriteria &amp; R.kecocokan'!$C$25)</f>
        <v>7.5</v>
      </c>
      <c r="F563" s="9" t="str">
        <f>'B.kriteria &amp; R.kecocokan'!$B$35</f>
        <v>Sangat Tinggi</v>
      </c>
      <c r="G563" s="8">
        <f>_xlfn.IFS(F563="Tinggi",'B.kriteria &amp; R.kecocokan'!$C$34,F563="Sangat Tinggi",'B.kriteria &amp; R.kecocokan'!$C$35)</f>
        <v>10</v>
      </c>
      <c r="H563" s="8" t="str">
        <f>'B.kriteria &amp; R.kecocokan'!$B$41</f>
        <v>Rendah</v>
      </c>
      <c r="I563" s="8">
        <f>_xlfn.IFS(H563="Rendah",'B.kriteria &amp; R.kecocokan'!$C$41,H563="Sedang",'B.kriteria &amp; R.kecocokan'!$C$42,H563="Tinggi",'B.kriteria &amp; R.kecocokan'!$C$43)</f>
        <v>2.5</v>
      </c>
      <c r="J563" s="8" t="str">
        <f>'B.kriteria &amp; R.kecocokan'!$B$72</f>
        <v>Rendah</v>
      </c>
      <c r="K563" s="8">
        <f>_xlfn.IFS(J563="Rendah",'B.kriteria &amp; R.kecocokan'!$C$72,J563="Sedang",'B.kriteria &amp; R.kecocokan'!$C$73,J563="Tinggi",'B.kriteria &amp; R.kecocokan'!$C$74)</f>
        <v>2.5</v>
      </c>
      <c r="L563" s="8" t="str">
        <f>'B.kriteria &amp; R.kecocokan'!$B$95</f>
        <v>Rendah</v>
      </c>
      <c r="M563" s="8">
        <f>_xlfn.IFS(L563="Rendah",'B.kriteria &amp; R.kecocokan'!$C$95,L563="Tinggi",'B.kriteria &amp; R.kecocokan'!$C$96)</f>
        <v>2.5</v>
      </c>
      <c r="N563" s="9" t="str">
        <f>'B.kriteria &amp; R.kecocokan'!$B$81</f>
        <v>Tinggi</v>
      </c>
      <c r="O563" s="8">
        <f>_xlfn.IFS(N563="Rendah",'B.kriteria &amp; R.kecocokan'!$C$80,N563="Tinggi",'B.kriteria &amp; R.kecocokan'!$C$81)</f>
        <v>7.5</v>
      </c>
      <c r="P563" s="9" t="str">
        <f>'B.kriteria &amp; R.kecocokan'!$B$88</f>
        <v>Sedang</v>
      </c>
      <c r="Q563" s="8">
        <f>_xlfn.IFS(P563="Sedikit",'B.kriteria &amp; R.kecocokan'!$C$89,P563="Sedang",'B.kriteria &amp; R.kecocokan'!$C$88,P563="Sangat Sedikit",'B.kriteria &amp; R.kecocokan'!$C$90)</f>
        <v>5</v>
      </c>
      <c r="R563" s="9" t="str">
        <f>'B.kriteria &amp; R.kecocokan'!$B$51</f>
        <v>Tinggi</v>
      </c>
      <c r="S563" s="8">
        <f>_xlfn.IFS(R563="Rendah",'B.kriteria &amp; R.kecocokan'!$C$49,R563="Sedang",'B.kriteria &amp; R.kecocokan'!$C$50,R563="Tinggi",'B.kriteria &amp; R.kecocokan'!$C$51)</f>
        <v>7.5</v>
      </c>
      <c r="T563" s="9" t="str">
        <f>'B.kriteria &amp; R.kecocokan'!$B$59</f>
        <v>Tinggi</v>
      </c>
      <c r="U563" s="51">
        <f>_xlfn.IFS(T563="Rendah",'B.kriteria &amp; R.kecocokan'!$C$57,T563="Sedang",'B.kriteria &amp; R.kecocokan'!$C$58,T563="Tinggi",'B.kriteria &amp; R.kecocokan'!$C$59)</f>
        <v>7.5</v>
      </c>
      <c r="V563" s="51" t="str">
        <f>'B.kriteria &amp; R.kecocokan'!$B$65</f>
        <v>Rendah</v>
      </c>
      <c r="W563" s="9">
        <f>_xlfn.IFS(V563="Rendah",'B.kriteria &amp; R.kecocokan'!$C$65,V563="Sedang",'B.kriteria &amp; R.kecocokan'!$C$66,V563="Tinggi",'B.kriteria &amp; R.kecocokan'!$C$67)</f>
        <v>1</v>
      </c>
      <c r="X563" s="117">
        <f t="shared" si="54"/>
        <v>7.3075256241714568</v>
      </c>
      <c r="Y563" s="117">
        <f t="shared" si="55"/>
        <v>9.0938813322997785</v>
      </c>
      <c r="Z563" s="119">
        <f t="shared" si="56"/>
        <v>7.3075256241714568</v>
      </c>
      <c r="AA563" s="55" t="str">
        <f t="shared" si="57"/>
        <v>Layak</v>
      </c>
    </row>
    <row r="564" spans="1:27" x14ac:dyDescent="0.35">
      <c r="A564" s="5">
        <v>31</v>
      </c>
      <c r="B564" s="2" t="s">
        <v>74</v>
      </c>
      <c r="C564" s="11" t="s">
        <v>13</v>
      </c>
      <c r="D564" s="32" t="str">
        <f>'B.kriteria &amp; R.kecocokan'!$B$24</f>
        <v>Cukup</v>
      </c>
      <c r="E564" s="111">
        <f>_xlfn.IFS(D564="Banyak",'B.kriteria &amp; R.kecocokan'!$C$23,D564="Cukup",'B.kriteria &amp; R.kecocokan'!$C$24,D564="Sedikit",'B.kriteria &amp; R.kecocokan'!$C$25)</f>
        <v>5</v>
      </c>
      <c r="F564" s="9" t="str">
        <f>'B.kriteria &amp; R.kecocokan'!$B$35</f>
        <v>Sangat Tinggi</v>
      </c>
      <c r="G564" s="8">
        <f>_xlfn.IFS(F564="Tinggi",'B.kriteria &amp; R.kecocokan'!$C$34,F564="Sangat Tinggi",'B.kriteria &amp; R.kecocokan'!$C$35)</f>
        <v>10</v>
      </c>
      <c r="H564" s="8" t="str">
        <f>'B.kriteria &amp; R.kecocokan'!$B$41</f>
        <v>Rendah</v>
      </c>
      <c r="I564" s="8">
        <f>_xlfn.IFS(H564="Rendah",'B.kriteria &amp; R.kecocokan'!$C$41,H564="Sedang",'B.kriteria &amp; R.kecocokan'!$C$42,H564="Tinggi",'B.kriteria &amp; R.kecocokan'!$C$43)</f>
        <v>2.5</v>
      </c>
      <c r="J564" s="8" t="str">
        <f>'B.kriteria &amp; R.kecocokan'!$B$72</f>
        <v>Rendah</v>
      </c>
      <c r="K564" s="8">
        <f>_xlfn.IFS(J564="Rendah",'B.kriteria &amp; R.kecocokan'!$C$72,J564="Sedang",'B.kriteria &amp; R.kecocokan'!$C$73,J564="Tinggi",'B.kriteria &amp; R.kecocokan'!$C$74)</f>
        <v>2.5</v>
      </c>
      <c r="L564" s="8" t="str">
        <f>'B.kriteria &amp; R.kecocokan'!$B$95</f>
        <v>Rendah</v>
      </c>
      <c r="M564" s="8">
        <f>_xlfn.IFS(L564="Rendah",'B.kriteria &amp; R.kecocokan'!$C$95,L564="Tinggi",'B.kriteria &amp; R.kecocokan'!$C$96)</f>
        <v>2.5</v>
      </c>
      <c r="N564" s="8" t="str">
        <f>'B.kriteria &amp; R.kecocokan'!$B$80</f>
        <v>Rendah</v>
      </c>
      <c r="O564" s="8">
        <f>_xlfn.IFS(N564="Rendah",'B.kriteria &amp; R.kecocokan'!$C$80,N564="Tinggi",'B.kriteria &amp; R.kecocokan'!$C$81)</f>
        <v>2.5</v>
      </c>
      <c r="P564" s="8" t="str">
        <f>'B.kriteria &amp; R.kecocokan'!$B$89</f>
        <v>Sedikit</v>
      </c>
      <c r="Q564" s="8">
        <f>_xlfn.IFS(P564="Sedikit",'B.kriteria &amp; R.kecocokan'!$C$89,P564="Sedang",'B.kriteria &amp; R.kecocokan'!$C$88,P564="Sangat Sedikit",'B.kriteria &amp; R.kecocokan'!$C$90)</f>
        <v>2.5</v>
      </c>
      <c r="R564" s="8" t="str">
        <f>'B.kriteria &amp; R.kecocokan'!$B$49</f>
        <v>Rendah</v>
      </c>
      <c r="S564" s="8">
        <f>_xlfn.IFS(R564="Rendah",'B.kriteria &amp; R.kecocokan'!$C$49,R564="Sedang",'B.kriteria &amp; R.kecocokan'!$C$50,R564="Tinggi",'B.kriteria &amp; R.kecocokan'!$C$51)</f>
        <v>2.5</v>
      </c>
      <c r="T564" s="9" t="str">
        <f>'B.kriteria &amp; R.kecocokan'!$B$58</f>
        <v>Sedang</v>
      </c>
      <c r="U564" s="51">
        <f>_xlfn.IFS(T564="Rendah",'B.kriteria &amp; R.kecocokan'!$C$57,T564="Sedang",'B.kriteria &amp; R.kecocokan'!$C$58,T564="Tinggi",'B.kriteria &amp; R.kecocokan'!$C$59)</f>
        <v>5</v>
      </c>
      <c r="V564" s="51" t="str">
        <f>'B.kriteria &amp; R.kecocokan'!$B$65</f>
        <v>Rendah</v>
      </c>
      <c r="W564" s="9">
        <f>_xlfn.IFS(V564="Rendah",'B.kriteria &amp; R.kecocokan'!$C$65,V564="Sedang",'B.kriteria &amp; R.kecocokan'!$C$66,V564="Tinggi",'B.kriteria &amp; R.kecocokan'!$C$67)</f>
        <v>1</v>
      </c>
      <c r="X564" s="117">
        <f t="shared" si="54"/>
        <v>5.8471706347713992</v>
      </c>
      <c r="Y564" s="117">
        <f t="shared" si="55"/>
        <v>3.1613497483519533</v>
      </c>
      <c r="Z564" s="119">
        <f t="shared" si="56"/>
        <v>3.1613497483519533</v>
      </c>
      <c r="AA564" s="55" t="str">
        <f t="shared" si="57"/>
        <v>Tidak Layak</v>
      </c>
    </row>
    <row r="565" spans="1:27" x14ac:dyDescent="0.35">
      <c r="A565" s="1">
        <v>32</v>
      </c>
      <c r="B565" s="2" t="s">
        <v>76</v>
      </c>
      <c r="C565" s="11" t="s">
        <v>13</v>
      </c>
      <c r="D565" s="32" t="str">
        <f>'B.kriteria &amp; R.kecocokan'!$B$24</f>
        <v>Cukup</v>
      </c>
      <c r="E565" s="111">
        <f>_xlfn.IFS(D565="Banyak",'B.kriteria &amp; R.kecocokan'!$C$23,D565="Cukup",'B.kriteria &amp; R.kecocokan'!$C$24,D565="Sedikit",'B.kriteria &amp; R.kecocokan'!$C$25)</f>
        <v>5</v>
      </c>
      <c r="F565" s="9" t="str">
        <f>'B.kriteria &amp; R.kecocokan'!$B$34</f>
        <v>Tinggi</v>
      </c>
      <c r="G565" s="8">
        <f>_xlfn.IFS(F565="Tinggi",'B.kriteria &amp; R.kecocokan'!$C$34,F565="Sangat Tinggi",'B.kriteria &amp; R.kecocokan'!$C$35)</f>
        <v>7.5</v>
      </c>
      <c r="H565" s="8" t="str">
        <f>'B.kriteria &amp; R.kecocokan'!$B$41</f>
        <v>Rendah</v>
      </c>
      <c r="I565" s="8">
        <f>_xlfn.IFS(H565="Rendah",'B.kriteria &amp; R.kecocokan'!$C$41,H565="Sedang",'B.kriteria &amp; R.kecocokan'!$C$42,H565="Tinggi",'B.kriteria &amp; R.kecocokan'!$C$43)</f>
        <v>2.5</v>
      </c>
      <c r="J565" s="8" t="str">
        <f>'B.kriteria &amp; R.kecocokan'!$B$72</f>
        <v>Rendah</v>
      </c>
      <c r="K565" s="8">
        <f>_xlfn.IFS(J565="Rendah",'B.kriteria &amp; R.kecocokan'!$C$72,J565="Sedang",'B.kriteria &amp; R.kecocokan'!$C$73,J565="Tinggi",'B.kriteria &amp; R.kecocokan'!$C$74)</f>
        <v>2.5</v>
      </c>
      <c r="L565" s="8" t="str">
        <f>'B.kriteria &amp; R.kecocokan'!$B$95</f>
        <v>Rendah</v>
      </c>
      <c r="M565" s="8">
        <f>_xlfn.IFS(L565="Rendah",'B.kriteria &amp; R.kecocokan'!$C$95,L565="Tinggi",'B.kriteria &amp; R.kecocokan'!$C$96)</f>
        <v>2.5</v>
      </c>
      <c r="N565" s="8" t="str">
        <f>'B.kriteria &amp; R.kecocokan'!$B$80</f>
        <v>Rendah</v>
      </c>
      <c r="O565" s="8">
        <f>_xlfn.IFS(N565="Rendah",'B.kriteria &amp; R.kecocokan'!$C$80,N565="Tinggi",'B.kriteria &amp; R.kecocokan'!$C$81)</f>
        <v>2.5</v>
      </c>
      <c r="P565" s="9" t="str">
        <f>'B.kriteria &amp; R.kecocokan'!$B$88</f>
        <v>Sedang</v>
      </c>
      <c r="Q565" s="8">
        <f>_xlfn.IFS(P565="Sedikit",'B.kriteria &amp; R.kecocokan'!$C$89,P565="Sedang",'B.kriteria &amp; R.kecocokan'!$C$88,P565="Sangat Sedikit",'B.kriteria &amp; R.kecocokan'!$C$90)</f>
        <v>5</v>
      </c>
      <c r="R565" s="8" t="str">
        <f>'B.kriteria &amp; R.kecocokan'!$B$49</f>
        <v>Rendah</v>
      </c>
      <c r="S565" s="8">
        <f>_xlfn.IFS(R565="Rendah",'B.kriteria &amp; R.kecocokan'!$C$49,R565="Sedang",'B.kriteria &amp; R.kecocokan'!$C$50,R565="Tinggi",'B.kriteria &amp; R.kecocokan'!$C$51)</f>
        <v>2.5</v>
      </c>
      <c r="T565" s="8" t="str">
        <f>'B.kriteria &amp; R.kecocokan'!$B$57</f>
        <v>Rendah</v>
      </c>
      <c r="U565" s="51">
        <f>_xlfn.IFS(T565="Rendah",'B.kriteria &amp; R.kecocokan'!$C$57,T565="Sedang",'B.kriteria &amp; R.kecocokan'!$C$58,T565="Tinggi",'B.kriteria &amp; R.kecocokan'!$C$59)</f>
        <v>2.5</v>
      </c>
      <c r="V565" s="51" t="str">
        <f>'B.kriteria &amp; R.kecocokan'!$B$65</f>
        <v>Rendah</v>
      </c>
      <c r="W565" s="9">
        <f>_xlfn.IFS(V565="Rendah",'B.kriteria &amp; R.kecocokan'!$C$65,V565="Sedang",'B.kriteria &amp; R.kecocokan'!$C$66,V565="Tinggi",'B.kriteria &amp; R.kecocokan'!$C$67)</f>
        <v>1</v>
      </c>
      <c r="X565" s="117">
        <f t="shared" si="54"/>
        <v>6.3953053678399474</v>
      </c>
      <c r="Y565" s="117">
        <f t="shared" si="55"/>
        <v>1.9583261532017717</v>
      </c>
      <c r="Z565" s="119">
        <f t="shared" si="56"/>
        <v>1.9583261532017717</v>
      </c>
      <c r="AA565" s="55" t="str">
        <f t="shared" si="57"/>
        <v>Tidak Layak</v>
      </c>
    </row>
    <row r="566" spans="1:27" x14ac:dyDescent="0.35">
      <c r="A566" s="5">
        <v>33</v>
      </c>
      <c r="B566" s="2" t="s">
        <v>79</v>
      </c>
      <c r="C566" s="11" t="s">
        <v>13</v>
      </c>
      <c r="D566" s="9" t="str">
        <f>'B.kriteria &amp; R.kecocokan'!$B$25</f>
        <v>Sedikit</v>
      </c>
      <c r="E566" s="111">
        <f>_xlfn.IFS(D566="Banyak",'B.kriteria &amp; R.kecocokan'!$C$23,D566="Cukup",'B.kriteria &amp; R.kecocokan'!$C$24,D566="Sedikit",'B.kriteria &amp; R.kecocokan'!$C$25)</f>
        <v>7.5</v>
      </c>
      <c r="F566" s="9" t="str">
        <f>'B.kriteria &amp; R.kecocokan'!$B$34</f>
        <v>Tinggi</v>
      </c>
      <c r="G566" s="8">
        <f>_xlfn.IFS(F566="Tinggi",'B.kriteria &amp; R.kecocokan'!$C$34,F566="Sangat Tinggi",'B.kriteria &amp; R.kecocokan'!$C$35)</f>
        <v>7.5</v>
      </c>
      <c r="H566" s="9" t="str">
        <f>'B.kriteria &amp; R.kecocokan'!$B$43</f>
        <v>Tinggi</v>
      </c>
      <c r="I566" s="8">
        <f>_xlfn.IFS(H566="Rendah",'B.kriteria &amp; R.kecocokan'!$C$41,H566="Sedang",'B.kriteria &amp; R.kecocokan'!$C$42,H566="Tinggi",'B.kriteria &amp; R.kecocokan'!$C$43)</f>
        <v>7.5</v>
      </c>
      <c r="J566" s="8" t="str">
        <f>'B.kriteria &amp; R.kecocokan'!$B$72</f>
        <v>Rendah</v>
      </c>
      <c r="K566" s="8">
        <f>_xlfn.IFS(J566="Rendah",'B.kriteria &amp; R.kecocokan'!$C$72,J566="Sedang",'B.kriteria &amp; R.kecocokan'!$C$73,J566="Tinggi",'B.kriteria &amp; R.kecocokan'!$C$74)</f>
        <v>2.5</v>
      </c>
      <c r="L566" s="8" t="str">
        <f>'B.kriteria &amp; R.kecocokan'!$B$95</f>
        <v>Rendah</v>
      </c>
      <c r="M566" s="8">
        <f>_xlfn.IFS(L566="Rendah",'B.kriteria &amp; R.kecocokan'!$C$95,L566="Tinggi",'B.kriteria &amp; R.kecocokan'!$C$96)</f>
        <v>2.5</v>
      </c>
      <c r="N566" s="9" t="str">
        <f>'B.kriteria &amp; R.kecocokan'!$B$81</f>
        <v>Tinggi</v>
      </c>
      <c r="O566" s="8">
        <f>_xlfn.IFS(N566="Rendah",'B.kriteria &amp; R.kecocokan'!$C$80,N566="Tinggi",'B.kriteria &amp; R.kecocokan'!$C$81)</f>
        <v>7.5</v>
      </c>
      <c r="P566" s="9" t="str">
        <f>'B.kriteria &amp; R.kecocokan'!$B$90</f>
        <v>Sangat Sedikit</v>
      </c>
      <c r="Q566" s="8">
        <f>_xlfn.IFS(P566="Sedikit",'B.kriteria &amp; R.kecocokan'!$C$89,P566="Sedang",'B.kriteria &amp; R.kecocokan'!$C$88,P566="Sangat Sedikit",'B.kriteria &amp; R.kecocokan'!$C$90)</f>
        <v>1</v>
      </c>
      <c r="R566" s="8" t="str">
        <f>'B.kriteria &amp; R.kecocokan'!$B$49</f>
        <v>Rendah</v>
      </c>
      <c r="S566" s="8">
        <f>_xlfn.IFS(R566="Rendah",'B.kriteria &amp; R.kecocokan'!$C$49,R566="Sedang",'B.kriteria &amp; R.kecocokan'!$C$50,R566="Tinggi",'B.kriteria &amp; R.kecocokan'!$C$51)</f>
        <v>2.5</v>
      </c>
      <c r="T566" s="8" t="str">
        <f>'B.kriteria &amp; R.kecocokan'!$B$57</f>
        <v>Rendah</v>
      </c>
      <c r="U566" s="51">
        <f>_xlfn.IFS(T566="Rendah",'B.kriteria &amp; R.kecocokan'!$C$57,T566="Sedang",'B.kriteria &amp; R.kecocokan'!$C$58,T566="Tinggi",'B.kriteria &amp; R.kecocokan'!$C$59)</f>
        <v>2.5</v>
      </c>
      <c r="V566" s="51" t="str">
        <f>'B.kriteria &amp; R.kecocokan'!$B$65</f>
        <v>Rendah</v>
      </c>
      <c r="W566" s="9">
        <f>_xlfn.IFS(V566="Rendah",'B.kriteria &amp; R.kecocokan'!$C$65,V566="Sedang",'B.kriteria &amp; R.kecocokan'!$C$66,V566="Tinggi",'B.kriteria &amp; R.kecocokan'!$C$67)</f>
        <v>1</v>
      </c>
      <c r="X566" s="117">
        <f t="shared" si="54"/>
        <v>5.1278326406024304</v>
      </c>
      <c r="Y566" s="117">
        <f t="shared" si="55"/>
        <v>7.494455250659132</v>
      </c>
      <c r="Z566" s="119">
        <f t="shared" si="56"/>
        <v>5.1278326406024304</v>
      </c>
      <c r="AA566" s="55" t="str">
        <f t="shared" si="57"/>
        <v>Layak</v>
      </c>
    </row>
    <row r="567" spans="1:27" x14ac:dyDescent="0.35">
      <c r="A567" s="5">
        <v>34</v>
      </c>
      <c r="B567" s="2" t="s">
        <v>81</v>
      </c>
      <c r="C567" s="11" t="s">
        <v>13</v>
      </c>
      <c r="D567" s="9" t="str">
        <f>'B.kriteria &amp; R.kecocokan'!$B$23</f>
        <v>Banyak</v>
      </c>
      <c r="E567" s="111">
        <f>_xlfn.IFS(D567="Banyak",'B.kriteria &amp; R.kecocokan'!$C$23,D567="Cukup",'B.kriteria &amp; R.kecocokan'!$C$24,D567="Sedikit",'B.kriteria &amp; R.kecocokan'!$C$25)</f>
        <v>2.5</v>
      </c>
      <c r="F567" s="9" t="str">
        <f>'B.kriteria &amp; R.kecocokan'!$B$34</f>
        <v>Tinggi</v>
      </c>
      <c r="G567" s="8">
        <f>_xlfn.IFS(F567="Tinggi",'B.kriteria &amp; R.kecocokan'!$C$34,F567="Sangat Tinggi",'B.kriteria &amp; R.kecocokan'!$C$35)</f>
        <v>7.5</v>
      </c>
      <c r="H567" s="8" t="str">
        <f>'B.kriteria &amp; R.kecocokan'!$B$41</f>
        <v>Rendah</v>
      </c>
      <c r="I567" s="8">
        <f>_xlfn.IFS(H567="Rendah",'B.kriteria &amp; R.kecocokan'!$C$41,H567="Sedang",'B.kriteria &amp; R.kecocokan'!$C$42,H567="Tinggi",'B.kriteria &amp; R.kecocokan'!$C$43)</f>
        <v>2.5</v>
      </c>
      <c r="J567" s="8" t="str">
        <f>'B.kriteria &amp; R.kecocokan'!$B$72</f>
        <v>Rendah</v>
      </c>
      <c r="K567" s="8">
        <f>_xlfn.IFS(J567="Rendah",'B.kriteria &amp; R.kecocokan'!$C$72,J567="Sedang",'B.kriteria &amp; R.kecocokan'!$C$73,J567="Tinggi",'B.kriteria &amp; R.kecocokan'!$C$74)</f>
        <v>2.5</v>
      </c>
      <c r="L567" s="8" t="str">
        <f>'B.kriteria &amp; R.kecocokan'!$B$95</f>
        <v>Rendah</v>
      </c>
      <c r="M567" s="8">
        <f>_xlfn.IFS(L567="Rendah",'B.kriteria &amp; R.kecocokan'!$C$95,L567="Tinggi",'B.kriteria &amp; R.kecocokan'!$C$96)</f>
        <v>2.5</v>
      </c>
      <c r="N567" s="9" t="str">
        <f>'B.kriteria &amp; R.kecocokan'!$B$81</f>
        <v>Tinggi</v>
      </c>
      <c r="O567" s="8">
        <f>_xlfn.IFS(N567="Rendah",'B.kriteria &amp; R.kecocokan'!$C$80,N567="Tinggi",'B.kriteria &amp; R.kecocokan'!$C$81)</f>
        <v>7.5</v>
      </c>
      <c r="P567" s="9" t="str">
        <f>'B.kriteria &amp; R.kecocokan'!$B$90</f>
        <v>Sangat Sedikit</v>
      </c>
      <c r="Q567" s="8">
        <f>_xlfn.IFS(P567="Sedikit",'B.kriteria &amp; R.kecocokan'!$C$89,P567="Sedang",'B.kriteria &amp; R.kecocokan'!$C$88,P567="Sangat Sedikit",'B.kriteria &amp; R.kecocokan'!$C$90)</f>
        <v>1</v>
      </c>
      <c r="R567" s="8" t="str">
        <f>'B.kriteria &amp; R.kecocokan'!$B$49</f>
        <v>Rendah</v>
      </c>
      <c r="S567" s="8">
        <f>_xlfn.IFS(R567="Rendah",'B.kriteria &amp; R.kecocokan'!$C$49,R567="Sedang",'B.kriteria &amp; R.kecocokan'!$C$50,R567="Tinggi",'B.kriteria &amp; R.kecocokan'!$C$51)</f>
        <v>2.5</v>
      </c>
      <c r="T567" s="8" t="str">
        <f>'B.kriteria &amp; R.kecocokan'!$B$57</f>
        <v>Rendah</v>
      </c>
      <c r="U567" s="51">
        <f>_xlfn.IFS(T567="Rendah",'B.kriteria &amp; R.kecocokan'!$C$57,T567="Sedang",'B.kriteria &amp; R.kecocokan'!$C$58,T567="Tinggi",'B.kriteria &amp; R.kecocokan'!$C$59)</f>
        <v>2.5</v>
      </c>
      <c r="V567" s="51" t="str">
        <f>'B.kriteria &amp; R.kecocokan'!$B$65</f>
        <v>Rendah</v>
      </c>
      <c r="W567" s="9">
        <f>_xlfn.IFS(V567="Rendah",'B.kriteria &amp; R.kecocokan'!$C$65,V567="Sedang",'B.kriteria &amp; R.kecocokan'!$C$66,V567="Tinggi",'B.kriteria &amp; R.kecocokan'!$C$67)</f>
        <v>1</v>
      </c>
      <c r="X567" s="117">
        <f t="shared" si="54"/>
        <v>3.8872171361671977</v>
      </c>
      <c r="Y567" s="117">
        <f t="shared" si="55"/>
        <v>6.089002415274865</v>
      </c>
      <c r="Z567" s="119">
        <f t="shared" si="56"/>
        <v>3.8872171361671977</v>
      </c>
      <c r="AA567" s="55" t="str">
        <f t="shared" si="57"/>
        <v>Layak</v>
      </c>
    </row>
    <row r="568" spans="1:27" x14ac:dyDescent="0.35">
      <c r="A568" s="1">
        <v>35</v>
      </c>
      <c r="B568" s="2" t="s">
        <v>83</v>
      </c>
      <c r="C568" s="11" t="s">
        <v>13</v>
      </c>
      <c r="D568" s="9" t="str">
        <f>'B.kriteria &amp; R.kecocokan'!$B$25</f>
        <v>Sedikit</v>
      </c>
      <c r="E568" s="111">
        <f>_xlfn.IFS(D568="Banyak",'B.kriteria &amp; R.kecocokan'!$C$23,D568="Cukup",'B.kriteria &amp; R.kecocokan'!$C$24,D568="Sedikit",'B.kriteria &amp; R.kecocokan'!$C$25)</f>
        <v>7.5</v>
      </c>
      <c r="F568" s="9" t="str">
        <f>'B.kriteria &amp; R.kecocokan'!$B$34</f>
        <v>Tinggi</v>
      </c>
      <c r="G568" s="8">
        <f>_xlfn.IFS(F568="Tinggi",'B.kriteria &amp; R.kecocokan'!$C$34,F568="Sangat Tinggi",'B.kriteria &amp; R.kecocokan'!$C$35)</f>
        <v>7.5</v>
      </c>
      <c r="H568" s="8" t="str">
        <f>'B.kriteria &amp; R.kecocokan'!$B$41</f>
        <v>Rendah</v>
      </c>
      <c r="I568" s="8">
        <f>_xlfn.IFS(H568="Rendah",'B.kriteria &amp; R.kecocokan'!$C$41,H568="Sedang",'B.kriteria &amp; R.kecocokan'!$C$42,H568="Tinggi",'B.kriteria &amp; R.kecocokan'!$C$43)</f>
        <v>2.5</v>
      </c>
      <c r="J568" s="9" t="str">
        <f>'B.kriteria &amp; R.kecocokan'!$B$74</f>
        <v>Tinggi</v>
      </c>
      <c r="K568" s="8">
        <f>_xlfn.IFS(J568="Rendah",'B.kriteria &amp; R.kecocokan'!$C$72,J568="Sedang",'B.kriteria &amp; R.kecocokan'!$C$73,J568="Tinggi",'B.kriteria &amp; R.kecocokan'!$C$74)</f>
        <v>7.5</v>
      </c>
      <c r="L568" s="8" t="str">
        <f>'B.kriteria &amp; R.kecocokan'!$B$95</f>
        <v>Rendah</v>
      </c>
      <c r="M568" s="8">
        <f>_xlfn.IFS(L568="Rendah",'B.kriteria &amp; R.kecocokan'!$C$95,L568="Tinggi",'B.kriteria &amp; R.kecocokan'!$C$96)</f>
        <v>2.5</v>
      </c>
      <c r="N568" s="9" t="str">
        <f>'B.kriteria &amp; R.kecocokan'!$B$81</f>
        <v>Tinggi</v>
      </c>
      <c r="O568" s="8">
        <f>_xlfn.IFS(N568="Rendah",'B.kriteria &amp; R.kecocokan'!$C$80,N568="Tinggi",'B.kriteria &amp; R.kecocokan'!$C$81)</f>
        <v>7.5</v>
      </c>
      <c r="P568" s="9" t="str">
        <f>'B.kriteria &amp; R.kecocokan'!$B$90</f>
        <v>Sangat Sedikit</v>
      </c>
      <c r="Q568" s="8">
        <f>_xlfn.IFS(P568="Sedikit",'B.kriteria &amp; R.kecocokan'!$C$89,P568="Sedang",'B.kriteria &amp; R.kecocokan'!$C$88,P568="Sangat Sedikit",'B.kriteria &amp; R.kecocokan'!$C$90)</f>
        <v>1</v>
      </c>
      <c r="R568" s="9" t="str">
        <f>'B.kriteria &amp; R.kecocokan'!$B$50</f>
        <v>Sedang</v>
      </c>
      <c r="S568" s="8">
        <f>_xlfn.IFS(R568="Rendah",'B.kriteria &amp; R.kecocokan'!$C$49,R568="Sedang",'B.kriteria &amp; R.kecocokan'!$C$50,R568="Tinggi",'B.kriteria &amp; R.kecocokan'!$C$51)</f>
        <v>5</v>
      </c>
      <c r="T568" s="9" t="str">
        <f>'B.kriteria &amp; R.kecocokan'!$B$59</f>
        <v>Tinggi</v>
      </c>
      <c r="U568" s="51">
        <f>_xlfn.IFS(T568="Rendah",'B.kriteria &amp; R.kecocokan'!$C$57,T568="Sedang",'B.kriteria &amp; R.kecocokan'!$C$58,T568="Tinggi",'B.kriteria &amp; R.kecocokan'!$C$59)</f>
        <v>7.5</v>
      </c>
      <c r="V568" s="51" t="str">
        <f>'B.kriteria &amp; R.kecocokan'!$B$65</f>
        <v>Rendah</v>
      </c>
      <c r="W568" s="9">
        <f>_xlfn.IFS(V568="Rendah",'B.kriteria &amp; R.kecocokan'!$C$65,V568="Sedang",'B.kriteria &amp; R.kecocokan'!$C$66,V568="Tinggi",'B.kriteria &amp; R.kecocokan'!$C$67)</f>
        <v>1</v>
      </c>
      <c r="X568" s="117">
        <f t="shared" si="54"/>
        <v>6.7115324323158632</v>
      </c>
      <c r="Y568" s="117">
        <f t="shared" si="55"/>
        <v>9.4464300834926025</v>
      </c>
      <c r="Z568" s="119">
        <f t="shared" si="56"/>
        <v>6.7115324323158632</v>
      </c>
      <c r="AA568" s="55" t="str">
        <f t="shared" si="57"/>
        <v>Layak</v>
      </c>
    </row>
    <row r="569" spans="1:27" x14ac:dyDescent="0.35">
      <c r="A569" s="5">
        <v>36</v>
      </c>
      <c r="B569" s="2" t="s">
        <v>84</v>
      </c>
      <c r="C569" s="11" t="s">
        <v>13</v>
      </c>
      <c r="D569" s="32" t="str">
        <f>'B.kriteria &amp; R.kecocokan'!$B$24</f>
        <v>Cukup</v>
      </c>
      <c r="E569" s="111">
        <f>_xlfn.IFS(D569="Banyak",'B.kriteria &amp; R.kecocokan'!$C$23,D569="Cukup",'B.kriteria &amp; R.kecocokan'!$C$24,D569="Sedikit",'B.kriteria &amp; R.kecocokan'!$C$25)</f>
        <v>5</v>
      </c>
      <c r="F569" s="9" t="str">
        <f>'B.kriteria &amp; R.kecocokan'!$B$34</f>
        <v>Tinggi</v>
      </c>
      <c r="G569" s="8">
        <f>_xlfn.IFS(F569="Tinggi",'B.kriteria &amp; R.kecocokan'!$C$34,F569="Sangat Tinggi",'B.kriteria &amp; R.kecocokan'!$C$35)</f>
        <v>7.5</v>
      </c>
      <c r="H569" s="8" t="str">
        <f>'B.kriteria &amp; R.kecocokan'!$B$41</f>
        <v>Rendah</v>
      </c>
      <c r="I569" s="8">
        <f>_xlfn.IFS(H569="Rendah",'B.kriteria &amp; R.kecocokan'!$C$41,H569="Sedang",'B.kriteria &amp; R.kecocokan'!$C$42,H569="Tinggi",'B.kriteria &amp; R.kecocokan'!$C$43)</f>
        <v>2.5</v>
      </c>
      <c r="J569" s="8" t="str">
        <f>'B.kriteria &amp; R.kecocokan'!$B$72</f>
        <v>Rendah</v>
      </c>
      <c r="K569" s="8">
        <f>_xlfn.IFS(J569="Rendah",'B.kriteria &amp; R.kecocokan'!$C$72,J569="Sedang",'B.kriteria &amp; R.kecocokan'!$C$73,J569="Tinggi",'B.kriteria &amp; R.kecocokan'!$C$74)</f>
        <v>2.5</v>
      </c>
      <c r="L569" s="8" t="str">
        <f>'B.kriteria &amp; R.kecocokan'!$B$95</f>
        <v>Rendah</v>
      </c>
      <c r="M569" s="8">
        <f>_xlfn.IFS(L569="Rendah",'B.kriteria &amp; R.kecocokan'!$C$95,L569="Tinggi",'B.kriteria &amp; R.kecocokan'!$C$96)</f>
        <v>2.5</v>
      </c>
      <c r="N569" s="8" t="str">
        <f>'B.kriteria &amp; R.kecocokan'!$B$80</f>
        <v>Rendah</v>
      </c>
      <c r="O569" s="8">
        <f>_xlfn.IFS(N569="Rendah",'B.kriteria &amp; R.kecocokan'!$C$80,N569="Tinggi",'B.kriteria &amp; R.kecocokan'!$C$81)</f>
        <v>2.5</v>
      </c>
      <c r="P569" s="9" t="str">
        <f>'B.kriteria &amp; R.kecocokan'!$B$90</f>
        <v>Sangat Sedikit</v>
      </c>
      <c r="Q569" s="8">
        <f>_xlfn.IFS(P569="Sedikit",'B.kriteria &amp; R.kecocokan'!$C$89,P569="Sedang",'B.kriteria &amp; R.kecocokan'!$C$88,P569="Sangat Sedikit",'B.kriteria &amp; R.kecocokan'!$C$90)</f>
        <v>1</v>
      </c>
      <c r="R569" s="8" t="str">
        <f>'B.kriteria &amp; R.kecocokan'!$B$49</f>
        <v>Rendah</v>
      </c>
      <c r="S569" s="8">
        <f>_xlfn.IFS(R569="Rendah",'B.kriteria &amp; R.kecocokan'!$C$49,R569="Sedang",'B.kriteria &amp; R.kecocokan'!$C$50,R569="Tinggi",'B.kriteria &amp; R.kecocokan'!$C$51)</f>
        <v>2.5</v>
      </c>
      <c r="T569" s="8" t="str">
        <f>'B.kriteria &amp; R.kecocokan'!$B$57</f>
        <v>Rendah</v>
      </c>
      <c r="U569" s="51">
        <f>_xlfn.IFS(T569="Rendah",'B.kriteria &amp; R.kecocokan'!$C$57,T569="Sedang",'B.kriteria &amp; R.kecocokan'!$C$58,T569="Tinggi",'B.kriteria &amp; R.kecocokan'!$C$59)</f>
        <v>2.5</v>
      </c>
      <c r="V569" s="51" t="str">
        <f>'B.kriteria &amp; R.kecocokan'!$B$65</f>
        <v>Rendah</v>
      </c>
      <c r="W569" s="9">
        <f>_xlfn.IFS(V569="Rendah",'B.kriteria &amp; R.kecocokan'!$C$65,V569="Sedang",'B.kriteria &amp; R.kecocokan'!$C$66,V569="Tinggi",'B.kriteria &amp; R.kecocokan'!$C$67)</f>
        <v>1</v>
      </c>
      <c r="X569" s="117">
        <f t="shared" si="54"/>
        <v>5.3167990182584495</v>
      </c>
      <c r="Y569" s="117">
        <f t="shared" si="55"/>
        <v>2.6386197243230747</v>
      </c>
      <c r="Z569" s="119">
        <f t="shared" si="56"/>
        <v>2.6386197243230747</v>
      </c>
      <c r="AA569" s="55" t="str">
        <f t="shared" si="57"/>
        <v>Tidak Layak</v>
      </c>
    </row>
    <row r="570" spans="1:27" x14ac:dyDescent="0.35">
      <c r="A570" s="5">
        <v>37</v>
      </c>
      <c r="B570" s="2" t="s">
        <v>85</v>
      </c>
      <c r="C570" s="11" t="s">
        <v>13</v>
      </c>
      <c r="D570" s="32" t="str">
        <f>'B.kriteria &amp; R.kecocokan'!$B$24</f>
        <v>Cukup</v>
      </c>
      <c r="E570" s="111">
        <f>_xlfn.IFS(D570="Banyak",'B.kriteria &amp; R.kecocokan'!$C$23,D570="Cukup",'B.kriteria &amp; R.kecocokan'!$C$24,D570="Sedikit",'B.kriteria &amp; R.kecocokan'!$C$25)</f>
        <v>5</v>
      </c>
      <c r="F570" s="9" t="str">
        <f>'B.kriteria &amp; R.kecocokan'!$B$34</f>
        <v>Tinggi</v>
      </c>
      <c r="G570" s="8">
        <f>_xlfn.IFS(F570="Tinggi",'B.kriteria &amp; R.kecocokan'!$C$34,F570="Sangat Tinggi",'B.kriteria &amp; R.kecocokan'!$C$35)</f>
        <v>7.5</v>
      </c>
      <c r="H570" s="8" t="str">
        <f>'B.kriteria &amp; R.kecocokan'!$B$41</f>
        <v>Rendah</v>
      </c>
      <c r="I570" s="8">
        <f>_xlfn.IFS(H570="Rendah",'B.kriteria &amp; R.kecocokan'!$C$41,H570="Sedang",'B.kriteria &amp; R.kecocokan'!$C$42,H570="Tinggi",'B.kriteria &amp; R.kecocokan'!$C$43)</f>
        <v>2.5</v>
      </c>
      <c r="J570" s="8" t="str">
        <f>'B.kriteria &amp; R.kecocokan'!$B$72</f>
        <v>Rendah</v>
      </c>
      <c r="K570" s="8">
        <f>_xlfn.IFS(J570="Rendah",'B.kriteria &amp; R.kecocokan'!$C$72,J570="Sedang",'B.kriteria &amp; R.kecocokan'!$C$73,J570="Tinggi",'B.kriteria &amp; R.kecocokan'!$C$74)</f>
        <v>2.5</v>
      </c>
      <c r="L570" s="8" t="str">
        <f>'B.kriteria &amp; R.kecocokan'!$B$95</f>
        <v>Rendah</v>
      </c>
      <c r="M570" s="8">
        <f>_xlfn.IFS(L570="Rendah",'B.kriteria &amp; R.kecocokan'!$C$95,L570="Tinggi",'B.kriteria &amp; R.kecocokan'!$C$96)</f>
        <v>2.5</v>
      </c>
      <c r="N570" s="8" t="str">
        <f>'B.kriteria &amp; R.kecocokan'!$B$80</f>
        <v>Rendah</v>
      </c>
      <c r="O570" s="8">
        <f>_xlfn.IFS(N570="Rendah",'B.kriteria &amp; R.kecocokan'!$C$80,N570="Tinggi",'B.kriteria &amp; R.kecocokan'!$C$81)</f>
        <v>2.5</v>
      </c>
      <c r="P570" s="9" t="str">
        <f>'B.kriteria &amp; R.kecocokan'!$B$88</f>
        <v>Sedang</v>
      </c>
      <c r="Q570" s="8">
        <f>_xlfn.IFS(P570="Sedikit",'B.kriteria &amp; R.kecocokan'!$C$89,P570="Sedang",'B.kriteria &amp; R.kecocokan'!$C$88,P570="Sangat Sedikit",'B.kriteria &amp; R.kecocokan'!$C$90)</f>
        <v>5</v>
      </c>
      <c r="R570" s="8" t="str">
        <f>'B.kriteria &amp; R.kecocokan'!$B$49</f>
        <v>Rendah</v>
      </c>
      <c r="S570" s="8">
        <f>_xlfn.IFS(R570="Rendah",'B.kriteria &amp; R.kecocokan'!$C$49,R570="Sedang",'B.kriteria &amp; R.kecocokan'!$C$50,R570="Tinggi",'B.kriteria &amp; R.kecocokan'!$C$51)</f>
        <v>2.5</v>
      </c>
      <c r="T570" s="8" t="str">
        <f>'B.kriteria &amp; R.kecocokan'!$B$57</f>
        <v>Rendah</v>
      </c>
      <c r="U570" s="51">
        <f>_xlfn.IFS(T570="Rendah",'B.kriteria &amp; R.kecocokan'!$C$57,T570="Sedang",'B.kriteria &amp; R.kecocokan'!$C$58,T570="Tinggi",'B.kriteria &amp; R.kecocokan'!$C$59)</f>
        <v>2.5</v>
      </c>
      <c r="V570" s="51" t="str">
        <f>'B.kriteria &amp; R.kecocokan'!$B$65</f>
        <v>Rendah</v>
      </c>
      <c r="W570" s="9">
        <f>_xlfn.IFS(V570="Rendah",'B.kriteria &amp; R.kecocokan'!$C$65,V570="Sedang",'B.kriteria &amp; R.kecocokan'!$C$66,V570="Tinggi",'B.kriteria &amp; R.kecocokan'!$C$67)</f>
        <v>1</v>
      </c>
      <c r="X570" s="117">
        <f t="shared" si="54"/>
        <v>6.3953053678399474</v>
      </c>
      <c r="Y570" s="117">
        <f t="shared" si="55"/>
        <v>1.9583261532017717</v>
      </c>
      <c r="Z570" s="119">
        <f t="shared" si="56"/>
        <v>1.9583261532017717</v>
      </c>
      <c r="AA570" s="55" t="str">
        <f t="shared" si="57"/>
        <v>Tidak Layak</v>
      </c>
    </row>
    <row r="571" spans="1:27" x14ac:dyDescent="0.35">
      <c r="A571" s="1">
        <v>38</v>
      </c>
      <c r="B571" s="2" t="s">
        <v>86</v>
      </c>
      <c r="C571" s="11" t="s">
        <v>13</v>
      </c>
      <c r="D571" s="9" t="str">
        <f>'B.kriteria &amp; R.kecocokan'!$B$25</f>
        <v>Sedikit</v>
      </c>
      <c r="E571" s="111">
        <f>_xlfn.IFS(D571="Banyak",'B.kriteria &amp; R.kecocokan'!$C$23,D571="Cukup",'B.kriteria &amp; R.kecocokan'!$C$24,D571="Sedikit",'B.kriteria &amp; R.kecocokan'!$C$25)</f>
        <v>7.5</v>
      </c>
      <c r="F571" s="9" t="str">
        <f>'B.kriteria &amp; R.kecocokan'!$B$34</f>
        <v>Tinggi</v>
      </c>
      <c r="G571" s="8">
        <f>_xlfn.IFS(F571="Tinggi",'B.kriteria &amp; R.kecocokan'!$C$34,F571="Sangat Tinggi",'B.kriteria &amp; R.kecocokan'!$C$35)</f>
        <v>7.5</v>
      </c>
      <c r="H571" s="9" t="str">
        <f>'B.kriteria &amp; R.kecocokan'!$B$43</f>
        <v>Tinggi</v>
      </c>
      <c r="I571" s="8">
        <f>_xlfn.IFS(H571="Rendah",'B.kriteria &amp; R.kecocokan'!$C$41,H571="Sedang",'B.kriteria &amp; R.kecocokan'!$C$42,H571="Tinggi",'B.kriteria &amp; R.kecocokan'!$C$43)</f>
        <v>7.5</v>
      </c>
      <c r="J571" s="8" t="str">
        <f>'B.kriteria &amp; R.kecocokan'!$B$72</f>
        <v>Rendah</v>
      </c>
      <c r="K571" s="8">
        <f>_xlfn.IFS(J571="Rendah",'B.kriteria &amp; R.kecocokan'!$C$72,J571="Sedang",'B.kriteria &amp; R.kecocokan'!$C$73,J571="Tinggi",'B.kriteria &amp; R.kecocokan'!$C$74)</f>
        <v>2.5</v>
      </c>
      <c r="L571" s="8" t="str">
        <f>'B.kriteria &amp; R.kecocokan'!$B$95</f>
        <v>Rendah</v>
      </c>
      <c r="M571" s="8">
        <f>_xlfn.IFS(L571="Rendah",'B.kriteria &amp; R.kecocokan'!$C$95,L571="Tinggi",'B.kriteria &amp; R.kecocokan'!$C$96)</f>
        <v>2.5</v>
      </c>
      <c r="N571" s="9" t="str">
        <f>'B.kriteria &amp; R.kecocokan'!$B$81</f>
        <v>Tinggi</v>
      </c>
      <c r="O571" s="8">
        <f>_xlfn.IFS(N571="Rendah",'B.kriteria &amp; R.kecocokan'!$C$80,N571="Tinggi",'B.kriteria &amp; R.kecocokan'!$C$81)</f>
        <v>7.5</v>
      </c>
      <c r="P571" s="9" t="str">
        <f>'B.kriteria &amp; R.kecocokan'!$B$90</f>
        <v>Sangat Sedikit</v>
      </c>
      <c r="Q571" s="8">
        <f>_xlfn.IFS(P571="Sedikit",'B.kriteria &amp; R.kecocokan'!$C$89,P571="Sedang",'B.kriteria &amp; R.kecocokan'!$C$88,P571="Sangat Sedikit",'B.kriteria &amp; R.kecocokan'!$C$90)</f>
        <v>1</v>
      </c>
      <c r="R571" s="8" t="str">
        <f>'B.kriteria &amp; R.kecocokan'!$B$49</f>
        <v>Rendah</v>
      </c>
      <c r="S571" s="8">
        <f>_xlfn.IFS(R571="Rendah",'B.kriteria &amp; R.kecocokan'!$C$49,R571="Sedang",'B.kriteria &amp; R.kecocokan'!$C$50,R571="Tinggi",'B.kriteria &amp; R.kecocokan'!$C$51)</f>
        <v>2.5</v>
      </c>
      <c r="T571" s="8" t="str">
        <f>'B.kriteria &amp; R.kecocokan'!$B$57</f>
        <v>Rendah</v>
      </c>
      <c r="U571" s="51">
        <f>_xlfn.IFS(T571="Rendah",'B.kriteria &amp; R.kecocokan'!$C$57,T571="Sedang",'B.kriteria &amp; R.kecocokan'!$C$58,T571="Tinggi",'B.kriteria &amp; R.kecocokan'!$C$59)</f>
        <v>2.5</v>
      </c>
      <c r="V571" s="51" t="str">
        <f>'B.kriteria &amp; R.kecocokan'!$B$65</f>
        <v>Rendah</v>
      </c>
      <c r="W571" s="9">
        <f>_xlfn.IFS(V571="Rendah",'B.kriteria &amp; R.kecocokan'!$C$65,V571="Sedang",'B.kriteria &amp; R.kecocokan'!$C$66,V571="Tinggi",'B.kriteria &amp; R.kecocokan'!$C$67)</f>
        <v>1</v>
      </c>
      <c r="X571" s="117">
        <f t="shared" si="54"/>
        <v>5.1278326406024304</v>
      </c>
      <c r="Y571" s="117">
        <f t="shared" si="55"/>
        <v>7.494455250659132</v>
      </c>
      <c r="Z571" s="119">
        <f t="shared" si="56"/>
        <v>5.1278326406024304</v>
      </c>
      <c r="AA571" s="55" t="str">
        <f t="shared" si="57"/>
        <v>Layak</v>
      </c>
    </row>
    <row r="572" spans="1:27" x14ac:dyDescent="0.35">
      <c r="A572" s="5">
        <v>39</v>
      </c>
      <c r="B572" s="2" t="s">
        <v>87</v>
      </c>
      <c r="C572" s="11" t="s">
        <v>13</v>
      </c>
      <c r="D572" s="9" t="str">
        <f>'B.kriteria &amp; R.kecocokan'!$B$25</f>
        <v>Sedikit</v>
      </c>
      <c r="E572" s="111">
        <f>_xlfn.IFS(D572="Banyak",'B.kriteria &amp; R.kecocokan'!$C$23,D572="Cukup",'B.kriteria &amp; R.kecocokan'!$C$24,D572="Sedikit",'B.kriteria &amp; R.kecocokan'!$C$25)</f>
        <v>7.5</v>
      </c>
      <c r="F572" s="9" t="str">
        <f>'B.kriteria &amp; R.kecocokan'!$B$34</f>
        <v>Tinggi</v>
      </c>
      <c r="G572" s="8">
        <f>_xlfn.IFS(F572="Tinggi",'B.kriteria &amp; R.kecocokan'!$C$34,F572="Sangat Tinggi",'B.kriteria &amp; R.kecocokan'!$C$35)</f>
        <v>7.5</v>
      </c>
      <c r="H572" s="8" t="str">
        <f>'B.kriteria &amp; R.kecocokan'!$B$41</f>
        <v>Rendah</v>
      </c>
      <c r="I572" s="8">
        <f>_xlfn.IFS(H572="Rendah",'B.kriteria &amp; R.kecocokan'!$C$41,H572="Sedang",'B.kriteria &amp; R.kecocokan'!$C$42,H572="Tinggi",'B.kriteria &amp; R.kecocokan'!$C$43)</f>
        <v>2.5</v>
      </c>
      <c r="J572" s="8" t="str">
        <f>'B.kriteria &amp; R.kecocokan'!$B$72</f>
        <v>Rendah</v>
      </c>
      <c r="K572" s="8">
        <f>_xlfn.IFS(J572="Rendah",'B.kriteria &amp; R.kecocokan'!$C$72,J572="Sedang",'B.kriteria &amp; R.kecocokan'!$C$73,J572="Tinggi",'B.kriteria &amp; R.kecocokan'!$C$74)</f>
        <v>2.5</v>
      </c>
      <c r="L572" s="8" t="str">
        <f>'B.kriteria &amp; R.kecocokan'!$B$95</f>
        <v>Rendah</v>
      </c>
      <c r="M572" s="8">
        <f>_xlfn.IFS(L572="Rendah",'B.kriteria &amp; R.kecocokan'!$C$95,L572="Tinggi",'B.kriteria &amp; R.kecocokan'!$C$96)</f>
        <v>2.5</v>
      </c>
      <c r="N572" s="9" t="str">
        <f>'B.kriteria &amp; R.kecocokan'!$B$81</f>
        <v>Tinggi</v>
      </c>
      <c r="O572" s="8">
        <f>_xlfn.IFS(N572="Rendah",'B.kriteria &amp; R.kecocokan'!$C$80,N572="Tinggi",'B.kriteria &amp; R.kecocokan'!$C$81)</f>
        <v>7.5</v>
      </c>
      <c r="P572" s="9" t="str">
        <f>'B.kriteria &amp; R.kecocokan'!$B$90</f>
        <v>Sangat Sedikit</v>
      </c>
      <c r="Q572" s="8">
        <f>_xlfn.IFS(P572="Sedikit",'B.kriteria &amp; R.kecocokan'!$C$89,P572="Sedang",'B.kriteria &amp; R.kecocokan'!$C$88,P572="Sangat Sedikit",'B.kriteria &amp; R.kecocokan'!$C$90)</f>
        <v>1</v>
      </c>
      <c r="R572" s="8" t="str">
        <f>'B.kriteria &amp; R.kecocokan'!$B$49</f>
        <v>Rendah</v>
      </c>
      <c r="S572" s="8">
        <f>_xlfn.IFS(R572="Rendah",'B.kriteria &amp; R.kecocokan'!$C$49,R572="Sedang",'B.kriteria &amp; R.kecocokan'!$C$50,R572="Tinggi",'B.kriteria &amp; R.kecocokan'!$C$51)</f>
        <v>2.5</v>
      </c>
      <c r="T572" s="8" t="str">
        <f>'B.kriteria &amp; R.kecocokan'!$B$57</f>
        <v>Rendah</v>
      </c>
      <c r="U572" s="51">
        <f>_xlfn.IFS(T572="Rendah",'B.kriteria &amp; R.kecocokan'!$C$57,T572="Sedang",'B.kriteria &amp; R.kecocokan'!$C$58,T572="Tinggi",'B.kriteria &amp; R.kecocokan'!$C$59)</f>
        <v>2.5</v>
      </c>
      <c r="V572" s="51" t="str">
        <f>'B.kriteria &amp; R.kecocokan'!$B$65</f>
        <v>Rendah</v>
      </c>
      <c r="W572" s="9">
        <f>_xlfn.IFS(V572="Rendah",'B.kriteria &amp; R.kecocokan'!$C$65,V572="Sedang",'B.kriteria &amp; R.kecocokan'!$C$66,V572="Tinggi",'B.kriteria &amp; R.kecocokan'!$C$67)</f>
        <v>1</v>
      </c>
      <c r="X572" s="117">
        <f t="shared" si="54"/>
        <v>1.9814758482999792</v>
      </c>
      <c r="Y572" s="117">
        <f t="shared" si="55"/>
        <v>6.2728524361689244</v>
      </c>
      <c r="Z572" s="119">
        <f t="shared" si="56"/>
        <v>1.9814758482999792</v>
      </c>
      <c r="AA572" s="55" t="str">
        <f t="shared" si="57"/>
        <v>Layak</v>
      </c>
    </row>
    <row r="573" spans="1:27" x14ac:dyDescent="0.35">
      <c r="A573" s="5">
        <v>40</v>
      </c>
      <c r="B573" s="2" t="s">
        <v>88</v>
      </c>
      <c r="C573" s="11" t="s">
        <v>13</v>
      </c>
      <c r="D573" s="32" t="str">
        <f>'B.kriteria &amp; R.kecocokan'!$B$24</f>
        <v>Cukup</v>
      </c>
      <c r="E573" s="111">
        <f>_xlfn.IFS(D573="Banyak",'B.kriteria &amp; R.kecocokan'!$C$23,D573="Cukup",'B.kriteria &amp; R.kecocokan'!$C$24,D573="Sedikit",'B.kriteria &amp; R.kecocokan'!$C$25)</f>
        <v>5</v>
      </c>
      <c r="F573" s="9" t="str">
        <f>'B.kriteria &amp; R.kecocokan'!$B$34</f>
        <v>Tinggi</v>
      </c>
      <c r="G573" s="8">
        <f>_xlfn.IFS(F573="Tinggi",'B.kriteria &amp; R.kecocokan'!$C$34,F573="Sangat Tinggi",'B.kriteria &amp; R.kecocokan'!$C$35)</f>
        <v>7.5</v>
      </c>
      <c r="H573" s="9" t="str">
        <f>'B.kriteria &amp; R.kecocokan'!$B$43</f>
        <v>Tinggi</v>
      </c>
      <c r="I573" s="8">
        <f>_xlfn.IFS(H573="Rendah",'B.kriteria &amp; R.kecocokan'!$C$41,H573="Sedang",'B.kriteria &amp; R.kecocokan'!$C$42,H573="Tinggi",'B.kriteria &amp; R.kecocokan'!$C$43)</f>
        <v>7.5</v>
      </c>
      <c r="J573" s="8" t="str">
        <f>'B.kriteria &amp; R.kecocokan'!$B$72</f>
        <v>Rendah</v>
      </c>
      <c r="K573" s="8">
        <f>_xlfn.IFS(J573="Rendah",'B.kriteria &amp; R.kecocokan'!$C$72,J573="Sedang",'B.kriteria &amp; R.kecocokan'!$C$73,J573="Tinggi",'B.kriteria &amp; R.kecocokan'!$C$74)</f>
        <v>2.5</v>
      </c>
      <c r="L573" s="8" t="str">
        <f>'B.kriteria &amp; R.kecocokan'!$B$95</f>
        <v>Rendah</v>
      </c>
      <c r="M573" s="8">
        <f>_xlfn.IFS(L573="Rendah",'B.kriteria &amp; R.kecocokan'!$C$95,L573="Tinggi",'B.kriteria &amp; R.kecocokan'!$C$96)</f>
        <v>2.5</v>
      </c>
      <c r="N573" s="8" t="str">
        <f>'B.kriteria &amp; R.kecocokan'!$B$80</f>
        <v>Rendah</v>
      </c>
      <c r="O573" s="8">
        <f>_xlfn.IFS(N573="Rendah",'B.kriteria &amp; R.kecocokan'!$C$80,N573="Tinggi",'B.kriteria &amp; R.kecocokan'!$C$81)</f>
        <v>2.5</v>
      </c>
      <c r="P573" s="9" t="str">
        <f>'B.kriteria &amp; R.kecocokan'!$B$88</f>
        <v>Sedang</v>
      </c>
      <c r="Q573" s="8">
        <f>_xlfn.IFS(P573="Sedikit",'B.kriteria &amp; R.kecocokan'!$C$89,P573="Sedang",'B.kriteria &amp; R.kecocokan'!$C$88,P573="Sangat Sedikit",'B.kriteria &amp; R.kecocokan'!$C$90)</f>
        <v>5</v>
      </c>
      <c r="R573" s="8" t="str">
        <f>'B.kriteria &amp; R.kecocokan'!$B$49</f>
        <v>Rendah</v>
      </c>
      <c r="S573" s="8">
        <f>_xlfn.IFS(R573="Rendah",'B.kriteria &amp; R.kecocokan'!$C$49,R573="Sedang",'B.kriteria &amp; R.kecocokan'!$C$50,R573="Tinggi",'B.kriteria &amp; R.kecocokan'!$C$51)</f>
        <v>2.5</v>
      </c>
      <c r="T573" s="8" t="str">
        <f>'B.kriteria &amp; R.kecocokan'!$B$57</f>
        <v>Rendah</v>
      </c>
      <c r="U573" s="51">
        <f>_xlfn.IFS(T573="Rendah",'B.kriteria &amp; R.kecocokan'!$C$57,T573="Sedang",'B.kriteria &amp; R.kecocokan'!$C$58,T573="Tinggi",'B.kriteria &amp; R.kecocokan'!$C$59)</f>
        <v>2.5</v>
      </c>
      <c r="V573" s="51" t="str">
        <f>'B.kriteria &amp; R.kecocokan'!$B$65</f>
        <v>Rendah</v>
      </c>
      <c r="W573" s="9">
        <f>_xlfn.IFS(V573="Rendah",'B.kriteria &amp; R.kecocokan'!$C$65,V573="Sedang",'B.kriteria &amp; R.kecocokan'!$C$66,V573="Tinggi",'B.kriteria &amp; R.kecocokan'!$C$67)</f>
        <v>1</v>
      </c>
      <c r="X573" s="117">
        <f t="shared" si="54"/>
        <v>7.9541405444305555</v>
      </c>
      <c r="Y573" s="117">
        <f t="shared" si="55"/>
        <v>4.5445817343839101</v>
      </c>
      <c r="Z573" s="119">
        <f t="shared" si="56"/>
        <v>4.5445817343839101</v>
      </c>
      <c r="AA573" s="55" t="str">
        <f t="shared" si="57"/>
        <v>Tidak Layak</v>
      </c>
    </row>
    <row r="574" spans="1:27" x14ac:dyDescent="0.35">
      <c r="A574" s="1">
        <v>41</v>
      </c>
      <c r="B574" s="2" t="s">
        <v>89</v>
      </c>
      <c r="C574" s="11" t="s">
        <v>13</v>
      </c>
      <c r="D574" s="9" t="str">
        <f>'B.kriteria &amp; R.kecocokan'!$B$23</f>
        <v>Banyak</v>
      </c>
      <c r="E574" s="111">
        <f>_xlfn.IFS(D574="Banyak",'B.kriteria &amp; R.kecocokan'!$C$23,D574="Cukup",'B.kriteria &amp; R.kecocokan'!$C$24,D574="Sedikit",'B.kriteria &amp; R.kecocokan'!$C$25)</f>
        <v>2.5</v>
      </c>
      <c r="F574" s="9" t="str">
        <f>'B.kriteria &amp; R.kecocokan'!$B$34</f>
        <v>Tinggi</v>
      </c>
      <c r="G574" s="8">
        <f>_xlfn.IFS(F574="Tinggi",'B.kriteria &amp; R.kecocokan'!$C$34,F574="Sangat Tinggi",'B.kriteria &amp; R.kecocokan'!$C$35)</f>
        <v>7.5</v>
      </c>
      <c r="H574" s="8" t="str">
        <f>'B.kriteria &amp; R.kecocokan'!$B$41</f>
        <v>Rendah</v>
      </c>
      <c r="I574" s="8">
        <f>_xlfn.IFS(H574="Rendah",'B.kriteria &amp; R.kecocokan'!$C$41,H574="Sedang",'B.kriteria &amp; R.kecocokan'!$C$42,H574="Tinggi",'B.kriteria &amp; R.kecocokan'!$C$43)</f>
        <v>2.5</v>
      </c>
      <c r="J574" s="8" t="str">
        <f>'B.kriteria &amp; R.kecocokan'!$B$72</f>
        <v>Rendah</v>
      </c>
      <c r="K574" s="8">
        <f>_xlfn.IFS(J574="Rendah",'B.kriteria &amp; R.kecocokan'!$C$72,J574="Sedang",'B.kriteria &amp; R.kecocokan'!$C$73,J574="Tinggi",'B.kriteria &amp; R.kecocokan'!$C$74)</f>
        <v>2.5</v>
      </c>
      <c r="L574" s="8" t="str">
        <f>'B.kriteria &amp; R.kecocokan'!$B$95</f>
        <v>Rendah</v>
      </c>
      <c r="M574" s="8">
        <f>_xlfn.IFS(L574="Rendah",'B.kriteria &amp; R.kecocokan'!$C$95,L574="Tinggi",'B.kriteria &amp; R.kecocokan'!$C$96)</f>
        <v>2.5</v>
      </c>
      <c r="N574" s="9" t="str">
        <f>'B.kriteria &amp; R.kecocokan'!$B$81</f>
        <v>Tinggi</v>
      </c>
      <c r="O574" s="8">
        <f>_xlfn.IFS(N574="Rendah",'B.kriteria &amp; R.kecocokan'!$C$80,N574="Tinggi",'B.kriteria &amp; R.kecocokan'!$C$81)</f>
        <v>7.5</v>
      </c>
      <c r="P574" s="9" t="str">
        <f>'B.kriteria &amp; R.kecocokan'!$B$90</f>
        <v>Sangat Sedikit</v>
      </c>
      <c r="Q574" s="8">
        <f>_xlfn.IFS(P574="Sedikit",'B.kriteria &amp; R.kecocokan'!$C$89,P574="Sedang",'B.kriteria &amp; R.kecocokan'!$C$88,P574="Sangat Sedikit",'B.kriteria &amp; R.kecocokan'!$C$90)</f>
        <v>1</v>
      </c>
      <c r="R574" s="8" t="str">
        <f>'B.kriteria &amp; R.kecocokan'!$B$49</f>
        <v>Rendah</v>
      </c>
      <c r="S574" s="8">
        <f>_xlfn.IFS(R574="Rendah",'B.kriteria &amp; R.kecocokan'!$C$49,R574="Sedang",'B.kriteria &amp; R.kecocokan'!$C$50,R574="Tinggi",'B.kriteria &amp; R.kecocokan'!$C$51)</f>
        <v>2.5</v>
      </c>
      <c r="T574" s="8" t="str">
        <f>'B.kriteria &amp; R.kecocokan'!$B$57</f>
        <v>Rendah</v>
      </c>
      <c r="U574" s="51">
        <f>_xlfn.IFS(T574="Rendah",'B.kriteria &amp; R.kecocokan'!$C$57,T574="Sedang",'B.kriteria &amp; R.kecocokan'!$C$58,T574="Tinggi",'B.kriteria &amp; R.kecocokan'!$C$59)</f>
        <v>2.5</v>
      </c>
      <c r="V574" s="51" t="str">
        <f>'B.kriteria &amp; R.kecocokan'!$B$65</f>
        <v>Rendah</v>
      </c>
      <c r="W574" s="9">
        <f>_xlfn.IFS(V574="Rendah",'B.kriteria &amp; R.kecocokan'!$C$65,V574="Sedang",'B.kriteria &amp; R.kecocokan'!$C$66,V574="Tinggi",'B.kriteria &amp; R.kecocokan'!$C$67)</f>
        <v>1</v>
      </c>
      <c r="X574" s="117">
        <f t="shared" si="54"/>
        <v>3.8872171361671977</v>
      </c>
      <c r="Y574" s="117">
        <f t="shared" si="55"/>
        <v>6.089002415274865</v>
      </c>
      <c r="Z574" s="119">
        <f t="shared" si="56"/>
        <v>3.8872171361671977</v>
      </c>
      <c r="AA574" s="55" t="str">
        <f t="shared" si="57"/>
        <v>Layak</v>
      </c>
    </row>
    <row r="575" spans="1:27" x14ac:dyDescent="0.35">
      <c r="A575" s="5">
        <v>42</v>
      </c>
      <c r="B575" s="2" t="s">
        <v>91</v>
      </c>
      <c r="C575" s="11" t="s">
        <v>92</v>
      </c>
      <c r="D575" s="28" t="str">
        <f>'B.kriteria &amp; R.kecocokan'!$B$25</f>
        <v>Sedikit</v>
      </c>
      <c r="E575" s="111">
        <f>_xlfn.IFS(D575="Banyak",'B.kriteria &amp; R.kecocokan'!$C$23,D575="Cukup",'B.kriteria &amp; R.kecocokan'!$C$24,D575="Sedikit",'B.kriteria &amp; R.kecocokan'!$C$25)</f>
        <v>7.5</v>
      </c>
      <c r="F575" s="9" t="str">
        <f>'B.kriteria &amp; R.kecocokan'!$B$34</f>
        <v>Tinggi</v>
      </c>
      <c r="G575" s="8">
        <f>_xlfn.IFS(F575="Tinggi",'B.kriteria &amp; R.kecocokan'!$C$34,F575="Sangat Tinggi",'B.kriteria &amp; R.kecocokan'!$C$35)</f>
        <v>7.5</v>
      </c>
      <c r="H575" s="8" t="str">
        <f>'B.kriteria &amp; R.kecocokan'!$B$41</f>
        <v>Rendah</v>
      </c>
      <c r="I575" s="8">
        <f>_xlfn.IFS(H575="Rendah",'B.kriteria &amp; R.kecocokan'!$C$41,H575="Sedang",'B.kriteria &amp; R.kecocokan'!$C$42,H575="Tinggi",'B.kriteria &amp; R.kecocokan'!$C$43)</f>
        <v>2.5</v>
      </c>
      <c r="J575" s="8" t="str">
        <f>'B.kriteria &amp; R.kecocokan'!$B$72</f>
        <v>Rendah</v>
      </c>
      <c r="K575" s="8">
        <f>_xlfn.IFS(J575="Rendah",'B.kriteria &amp; R.kecocokan'!$C$72,J575="Sedang",'B.kriteria &amp; R.kecocokan'!$C$73,J575="Tinggi",'B.kriteria &amp; R.kecocokan'!$C$74)</f>
        <v>2.5</v>
      </c>
      <c r="L575" s="8" t="str">
        <f>'B.kriteria &amp; R.kecocokan'!$B$95</f>
        <v>Rendah</v>
      </c>
      <c r="M575" s="8">
        <f>_xlfn.IFS(L575="Rendah",'B.kriteria &amp; R.kecocokan'!$C$95,L575="Tinggi",'B.kriteria &amp; R.kecocokan'!$C$96)</f>
        <v>2.5</v>
      </c>
      <c r="N575" s="9" t="str">
        <f>'B.kriteria &amp; R.kecocokan'!$B$81</f>
        <v>Tinggi</v>
      </c>
      <c r="O575" s="8">
        <f>_xlfn.IFS(N575="Rendah",'B.kriteria &amp; R.kecocokan'!$C$80,N575="Tinggi",'B.kriteria &amp; R.kecocokan'!$C$81)</f>
        <v>7.5</v>
      </c>
      <c r="P575" s="9" t="str">
        <f>'B.kriteria &amp; R.kecocokan'!$B$88</f>
        <v>Sedang</v>
      </c>
      <c r="Q575" s="8">
        <f>_xlfn.IFS(P575="Sedikit",'B.kriteria &amp; R.kecocokan'!$C$89,P575="Sedang",'B.kriteria &amp; R.kecocokan'!$C$88,P575="Sangat Sedikit",'B.kriteria &amp; R.kecocokan'!$C$90)</f>
        <v>5</v>
      </c>
      <c r="R575" s="9" t="str">
        <f>'B.kriteria &amp; R.kecocokan'!$B$50</f>
        <v>Sedang</v>
      </c>
      <c r="S575" s="8">
        <f>_xlfn.IFS(R575="Rendah",'B.kriteria &amp; R.kecocokan'!$C$49,R575="Sedang",'B.kriteria &amp; R.kecocokan'!$C$50,R575="Tinggi",'B.kriteria &amp; R.kecocokan'!$C$51)</f>
        <v>5</v>
      </c>
      <c r="T575" s="8" t="str">
        <f>'B.kriteria &amp; R.kecocokan'!$B$57</f>
        <v>Rendah</v>
      </c>
      <c r="U575" s="51">
        <f>_xlfn.IFS(T575="Rendah",'B.kriteria &amp; R.kecocokan'!$C$57,T575="Sedang",'B.kriteria &amp; R.kecocokan'!$C$58,T575="Tinggi",'B.kriteria &amp; R.kecocokan'!$C$59)</f>
        <v>2.5</v>
      </c>
      <c r="V575" s="51" t="str">
        <f>'B.kriteria &amp; R.kecocokan'!$B$65</f>
        <v>Rendah</v>
      </c>
      <c r="W575" s="9">
        <f>_xlfn.IFS(V575="Rendah",'B.kriteria &amp; R.kecocokan'!$C$65,V575="Sedang",'B.kriteria &amp; R.kecocokan'!$C$66,V575="Tinggi",'B.kriteria &amp; R.kecocokan'!$C$67)</f>
        <v>1</v>
      </c>
      <c r="X575" s="117">
        <f t="shared" si="54"/>
        <v>4.4179578767292487</v>
      </c>
      <c r="Y575" s="117">
        <f t="shared" si="55"/>
        <v>6.4115340282214301</v>
      </c>
      <c r="Z575" s="119">
        <f t="shared" si="56"/>
        <v>4.4179578767292487</v>
      </c>
      <c r="AA575" s="55" t="str">
        <f t="shared" si="57"/>
        <v>Layak</v>
      </c>
    </row>
    <row r="576" spans="1:27" x14ac:dyDescent="0.35">
      <c r="A576" s="5">
        <v>43</v>
      </c>
      <c r="B576" s="2" t="s">
        <v>94</v>
      </c>
      <c r="C576" s="11" t="s">
        <v>95</v>
      </c>
      <c r="D576" s="28" t="str">
        <f>'B.kriteria &amp; R.kecocokan'!$B$25</f>
        <v>Sedikit</v>
      </c>
      <c r="E576" s="111">
        <f>_xlfn.IFS(D576="Banyak",'B.kriteria &amp; R.kecocokan'!$C$23,D576="Cukup",'B.kriteria &amp; R.kecocokan'!$C$24,D576="Sedikit",'B.kriteria &amp; R.kecocokan'!$C$25)</f>
        <v>7.5</v>
      </c>
      <c r="F576" s="9" t="str">
        <f>'B.kriteria &amp; R.kecocokan'!$B$34</f>
        <v>Tinggi</v>
      </c>
      <c r="G576" s="8">
        <f>_xlfn.IFS(F576="Tinggi",'B.kriteria &amp; R.kecocokan'!$C$34,F576="Sangat Tinggi",'B.kriteria &amp; R.kecocokan'!$C$35)</f>
        <v>7.5</v>
      </c>
      <c r="H576" s="8" t="str">
        <f>'B.kriteria &amp; R.kecocokan'!$B$41</f>
        <v>Rendah</v>
      </c>
      <c r="I576" s="8">
        <f>_xlfn.IFS(H576="Rendah",'B.kriteria &amp; R.kecocokan'!$C$41,H576="Sedang",'B.kriteria &amp; R.kecocokan'!$C$42,H576="Tinggi",'B.kriteria &amp; R.kecocokan'!$C$43)</f>
        <v>2.5</v>
      </c>
      <c r="J576" s="8" t="str">
        <f>'B.kriteria &amp; R.kecocokan'!$B$72</f>
        <v>Rendah</v>
      </c>
      <c r="K576" s="8">
        <f>_xlfn.IFS(J576="Rendah",'B.kriteria &amp; R.kecocokan'!$C$72,J576="Sedang",'B.kriteria &amp; R.kecocokan'!$C$73,J576="Tinggi",'B.kriteria &amp; R.kecocokan'!$C$74)</f>
        <v>2.5</v>
      </c>
      <c r="L576" s="8" t="str">
        <f>'B.kriteria &amp; R.kecocokan'!$B$95</f>
        <v>Rendah</v>
      </c>
      <c r="M576" s="8">
        <f>_xlfn.IFS(L576="Rendah",'B.kriteria &amp; R.kecocokan'!$C$95,L576="Tinggi",'B.kriteria &amp; R.kecocokan'!$C$96)</f>
        <v>2.5</v>
      </c>
      <c r="N576" s="8" t="str">
        <f>'B.kriteria &amp; R.kecocokan'!$B$80</f>
        <v>Rendah</v>
      </c>
      <c r="O576" s="8">
        <f>_xlfn.IFS(N576="Rendah",'B.kriteria &amp; R.kecocokan'!$C$80,N576="Tinggi",'B.kriteria &amp; R.kecocokan'!$C$81)</f>
        <v>2.5</v>
      </c>
      <c r="P576" s="9" t="str">
        <f>'B.kriteria &amp; R.kecocokan'!$B$90</f>
        <v>Sangat Sedikit</v>
      </c>
      <c r="Q576" s="8">
        <f>_xlfn.IFS(P576="Sedikit",'B.kriteria &amp; R.kecocokan'!$C$89,P576="Sedang",'B.kriteria &amp; R.kecocokan'!$C$88,P576="Sangat Sedikit",'B.kriteria &amp; R.kecocokan'!$C$90)</f>
        <v>1</v>
      </c>
      <c r="R576" s="8" t="str">
        <f>'B.kriteria &amp; R.kecocokan'!$B$49</f>
        <v>Rendah</v>
      </c>
      <c r="S576" s="8">
        <f>_xlfn.IFS(R576="Rendah",'B.kriteria &amp; R.kecocokan'!$C$49,R576="Sedang",'B.kriteria &amp; R.kecocokan'!$C$50,R576="Tinggi",'B.kriteria &amp; R.kecocokan'!$C$51)</f>
        <v>2.5</v>
      </c>
      <c r="T576" s="8" t="str">
        <f>'B.kriteria &amp; R.kecocokan'!$B$57</f>
        <v>Rendah</v>
      </c>
      <c r="U576" s="51">
        <f>_xlfn.IFS(T576="Rendah",'B.kriteria &amp; R.kecocokan'!$C$57,T576="Sedang",'B.kriteria &amp; R.kecocokan'!$C$58,T576="Tinggi",'B.kriteria &amp; R.kecocokan'!$C$59)</f>
        <v>2.5</v>
      </c>
      <c r="V576" s="51" t="str">
        <f>'B.kriteria &amp; R.kecocokan'!$B$65</f>
        <v>Rendah</v>
      </c>
      <c r="W576" s="9">
        <f>_xlfn.IFS(V576="Rendah",'B.kriteria &amp; R.kecocokan'!$C$65,V576="Sedang",'B.kriteria &amp; R.kecocokan'!$C$66,V576="Tinggi",'B.kriteria &amp; R.kecocokan'!$C$67)</f>
        <v>1</v>
      </c>
      <c r="X576" s="117">
        <f t="shared" si="54"/>
        <v>5.3783126106053114</v>
      </c>
      <c r="Y576" s="117">
        <f t="shared" si="55"/>
        <v>3.7879648475072223</v>
      </c>
      <c r="Z576" s="119">
        <f t="shared" si="56"/>
        <v>3.7879648475072223</v>
      </c>
      <c r="AA576" s="55" t="str">
        <f t="shared" si="57"/>
        <v>Tidak Layak</v>
      </c>
    </row>
    <row r="577" spans="1:27" x14ac:dyDescent="0.35">
      <c r="A577" s="1">
        <v>44</v>
      </c>
      <c r="B577" s="2" t="s">
        <v>96</v>
      </c>
      <c r="C577" s="11" t="s">
        <v>95</v>
      </c>
      <c r="D577" s="28" t="str">
        <f>'B.kriteria &amp; R.kecocokan'!$B$25</f>
        <v>Sedikit</v>
      </c>
      <c r="E577" s="111">
        <f>_xlfn.IFS(D577="Banyak",'B.kriteria &amp; R.kecocokan'!$C$23,D577="Cukup",'B.kriteria &amp; R.kecocokan'!$C$24,D577="Sedikit",'B.kriteria &amp; R.kecocokan'!$C$25)</f>
        <v>7.5</v>
      </c>
      <c r="F577" s="9" t="str">
        <f>'B.kriteria &amp; R.kecocokan'!$B$35</f>
        <v>Sangat Tinggi</v>
      </c>
      <c r="G577" s="8">
        <f>_xlfn.IFS(F577="Tinggi",'B.kriteria &amp; R.kecocokan'!$C$34,F577="Sangat Tinggi",'B.kriteria &amp; R.kecocokan'!$C$35)</f>
        <v>10</v>
      </c>
      <c r="H577" s="8" t="str">
        <f>'B.kriteria &amp; R.kecocokan'!$B$41</f>
        <v>Rendah</v>
      </c>
      <c r="I577" s="8">
        <f>_xlfn.IFS(H577="Rendah",'B.kriteria &amp; R.kecocokan'!$C$41,H577="Sedang",'B.kriteria &amp; R.kecocokan'!$C$42,H577="Tinggi",'B.kriteria &amp; R.kecocokan'!$C$43)</f>
        <v>2.5</v>
      </c>
      <c r="J577" s="8" t="str">
        <f>'B.kriteria &amp; R.kecocokan'!$B$72</f>
        <v>Rendah</v>
      </c>
      <c r="K577" s="8">
        <f>_xlfn.IFS(J577="Rendah",'B.kriteria &amp; R.kecocokan'!$C$72,J577="Sedang",'B.kriteria &amp; R.kecocokan'!$C$73,J577="Tinggi",'B.kriteria &amp; R.kecocokan'!$C$74)</f>
        <v>2.5</v>
      </c>
      <c r="L577" s="8" t="str">
        <f>'B.kriteria &amp; R.kecocokan'!$B$95</f>
        <v>Rendah</v>
      </c>
      <c r="M577" s="8">
        <f>_xlfn.IFS(L577="Rendah",'B.kriteria &amp; R.kecocokan'!$C$95,L577="Tinggi",'B.kriteria &amp; R.kecocokan'!$C$96)</f>
        <v>2.5</v>
      </c>
      <c r="N577" s="9" t="str">
        <f>'B.kriteria &amp; R.kecocokan'!$B$81</f>
        <v>Tinggi</v>
      </c>
      <c r="O577" s="8">
        <f>_xlfn.IFS(N577="Rendah",'B.kriteria &amp; R.kecocokan'!$C$80,N577="Tinggi",'B.kriteria &amp; R.kecocokan'!$C$81)</f>
        <v>7.5</v>
      </c>
      <c r="P577" s="9" t="str">
        <f>'B.kriteria &amp; R.kecocokan'!$B$90</f>
        <v>Sangat Sedikit</v>
      </c>
      <c r="Q577" s="8">
        <f>_xlfn.IFS(P577="Sedikit",'B.kriteria &amp; R.kecocokan'!$C$89,P577="Sedang",'B.kriteria &amp; R.kecocokan'!$C$88,P577="Sangat Sedikit",'B.kriteria &amp; R.kecocokan'!$C$90)</f>
        <v>1</v>
      </c>
      <c r="R577" s="9" t="str">
        <f>'B.kriteria &amp; R.kecocokan'!$B$50</f>
        <v>Sedang</v>
      </c>
      <c r="S577" s="8">
        <f>_xlfn.IFS(R577="Rendah",'B.kriteria &amp; R.kecocokan'!$C$49,R577="Sedang",'B.kriteria &amp; R.kecocokan'!$C$50,R577="Tinggi",'B.kriteria &amp; R.kecocokan'!$C$51)</f>
        <v>5</v>
      </c>
      <c r="T577" s="9" t="str">
        <f>'B.kriteria &amp; R.kecocokan'!$B$59</f>
        <v>Tinggi</v>
      </c>
      <c r="U577" s="51">
        <f>_xlfn.IFS(T577="Rendah",'B.kriteria &amp; R.kecocokan'!$C$57,T577="Sedang",'B.kriteria &amp; R.kecocokan'!$C$58,T577="Tinggi",'B.kriteria &amp; R.kecocokan'!$C$59)</f>
        <v>7.5</v>
      </c>
      <c r="V577" s="51" t="str">
        <f>'B.kriteria &amp; R.kecocokan'!$B$65</f>
        <v>Rendah</v>
      </c>
      <c r="W577" s="9">
        <f>_xlfn.IFS(V577="Rendah",'B.kriteria &amp; R.kecocokan'!$C$65,V577="Sedang",'B.kriteria &amp; R.kecocokan'!$C$66,V577="Tinggi",'B.kriteria &amp; R.kecocokan'!$C$67)</f>
        <v>1</v>
      </c>
      <c r="X577" s="117">
        <f t="shared" si="54"/>
        <v>5.0306883708658141</v>
      </c>
      <c r="Y577" s="117">
        <f t="shared" si="55"/>
        <v>8.2728221772778063</v>
      </c>
      <c r="Z577" s="119">
        <f t="shared" si="56"/>
        <v>5.0306883708658141</v>
      </c>
      <c r="AA577" s="55" t="str">
        <f t="shared" si="57"/>
        <v>Layak</v>
      </c>
    </row>
    <row r="578" spans="1:27" x14ac:dyDescent="0.35">
      <c r="A578" s="5">
        <v>45</v>
      </c>
      <c r="B578" s="2" t="s">
        <v>98</v>
      </c>
      <c r="C578" s="11" t="s">
        <v>95</v>
      </c>
      <c r="D578" s="32" t="str">
        <f>'B.kriteria &amp; R.kecocokan'!$B$24</f>
        <v>Cukup</v>
      </c>
      <c r="E578" s="111">
        <f>_xlfn.IFS(D578="Banyak",'B.kriteria &amp; R.kecocokan'!$C$23,D578="Cukup",'B.kriteria &amp; R.kecocokan'!$C$24,D578="Sedikit",'B.kriteria &amp; R.kecocokan'!$C$25)</f>
        <v>5</v>
      </c>
      <c r="F578" s="9" t="str">
        <f>'B.kriteria &amp; R.kecocokan'!$B$34</f>
        <v>Tinggi</v>
      </c>
      <c r="G578" s="8">
        <f>_xlfn.IFS(F578="Tinggi",'B.kriteria &amp; R.kecocokan'!$C$34,F578="Sangat Tinggi",'B.kriteria &amp; R.kecocokan'!$C$35)</f>
        <v>7.5</v>
      </c>
      <c r="H578" s="8" t="str">
        <f>'B.kriteria &amp; R.kecocokan'!$B$41</f>
        <v>Rendah</v>
      </c>
      <c r="I578" s="8">
        <f>_xlfn.IFS(H578="Rendah",'B.kriteria &amp; R.kecocokan'!$C$41,H578="Sedang",'B.kriteria &amp; R.kecocokan'!$C$42,H578="Tinggi",'B.kriteria &amp; R.kecocokan'!$C$43)</f>
        <v>2.5</v>
      </c>
      <c r="J578" s="8" t="str">
        <f>'B.kriteria &amp; R.kecocokan'!$B$72</f>
        <v>Rendah</v>
      </c>
      <c r="K578" s="8">
        <f>_xlfn.IFS(J578="Rendah",'B.kriteria &amp; R.kecocokan'!$C$72,J578="Sedang",'B.kriteria &amp; R.kecocokan'!$C$73,J578="Tinggi",'B.kriteria &amp; R.kecocokan'!$C$74)</f>
        <v>2.5</v>
      </c>
      <c r="L578" s="8" t="str">
        <f>'B.kriteria &amp; R.kecocokan'!$B$95</f>
        <v>Rendah</v>
      </c>
      <c r="M578" s="8">
        <f>_xlfn.IFS(L578="Rendah",'B.kriteria &amp; R.kecocokan'!$C$95,L578="Tinggi",'B.kriteria &amp; R.kecocokan'!$C$96)</f>
        <v>2.5</v>
      </c>
      <c r="N578" s="9" t="str">
        <f>'B.kriteria &amp; R.kecocokan'!$B$81</f>
        <v>Tinggi</v>
      </c>
      <c r="O578" s="8">
        <f>_xlfn.IFS(N578="Rendah",'B.kriteria &amp; R.kecocokan'!$C$80,N578="Tinggi",'B.kriteria &amp; R.kecocokan'!$C$81)</f>
        <v>7.5</v>
      </c>
      <c r="P578" s="9" t="str">
        <f>'B.kriteria &amp; R.kecocokan'!$B$90</f>
        <v>Sangat Sedikit</v>
      </c>
      <c r="Q578" s="8">
        <f>_xlfn.IFS(P578="Sedikit",'B.kriteria &amp; R.kecocokan'!$C$89,P578="Sedang",'B.kriteria &amp; R.kecocokan'!$C$88,P578="Sangat Sedikit",'B.kriteria &amp; R.kecocokan'!$C$90)</f>
        <v>1</v>
      </c>
      <c r="R578" s="8" t="str">
        <f>'B.kriteria &amp; R.kecocokan'!$B$49</f>
        <v>Rendah</v>
      </c>
      <c r="S578" s="8">
        <f>_xlfn.IFS(R578="Rendah",'B.kriteria &amp; R.kecocokan'!$C$49,R578="Sedang",'B.kriteria &amp; R.kecocokan'!$C$50,R578="Tinggi",'B.kriteria &amp; R.kecocokan'!$C$51)</f>
        <v>2.5</v>
      </c>
      <c r="T578" s="8" t="str">
        <f>'B.kriteria &amp; R.kecocokan'!$B$57</f>
        <v>Rendah</v>
      </c>
      <c r="U578" s="51">
        <f>_xlfn.IFS(T578="Rendah",'B.kriteria &amp; R.kecocokan'!$C$57,T578="Sedang",'B.kriteria &amp; R.kecocokan'!$C$58,T578="Tinggi",'B.kriteria &amp; R.kecocokan'!$C$59)</f>
        <v>2.5</v>
      </c>
      <c r="V578" s="51" t="str">
        <f>'B.kriteria &amp; R.kecocokan'!$B$65</f>
        <v>Rendah</v>
      </c>
      <c r="W578" s="9">
        <f>_xlfn.IFS(V578="Rendah",'B.kriteria &amp; R.kecocokan'!$C$65,V578="Sedang",'B.kriteria &amp; R.kecocokan'!$C$66,V578="Tinggi",'B.kriteria &amp; R.kecocokan'!$C$67)</f>
        <v>1</v>
      </c>
      <c r="X578" s="117">
        <f t="shared" si="54"/>
        <v>1.8078583463739675</v>
      </c>
      <c r="Y578" s="117">
        <f t="shared" si="55"/>
        <v>5.6535222693102378</v>
      </c>
      <c r="Z578" s="119">
        <f t="shared" si="56"/>
        <v>1.8078583463739675</v>
      </c>
      <c r="AA578" s="55" t="str">
        <f t="shared" si="57"/>
        <v>Layak</v>
      </c>
    </row>
    <row r="579" spans="1:27" x14ac:dyDescent="0.35">
      <c r="A579" s="5">
        <v>46</v>
      </c>
      <c r="B579" s="2" t="s">
        <v>100</v>
      </c>
      <c r="C579" s="11" t="s">
        <v>92</v>
      </c>
      <c r="D579" s="32" t="str">
        <f>'B.kriteria &amp; R.kecocokan'!$B$24</f>
        <v>Cukup</v>
      </c>
      <c r="E579" s="111">
        <f>_xlfn.IFS(D579="Banyak",'B.kriteria &amp; R.kecocokan'!$C$23,D579="Cukup",'B.kriteria &amp; R.kecocokan'!$C$24,D579="Sedikit",'B.kriteria &amp; R.kecocokan'!$C$25)</f>
        <v>5</v>
      </c>
      <c r="F579" s="9" t="str">
        <f>'B.kriteria &amp; R.kecocokan'!$B$34</f>
        <v>Tinggi</v>
      </c>
      <c r="G579" s="8">
        <f>_xlfn.IFS(F579="Tinggi",'B.kriteria &amp; R.kecocokan'!$C$34,F579="Sangat Tinggi",'B.kriteria &amp; R.kecocokan'!$C$35)</f>
        <v>7.5</v>
      </c>
      <c r="H579" s="8" t="str">
        <f>'B.kriteria &amp; R.kecocokan'!$B$41</f>
        <v>Rendah</v>
      </c>
      <c r="I579" s="8">
        <f>_xlfn.IFS(H579="Rendah",'B.kriteria &amp; R.kecocokan'!$C$41,H579="Sedang",'B.kriteria &amp; R.kecocokan'!$C$42,H579="Tinggi",'B.kriteria &amp; R.kecocokan'!$C$43)</f>
        <v>2.5</v>
      </c>
      <c r="J579" s="8" t="str">
        <f>'B.kriteria &amp; R.kecocokan'!$B$72</f>
        <v>Rendah</v>
      </c>
      <c r="K579" s="8">
        <f>_xlfn.IFS(J579="Rendah",'B.kriteria &amp; R.kecocokan'!$C$72,J579="Sedang",'B.kriteria &amp; R.kecocokan'!$C$73,J579="Tinggi",'B.kriteria &amp; R.kecocokan'!$C$74)</f>
        <v>2.5</v>
      </c>
      <c r="L579" s="8" t="str">
        <f>'B.kriteria &amp; R.kecocokan'!$B$95</f>
        <v>Rendah</v>
      </c>
      <c r="M579" s="8">
        <f>_xlfn.IFS(L579="Rendah",'B.kriteria &amp; R.kecocokan'!$C$95,L579="Tinggi",'B.kriteria &amp; R.kecocokan'!$C$96)</f>
        <v>2.5</v>
      </c>
      <c r="N579" s="8" t="str">
        <f>'B.kriteria &amp; R.kecocokan'!$B$80</f>
        <v>Rendah</v>
      </c>
      <c r="O579" s="8">
        <f>_xlfn.IFS(N579="Rendah",'B.kriteria &amp; R.kecocokan'!$C$80,N579="Tinggi",'B.kriteria &amp; R.kecocokan'!$C$81)</f>
        <v>2.5</v>
      </c>
      <c r="P579" s="9" t="str">
        <f>'B.kriteria &amp; R.kecocokan'!$B$88</f>
        <v>Sedang</v>
      </c>
      <c r="Q579" s="8">
        <f>_xlfn.IFS(P579="Sedikit",'B.kriteria &amp; R.kecocokan'!$C$89,P579="Sedang",'B.kriteria &amp; R.kecocokan'!$C$88,P579="Sangat Sedikit",'B.kriteria &amp; R.kecocokan'!$C$90)</f>
        <v>5</v>
      </c>
      <c r="R579" s="8" t="str">
        <f>'B.kriteria &amp; R.kecocokan'!$B$49</f>
        <v>Rendah</v>
      </c>
      <c r="S579" s="8">
        <f>_xlfn.IFS(R579="Rendah",'B.kriteria &amp; R.kecocokan'!$C$49,R579="Sedang",'B.kriteria &amp; R.kecocokan'!$C$50,R579="Tinggi",'B.kriteria &amp; R.kecocokan'!$C$51)</f>
        <v>2.5</v>
      </c>
      <c r="T579" s="8" t="str">
        <f>'B.kriteria &amp; R.kecocokan'!$B$57</f>
        <v>Rendah</v>
      </c>
      <c r="U579" s="51">
        <f>_xlfn.IFS(T579="Rendah",'B.kriteria &amp; R.kecocokan'!$C$57,T579="Sedang",'B.kriteria &amp; R.kecocokan'!$C$58,T579="Tinggi",'B.kriteria &amp; R.kecocokan'!$C$59)</f>
        <v>2.5</v>
      </c>
      <c r="V579" s="51" t="str">
        <f>'B.kriteria &amp; R.kecocokan'!$B$65</f>
        <v>Rendah</v>
      </c>
      <c r="W579" s="9">
        <f>_xlfn.IFS(V579="Rendah",'B.kriteria &amp; R.kecocokan'!$C$65,V579="Sedang",'B.kriteria &amp; R.kecocokan'!$C$66,V579="Tinggi",'B.kriteria &amp; R.kecocokan'!$C$67)</f>
        <v>1</v>
      </c>
      <c r="X579" s="117">
        <f t="shared" si="54"/>
        <v>6.3953053678399474</v>
      </c>
      <c r="Y579" s="117">
        <f t="shared" si="55"/>
        <v>1.9583261532017717</v>
      </c>
      <c r="Z579" s="119">
        <f t="shared" si="56"/>
        <v>1.9583261532017717</v>
      </c>
      <c r="AA579" s="55" t="str">
        <f t="shared" si="57"/>
        <v>Tidak Layak</v>
      </c>
    </row>
    <row r="580" spans="1:27" x14ac:dyDescent="0.35">
      <c r="A580" s="1">
        <v>47</v>
      </c>
      <c r="B580" s="2" t="s">
        <v>101</v>
      </c>
      <c r="C580" s="11" t="s">
        <v>92</v>
      </c>
      <c r="D580" s="28" t="str">
        <f>'B.kriteria &amp; R.kecocokan'!$B$25</f>
        <v>Sedikit</v>
      </c>
      <c r="E580" s="111">
        <f>_xlfn.IFS(D580="Banyak",'B.kriteria &amp; R.kecocokan'!$C$23,D580="Cukup",'B.kriteria &amp; R.kecocokan'!$C$24,D580="Sedikit",'B.kriteria &amp; R.kecocokan'!$C$25)</f>
        <v>7.5</v>
      </c>
      <c r="F580" s="9" t="str">
        <f>'B.kriteria &amp; R.kecocokan'!$B$34</f>
        <v>Tinggi</v>
      </c>
      <c r="G580" s="8">
        <f>_xlfn.IFS(F580="Tinggi",'B.kriteria &amp; R.kecocokan'!$C$34,F580="Sangat Tinggi",'B.kriteria &amp; R.kecocokan'!$C$35)</f>
        <v>7.5</v>
      </c>
      <c r="H580" s="8" t="str">
        <f>'B.kriteria &amp; R.kecocokan'!$B$41</f>
        <v>Rendah</v>
      </c>
      <c r="I580" s="8">
        <f>_xlfn.IFS(H580="Rendah",'B.kriteria &amp; R.kecocokan'!$C$41,H580="Sedang",'B.kriteria &amp; R.kecocokan'!$C$42,H580="Tinggi",'B.kriteria &amp; R.kecocokan'!$C$43)</f>
        <v>2.5</v>
      </c>
      <c r="J580" s="8" t="str">
        <f>'B.kriteria &amp; R.kecocokan'!$B$72</f>
        <v>Rendah</v>
      </c>
      <c r="K580" s="8">
        <f>_xlfn.IFS(J580="Rendah",'B.kriteria &amp; R.kecocokan'!$C$72,J580="Sedang",'B.kriteria &amp; R.kecocokan'!$C$73,J580="Tinggi",'B.kriteria &amp; R.kecocokan'!$C$74)</f>
        <v>2.5</v>
      </c>
      <c r="L580" s="8" t="str">
        <f>'B.kriteria &amp; R.kecocokan'!$B$95</f>
        <v>Rendah</v>
      </c>
      <c r="M580" s="8">
        <f>_xlfn.IFS(L580="Rendah",'B.kriteria &amp; R.kecocokan'!$C$95,L580="Tinggi",'B.kriteria &amp; R.kecocokan'!$C$96)</f>
        <v>2.5</v>
      </c>
      <c r="N580" s="9" t="str">
        <f>'B.kriteria &amp; R.kecocokan'!$B$81</f>
        <v>Tinggi</v>
      </c>
      <c r="O580" s="8">
        <f>_xlfn.IFS(N580="Rendah",'B.kriteria &amp; R.kecocokan'!$C$80,N580="Tinggi",'B.kriteria &amp; R.kecocokan'!$C$81)</f>
        <v>7.5</v>
      </c>
      <c r="P580" s="9" t="str">
        <f>'B.kriteria &amp; R.kecocokan'!$B$90</f>
        <v>Sangat Sedikit</v>
      </c>
      <c r="Q580" s="8">
        <f>_xlfn.IFS(P580="Sedikit",'B.kriteria &amp; R.kecocokan'!$C$89,P580="Sedang",'B.kriteria &amp; R.kecocokan'!$C$88,P580="Sangat Sedikit",'B.kriteria &amp; R.kecocokan'!$C$90)</f>
        <v>1</v>
      </c>
      <c r="R580" s="8" t="str">
        <f>'B.kriteria &amp; R.kecocokan'!$B$49</f>
        <v>Rendah</v>
      </c>
      <c r="S580" s="8">
        <f>_xlfn.IFS(R580="Rendah",'B.kriteria &amp; R.kecocokan'!$C$49,R580="Sedang",'B.kriteria &amp; R.kecocokan'!$C$50,R580="Tinggi",'B.kriteria &amp; R.kecocokan'!$C$51)</f>
        <v>2.5</v>
      </c>
      <c r="T580" s="8" t="str">
        <f>'B.kriteria &amp; R.kecocokan'!$B$57</f>
        <v>Rendah</v>
      </c>
      <c r="U580" s="51">
        <f>_xlfn.IFS(T580="Rendah",'B.kriteria &amp; R.kecocokan'!$C$57,T580="Sedang",'B.kriteria &amp; R.kecocokan'!$C$58,T580="Tinggi",'B.kriteria &amp; R.kecocokan'!$C$59)</f>
        <v>2.5</v>
      </c>
      <c r="V580" s="51" t="str">
        <f>'B.kriteria &amp; R.kecocokan'!$B$65</f>
        <v>Rendah</v>
      </c>
      <c r="W580" s="9">
        <f>_xlfn.IFS(V580="Rendah",'B.kriteria &amp; R.kecocokan'!$C$65,V580="Sedang",'B.kriteria &amp; R.kecocokan'!$C$66,V580="Tinggi",'B.kriteria &amp; R.kecocokan'!$C$67)</f>
        <v>1</v>
      </c>
      <c r="X580" s="117">
        <f t="shared" si="54"/>
        <v>1.9814758482999792</v>
      </c>
      <c r="Y580" s="117">
        <f t="shared" si="55"/>
        <v>6.2728524361689244</v>
      </c>
      <c r="Z580" s="119">
        <f t="shared" si="56"/>
        <v>1.9814758482999792</v>
      </c>
      <c r="AA580" s="55" t="str">
        <f t="shared" si="57"/>
        <v>Layak</v>
      </c>
    </row>
    <row r="581" spans="1:27" x14ac:dyDescent="0.35">
      <c r="A581" s="5">
        <v>48</v>
      </c>
      <c r="B581" s="2" t="s">
        <v>102</v>
      </c>
      <c r="C581" s="11" t="s">
        <v>95</v>
      </c>
      <c r="D581" s="32" t="str">
        <f>'B.kriteria &amp; R.kecocokan'!$B$24</f>
        <v>Cukup</v>
      </c>
      <c r="E581" s="111">
        <f>_xlfn.IFS(D581="Banyak",'B.kriteria &amp; R.kecocokan'!$C$23,D581="Cukup",'B.kriteria &amp; R.kecocokan'!$C$24,D581="Sedikit",'B.kriteria &amp; R.kecocokan'!$C$25)</f>
        <v>5</v>
      </c>
      <c r="F581" s="9" t="str">
        <f>'B.kriteria &amp; R.kecocokan'!$B$34</f>
        <v>Tinggi</v>
      </c>
      <c r="G581" s="8">
        <f>_xlfn.IFS(F581="Tinggi",'B.kriteria &amp; R.kecocokan'!$C$34,F581="Sangat Tinggi",'B.kriteria &amp; R.kecocokan'!$C$35)</f>
        <v>7.5</v>
      </c>
      <c r="H581" s="8" t="str">
        <f>'B.kriteria &amp; R.kecocokan'!$B$41</f>
        <v>Rendah</v>
      </c>
      <c r="I581" s="8">
        <f>_xlfn.IFS(H581="Rendah",'B.kriteria &amp; R.kecocokan'!$C$41,H581="Sedang",'B.kriteria &amp; R.kecocokan'!$C$42,H581="Tinggi",'B.kriteria &amp; R.kecocokan'!$C$43)</f>
        <v>2.5</v>
      </c>
      <c r="J581" s="8" t="str">
        <f>'B.kriteria &amp; R.kecocokan'!$B$72</f>
        <v>Rendah</v>
      </c>
      <c r="K581" s="8">
        <f>_xlfn.IFS(J581="Rendah",'B.kriteria &amp; R.kecocokan'!$C$72,J581="Sedang",'B.kriteria &amp; R.kecocokan'!$C$73,J581="Tinggi",'B.kriteria &amp; R.kecocokan'!$C$74)</f>
        <v>2.5</v>
      </c>
      <c r="L581" s="8" t="str">
        <f>'B.kriteria &amp; R.kecocokan'!$B$95</f>
        <v>Rendah</v>
      </c>
      <c r="M581" s="8">
        <f>_xlfn.IFS(L581="Rendah",'B.kriteria &amp; R.kecocokan'!$C$95,L581="Tinggi",'B.kriteria &amp; R.kecocokan'!$C$96)</f>
        <v>2.5</v>
      </c>
      <c r="N581" s="8" t="str">
        <f>'B.kriteria &amp; R.kecocokan'!$B$80</f>
        <v>Rendah</v>
      </c>
      <c r="O581" s="8">
        <f>_xlfn.IFS(N581="Rendah",'B.kriteria &amp; R.kecocokan'!$C$80,N581="Tinggi",'B.kriteria &amp; R.kecocokan'!$C$81)</f>
        <v>2.5</v>
      </c>
      <c r="P581" s="8" t="str">
        <f>'B.kriteria &amp; R.kecocokan'!$B$89</f>
        <v>Sedikit</v>
      </c>
      <c r="Q581" s="8">
        <f>_xlfn.IFS(P581="Sedikit",'B.kriteria &amp; R.kecocokan'!$C$89,P581="Sedang",'B.kriteria &amp; R.kecocokan'!$C$88,P581="Sangat Sedikit",'B.kriteria &amp; R.kecocokan'!$C$90)</f>
        <v>2.5</v>
      </c>
      <c r="R581" s="8" t="str">
        <f>'B.kriteria &amp; R.kecocokan'!$B$49</f>
        <v>Rendah</v>
      </c>
      <c r="S581" s="8">
        <f>_xlfn.IFS(R581="Rendah",'B.kriteria &amp; R.kecocokan'!$C$49,R581="Sedang",'B.kriteria &amp; R.kecocokan'!$C$50,R581="Tinggi",'B.kriteria &amp; R.kecocokan'!$C$51)</f>
        <v>2.5</v>
      </c>
      <c r="T581" s="8" t="str">
        <f>'B.kriteria &amp; R.kecocokan'!$B$57</f>
        <v>Rendah</v>
      </c>
      <c r="U581" s="51">
        <f>_xlfn.IFS(T581="Rendah",'B.kriteria &amp; R.kecocokan'!$C$57,T581="Sedang",'B.kriteria &amp; R.kecocokan'!$C$58,T581="Tinggi",'B.kriteria &amp; R.kecocokan'!$C$59)</f>
        <v>2.5</v>
      </c>
      <c r="V581" s="51" t="str">
        <f>'B.kriteria &amp; R.kecocokan'!$B$65</f>
        <v>Rendah</v>
      </c>
      <c r="W581" s="9">
        <f>_xlfn.IFS(V581="Rendah",'B.kriteria &amp; R.kecocokan'!$C$65,V581="Sedang",'B.kriteria &amp; R.kecocokan'!$C$66,V581="Tinggi",'B.kriteria &amp; R.kecocokan'!$C$67)</f>
        <v>1</v>
      </c>
      <c r="X581" s="117">
        <f t="shared" si="54"/>
        <v>5.4088070686443581</v>
      </c>
      <c r="Y581" s="117">
        <f t="shared" si="55"/>
        <v>1.428141021348909</v>
      </c>
      <c r="Z581" s="119">
        <f t="shared" si="56"/>
        <v>1.428141021348909</v>
      </c>
      <c r="AA581" s="55" t="str">
        <f t="shared" si="57"/>
        <v>Tidak Layak</v>
      </c>
    </row>
    <row r="582" spans="1:27" x14ac:dyDescent="0.35">
      <c r="A582" s="5">
        <v>49</v>
      </c>
      <c r="B582" s="2" t="s">
        <v>104</v>
      </c>
      <c r="C582" s="11" t="s">
        <v>92</v>
      </c>
      <c r="D582" s="28" t="str">
        <f>'B.kriteria &amp; R.kecocokan'!$B$25</f>
        <v>Sedikit</v>
      </c>
      <c r="E582" s="111">
        <f>_xlfn.IFS(D582="Banyak",'B.kriteria &amp; R.kecocokan'!$C$23,D582="Cukup",'B.kriteria &amp; R.kecocokan'!$C$24,D582="Sedikit",'B.kriteria &amp; R.kecocokan'!$C$25)</f>
        <v>7.5</v>
      </c>
      <c r="F582" s="9" t="str">
        <f>'B.kriteria &amp; R.kecocokan'!$B$35</f>
        <v>Sangat Tinggi</v>
      </c>
      <c r="G582" s="8">
        <f>_xlfn.IFS(F582="Tinggi",'B.kriteria &amp; R.kecocokan'!$C$34,F582="Sangat Tinggi",'B.kriteria &amp; R.kecocokan'!$C$35)</f>
        <v>10</v>
      </c>
      <c r="H582" s="8" t="str">
        <f>'B.kriteria &amp; R.kecocokan'!$B$41</f>
        <v>Rendah</v>
      </c>
      <c r="I582" s="8">
        <f>_xlfn.IFS(H582="Rendah",'B.kriteria &amp; R.kecocokan'!$C$41,H582="Sedang",'B.kriteria &amp; R.kecocokan'!$C$42,H582="Tinggi",'B.kriteria &amp; R.kecocokan'!$C$43)</f>
        <v>2.5</v>
      </c>
      <c r="J582" s="8" t="str">
        <f>'B.kriteria &amp; R.kecocokan'!$B$72</f>
        <v>Rendah</v>
      </c>
      <c r="K582" s="8">
        <f>_xlfn.IFS(J582="Rendah",'B.kriteria &amp; R.kecocokan'!$C$72,J582="Sedang",'B.kriteria &amp; R.kecocokan'!$C$73,J582="Tinggi",'B.kriteria &amp; R.kecocokan'!$C$74)</f>
        <v>2.5</v>
      </c>
      <c r="L582" s="8" t="str">
        <f>'B.kriteria &amp; R.kecocokan'!$B$95</f>
        <v>Rendah</v>
      </c>
      <c r="M582" s="8">
        <f>_xlfn.IFS(L582="Rendah",'B.kriteria &amp; R.kecocokan'!$C$95,L582="Tinggi",'B.kriteria &amp; R.kecocokan'!$C$96)</f>
        <v>2.5</v>
      </c>
      <c r="N582" s="9" t="str">
        <f>'B.kriteria &amp; R.kecocokan'!$B$81</f>
        <v>Tinggi</v>
      </c>
      <c r="O582" s="8">
        <f>_xlfn.IFS(N582="Rendah",'B.kriteria &amp; R.kecocokan'!$C$80,N582="Tinggi",'B.kriteria &amp; R.kecocokan'!$C$81)</f>
        <v>7.5</v>
      </c>
      <c r="P582" s="9" t="str">
        <f>'B.kriteria &amp; R.kecocokan'!$B$90</f>
        <v>Sangat Sedikit</v>
      </c>
      <c r="Q582" s="8">
        <f>_xlfn.IFS(P582="Sedikit",'B.kriteria &amp; R.kecocokan'!$C$89,P582="Sedang",'B.kriteria &amp; R.kecocokan'!$C$88,P582="Sangat Sedikit",'B.kriteria &amp; R.kecocokan'!$C$90)</f>
        <v>1</v>
      </c>
      <c r="R582" s="8" t="str">
        <f>'B.kriteria &amp; R.kecocokan'!$B$49</f>
        <v>Rendah</v>
      </c>
      <c r="S582" s="8">
        <f>_xlfn.IFS(R582="Rendah",'B.kriteria &amp; R.kecocokan'!$C$49,R582="Sedang",'B.kriteria &amp; R.kecocokan'!$C$50,R582="Tinggi",'B.kriteria &amp; R.kecocokan'!$C$51)</f>
        <v>2.5</v>
      </c>
      <c r="T582" s="8" t="str">
        <f>'B.kriteria &amp; R.kecocokan'!$B$57</f>
        <v>Rendah</v>
      </c>
      <c r="U582" s="51">
        <f>_xlfn.IFS(T582="Rendah",'B.kriteria &amp; R.kecocokan'!$C$57,T582="Sedang",'B.kriteria &amp; R.kecocokan'!$C$58,T582="Tinggi",'B.kriteria &amp; R.kecocokan'!$C$59)</f>
        <v>2.5</v>
      </c>
      <c r="V582" s="51" t="str">
        <f>'B.kriteria &amp; R.kecocokan'!$B$65</f>
        <v>Rendah</v>
      </c>
      <c r="W582" s="9">
        <f>_xlfn.IFS(V582="Rendah",'B.kriteria &amp; R.kecocokan'!$C$65,V582="Sedang",'B.kriteria &amp; R.kecocokan'!$C$66,V582="Tinggi",'B.kriteria &amp; R.kecocokan'!$C$67)</f>
        <v>1</v>
      </c>
      <c r="X582" s="117">
        <f t="shared" si="54"/>
        <v>2.8059962506120271</v>
      </c>
      <c r="Y582" s="117">
        <f t="shared" si="55"/>
        <v>6.5994865815831361</v>
      </c>
      <c r="Z582" s="119">
        <f t="shared" si="56"/>
        <v>2.8059962506120271</v>
      </c>
      <c r="AA582" s="55" t="str">
        <f t="shared" si="57"/>
        <v>Layak</v>
      </c>
    </row>
    <row r="583" spans="1:27" x14ac:dyDescent="0.35">
      <c r="A583" s="1">
        <v>50</v>
      </c>
      <c r="B583" s="2" t="s">
        <v>105</v>
      </c>
      <c r="C583" s="11" t="s">
        <v>92</v>
      </c>
      <c r="D583" s="28" t="str">
        <f>'B.kriteria &amp; R.kecocokan'!$B$25</f>
        <v>Sedikit</v>
      </c>
      <c r="E583" s="111">
        <f>_xlfn.IFS(D583="Banyak",'B.kriteria &amp; R.kecocokan'!$C$23,D583="Cukup",'B.kriteria &amp; R.kecocokan'!$C$24,D583="Sedikit",'B.kriteria &amp; R.kecocokan'!$C$25)</f>
        <v>7.5</v>
      </c>
      <c r="F583" s="9" t="str">
        <f>'B.kriteria &amp; R.kecocokan'!$B$34</f>
        <v>Tinggi</v>
      </c>
      <c r="G583" s="8">
        <f>_xlfn.IFS(F583="Tinggi",'B.kriteria &amp; R.kecocokan'!$C$34,F583="Sangat Tinggi",'B.kriteria &amp; R.kecocokan'!$C$35)</f>
        <v>7.5</v>
      </c>
      <c r="H583" s="8" t="str">
        <f>'B.kriteria &amp; R.kecocokan'!$B$41</f>
        <v>Rendah</v>
      </c>
      <c r="I583" s="8">
        <f>_xlfn.IFS(H583="Rendah",'B.kriteria &amp; R.kecocokan'!$C$41,H583="Sedang",'B.kriteria &amp; R.kecocokan'!$C$42,H583="Tinggi",'B.kriteria &amp; R.kecocokan'!$C$43)</f>
        <v>2.5</v>
      </c>
      <c r="J583" s="8" t="str">
        <f>'B.kriteria &amp; R.kecocokan'!$B$72</f>
        <v>Rendah</v>
      </c>
      <c r="K583" s="8">
        <f>_xlfn.IFS(J583="Rendah",'B.kriteria &amp; R.kecocokan'!$C$72,J583="Sedang",'B.kriteria &amp; R.kecocokan'!$C$73,J583="Tinggi",'B.kriteria &amp; R.kecocokan'!$C$74)</f>
        <v>2.5</v>
      </c>
      <c r="L583" s="8" t="str">
        <f>'B.kriteria &amp; R.kecocokan'!$B$95</f>
        <v>Rendah</v>
      </c>
      <c r="M583" s="8">
        <f>_xlfn.IFS(L583="Rendah",'B.kriteria &amp; R.kecocokan'!$C$95,L583="Tinggi",'B.kriteria &amp; R.kecocokan'!$C$96)</f>
        <v>2.5</v>
      </c>
      <c r="N583" s="8" t="str">
        <f>'B.kriteria &amp; R.kecocokan'!$B$80</f>
        <v>Rendah</v>
      </c>
      <c r="O583" s="8">
        <f>_xlfn.IFS(N583="Rendah",'B.kriteria &amp; R.kecocokan'!$C$80,N583="Tinggi",'B.kriteria &amp; R.kecocokan'!$C$81)</f>
        <v>2.5</v>
      </c>
      <c r="P583" s="9" t="str">
        <f>'B.kriteria &amp; R.kecocokan'!$B$88</f>
        <v>Sedang</v>
      </c>
      <c r="Q583" s="8">
        <f>_xlfn.IFS(P583="Sedikit",'B.kriteria &amp; R.kecocokan'!$C$89,P583="Sedang",'B.kriteria &amp; R.kecocokan'!$C$88,P583="Sangat Sedikit",'B.kriteria &amp; R.kecocokan'!$C$90)</f>
        <v>5</v>
      </c>
      <c r="R583" s="9" t="str">
        <f>'B.kriteria &amp; R.kecocokan'!$B$50</f>
        <v>Sedang</v>
      </c>
      <c r="S583" s="8">
        <f>_xlfn.IFS(R583="Rendah",'B.kriteria &amp; R.kecocokan'!$C$49,R583="Sedang",'B.kriteria &amp; R.kecocokan'!$C$50,R583="Tinggi",'B.kriteria &amp; R.kecocokan'!$C$51)</f>
        <v>5</v>
      </c>
      <c r="T583" s="9" t="str">
        <f>'B.kriteria &amp; R.kecocokan'!$B$59</f>
        <v>Tinggi</v>
      </c>
      <c r="U583" s="51">
        <f>_xlfn.IFS(T583="Rendah",'B.kriteria &amp; R.kecocokan'!$C$57,T583="Sedang",'B.kriteria &amp; R.kecocokan'!$C$58,T583="Tinggi",'B.kriteria &amp; R.kecocokan'!$C$59)</f>
        <v>7.5</v>
      </c>
      <c r="V583" s="51" t="str">
        <f>'B.kriteria &amp; R.kecocokan'!$B$65</f>
        <v>Rendah</v>
      </c>
      <c r="W583" s="9">
        <f>_xlfn.IFS(V583="Rendah",'B.kriteria &amp; R.kecocokan'!$C$65,V583="Sedang",'B.kriteria &amp; R.kecocokan'!$C$66,V583="Tinggi",'B.kriteria &amp; R.kecocokan'!$C$67)</f>
        <v>1</v>
      </c>
      <c r="X583" s="117">
        <f t="shared" si="54"/>
        <v>7.6806273188510019</v>
      </c>
      <c r="Y583" s="117">
        <f t="shared" si="55"/>
        <v>6.0089740051893488</v>
      </c>
      <c r="Z583" s="119">
        <f t="shared" si="56"/>
        <v>6.0089740051893488</v>
      </c>
      <c r="AA583" s="55" t="str">
        <f t="shared" si="57"/>
        <v>Tidak Layak</v>
      </c>
    </row>
    <row r="584" spans="1:27" x14ac:dyDescent="0.35">
      <c r="A584" s="5">
        <v>51</v>
      </c>
      <c r="B584" s="2" t="s">
        <v>106</v>
      </c>
      <c r="C584" s="11" t="s">
        <v>92</v>
      </c>
      <c r="D584" s="28" t="str">
        <f>'B.kriteria &amp; R.kecocokan'!$B$25</f>
        <v>Sedikit</v>
      </c>
      <c r="E584" s="111">
        <f>_xlfn.IFS(D584="Banyak",'B.kriteria &amp; R.kecocokan'!$C$23,D584="Cukup",'B.kriteria &amp; R.kecocokan'!$C$24,D584="Sedikit",'B.kriteria &amp; R.kecocokan'!$C$25)</f>
        <v>7.5</v>
      </c>
      <c r="F584" s="9" t="str">
        <f>'B.kriteria &amp; R.kecocokan'!$B$34</f>
        <v>Tinggi</v>
      </c>
      <c r="G584" s="8">
        <f>_xlfn.IFS(F584="Tinggi",'B.kriteria &amp; R.kecocokan'!$C$34,F584="Sangat Tinggi",'B.kriteria &amp; R.kecocokan'!$C$35)</f>
        <v>7.5</v>
      </c>
      <c r="H584" s="8" t="str">
        <f>'B.kriteria &amp; R.kecocokan'!$B$41</f>
        <v>Rendah</v>
      </c>
      <c r="I584" s="8">
        <f>_xlfn.IFS(H584="Rendah",'B.kriteria &amp; R.kecocokan'!$C$41,H584="Sedang",'B.kriteria &amp; R.kecocokan'!$C$42,H584="Tinggi",'B.kriteria &amp; R.kecocokan'!$C$43)</f>
        <v>2.5</v>
      </c>
      <c r="J584" s="8" t="str">
        <f>'B.kriteria &amp; R.kecocokan'!$B$72</f>
        <v>Rendah</v>
      </c>
      <c r="K584" s="8">
        <f>_xlfn.IFS(J584="Rendah",'B.kriteria &amp; R.kecocokan'!$C$72,J584="Sedang",'B.kriteria &amp; R.kecocokan'!$C$73,J584="Tinggi",'B.kriteria &amp; R.kecocokan'!$C$74)</f>
        <v>2.5</v>
      </c>
      <c r="L584" s="8" t="str">
        <f>'B.kriteria &amp; R.kecocokan'!$B$95</f>
        <v>Rendah</v>
      </c>
      <c r="M584" s="8">
        <f>_xlfn.IFS(L584="Rendah",'B.kriteria &amp; R.kecocokan'!$C$95,L584="Tinggi",'B.kriteria &amp; R.kecocokan'!$C$96)</f>
        <v>2.5</v>
      </c>
      <c r="N584" s="8" t="str">
        <f>'B.kriteria &amp; R.kecocokan'!$B$80</f>
        <v>Rendah</v>
      </c>
      <c r="O584" s="8">
        <f>_xlfn.IFS(N584="Rendah",'B.kriteria &amp; R.kecocokan'!$C$80,N584="Tinggi",'B.kriteria &amp; R.kecocokan'!$C$81)</f>
        <v>2.5</v>
      </c>
      <c r="P584" s="9" t="str">
        <f>'B.kriteria &amp; R.kecocokan'!$B$88</f>
        <v>Sedang</v>
      </c>
      <c r="Q584" s="8">
        <f>_xlfn.IFS(P584="Sedikit",'B.kriteria &amp; R.kecocokan'!$C$89,P584="Sedang",'B.kriteria &amp; R.kecocokan'!$C$88,P584="Sangat Sedikit",'B.kriteria &amp; R.kecocokan'!$C$90)</f>
        <v>5</v>
      </c>
      <c r="R584" s="8" t="str">
        <f>'B.kriteria &amp; R.kecocokan'!$B$49</f>
        <v>Rendah</v>
      </c>
      <c r="S584" s="8">
        <f>_xlfn.IFS(R584="Rendah",'B.kriteria &amp; R.kecocokan'!$C$49,R584="Sedang",'B.kriteria &amp; R.kecocokan'!$C$50,R584="Tinggi",'B.kriteria &amp; R.kecocokan'!$C$51)</f>
        <v>2.5</v>
      </c>
      <c r="T584" s="9" t="str">
        <f>'B.kriteria &amp; R.kecocokan'!$B$58</f>
        <v>Sedang</v>
      </c>
      <c r="U584" s="51">
        <f>_xlfn.IFS(T584="Rendah",'B.kriteria &amp; R.kecocokan'!$C$57,T584="Sedang",'B.kriteria &amp; R.kecocokan'!$C$58,T584="Tinggi",'B.kriteria &amp; R.kecocokan'!$C$59)</f>
        <v>5</v>
      </c>
      <c r="V584" s="51" t="str">
        <f>'B.kriteria &amp; R.kecocokan'!$B$65</f>
        <v>Rendah</v>
      </c>
      <c r="W584" s="9">
        <f>_xlfn.IFS(V584="Rendah",'B.kriteria &amp; R.kecocokan'!$C$65,V584="Sedang",'B.kriteria &amp; R.kecocokan'!$C$66,V584="Tinggi",'B.kriteria &amp; R.kecocokan'!$C$67)</f>
        <v>1</v>
      </c>
      <c r="X584" s="117">
        <f t="shared" si="54"/>
        <v>6.5226273533007921</v>
      </c>
      <c r="Y584" s="117">
        <f t="shared" si="55"/>
        <v>3.8692899812081398</v>
      </c>
      <c r="Z584" s="119">
        <f t="shared" si="56"/>
        <v>3.8692899812081398</v>
      </c>
      <c r="AA584" s="55" t="str">
        <f t="shared" si="57"/>
        <v>Tidak Layak</v>
      </c>
    </row>
    <row r="585" spans="1:27" x14ac:dyDescent="0.35">
      <c r="A585" s="5">
        <v>52</v>
      </c>
      <c r="B585" s="2" t="s">
        <v>107</v>
      </c>
      <c r="C585" s="11" t="s">
        <v>92</v>
      </c>
      <c r="D585" s="28" t="str">
        <f>'B.kriteria &amp; R.kecocokan'!$B$25</f>
        <v>Sedikit</v>
      </c>
      <c r="E585" s="111">
        <f>_xlfn.IFS(D585="Banyak",'B.kriteria &amp; R.kecocokan'!$C$23,D585="Cukup",'B.kriteria &amp; R.kecocokan'!$C$24,D585="Sedikit",'B.kriteria &amp; R.kecocokan'!$C$25)</f>
        <v>7.5</v>
      </c>
      <c r="F585" s="9" t="str">
        <f>'B.kriteria &amp; R.kecocokan'!$B$34</f>
        <v>Tinggi</v>
      </c>
      <c r="G585" s="8">
        <f>_xlfn.IFS(F585="Tinggi",'B.kriteria &amp; R.kecocokan'!$C$34,F585="Sangat Tinggi",'B.kriteria &amp; R.kecocokan'!$C$35)</f>
        <v>7.5</v>
      </c>
      <c r="H585" s="8" t="str">
        <f>'B.kriteria &amp; R.kecocokan'!$B$41</f>
        <v>Rendah</v>
      </c>
      <c r="I585" s="8">
        <f>_xlfn.IFS(H585="Rendah",'B.kriteria &amp; R.kecocokan'!$C$41,H585="Sedang",'B.kriteria &amp; R.kecocokan'!$C$42,H585="Tinggi",'B.kriteria &amp; R.kecocokan'!$C$43)</f>
        <v>2.5</v>
      </c>
      <c r="J585" s="8" t="str">
        <f>'B.kriteria &amp; R.kecocokan'!$B$72</f>
        <v>Rendah</v>
      </c>
      <c r="K585" s="8">
        <f>_xlfn.IFS(J585="Rendah",'B.kriteria &amp; R.kecocokan'!$C$72,J585="Sedang",'B.kriteria &amp; R.kecocokan'!$C$73,J585="Tinggi",'B.kriteria &amp; R.kecocokan'!$C$74)</f>
        <v>2.5</v>
      </c>
      <c r="L585" s="8" t="str">
        <f>'B.kriteria &amp; R.kecocokan'!$B$95</f>
        <v>Rendah</v>
      </c>
      <c r="M585" s="8">
        <f>_xlfn.IFS(L585="Rendah",'B.kriteria &amp; R.kecocokan'!$C$95,L585="Tinggi",'B.kriteria &amp; R.kecocokan'!$C$96)</f>
        <v>2.5</v>
      </c>
      <c r="N585" s="8" t="str">
        <f>'B.kriteria &amp; R.kecocokan'!$B$80</f>
        <v>Rendah</v>
      </c>
      <c r="O585" s="8">
        <f>_xlfn.IFS(N585="Rendah",'B.kriteria &amp; R.kecocokan'!$C$80,N585="Tinggi",'B.kriteria &amp; R.kecocokan'!$C$81)</f>
        <v>2.5</v>
      </c>
      <c r="P585" s="8" t="str">
        <f>'B.kriteria &amp; R.kecocokan'!$B$89</f>
        <v>Sedikit</v>
      </c>
      <c r="Q585" s="8">
        <f>_xlfn.IFS(P585="Sedikit",'B.kriteria &amp; R.kecocokan'!$C$89,P585="Sedang",'B.kriteria &amp; R.kecocokan'!$C$88,P585="Sangat Sedikit",'B.kriteria &amp; R.kecocokan'!$C$90)</f>
        <v>2.5</v>
      </c>
      <c r="R585" s="8" t="str">
        <f>'B.kriteria &amp; R.kecocokan'!$B$49</f>
        <v>Rendah</v>
      </c>
      <c r="S585" s="8">
        <f>_xlfn.IFS(R585="Rendah",'B.kriteria &amp; R.kecocokan'!$C$49,R585="Sedang",'B.kriteria &amp; R.kecocokan'!$C$50,R585="Tinggi",'B.kriteria &amp; R.kecocokan'!$C$51)</f>
        <v>2.5</v>
      </c>
      <c r="T585" s="8" t="str">
        <f>'B.kriteria &amp; R.kecocokan'!$B$57</f>
        <v>Rendah</v>
      </c>
      <c r="U585" s="51">
        <f>_xlfn.IFS(T585="Rendah",'B.kriteria &amp; R.kecocokan'!$C$57,T585="Sedang",'B.kriteria &amp; R.kecocokan'!$C$58,T585="Tinggi",'B.kriteria &amp; R.kecocokan'!$C$59)</f>
        <v>2.5</v>
      </c>
      <c r="V585" s="51" t="str">
        <f>'B.kriteria &amp; R.kecocokan'!$B$65</f>
        <v>Rendah</v>
      </c>
      <c r="W585" s="9">
        <f>_xlfn.IFS(V585="Rendah",'B.kriteria &amp; R.kecocokan'!$C$65,V585="Sedang",'B.kriteria &amp; R.kecocokan'!$C$66,V585="Tinggi",'B.kriteria &amp; R.kecocokan'!$C$67)</f>
        <v>1</v>
      </c>
      <c r="X585" s="117">
        <f t="shared" si="54"/>
        <v>5.4692859353538354</v>
      </c>
      <c r="Y585" s="117">
        <f t="shared" si="55"/>
        <v>3.0701710723057669</v>
      </c>
      <c r="Z585" s="119">
        <f t="shared" si="56"/>
        <v>3.0701710723057669</v>
      </c>
      <c r="AA585" s="55" t="str">
        <f t="shared" si="57"/>
        <v>Tidak Layak</v>
      </c>
    </row>
    <row r="586" spans="1:27" x14ac:dyDescent="0.35">
      <c r="A586" s="1">
        <v>53</v>
      </c>
      <c r="B586" s="2" t="s">
        <v>109</v>
      </c>
      <c r="C586" s="11" t="s">
        <v>95</v>
      </c>
      <c r="D586" s="9" t="str">
        <f>'B.kriteria &amp; R.kecocokan'!$B$23</f>
        <v>Banyak</v>
      </c>
      <c r="E586" s="111">
        <f>_xlfn.IFS(D586="Banyak",'B.kriteria &amp; R.kecocokan'!$C$23,D586="Cukup",'B.kriteria &amp; R.kecocokan'!$C$24,D586="Sedikit",'B.kriteria &amp; R.kecocokan'!$C$25)</f>
        <v>2.5</v>
      </c>
      <c r="F586" s="9" t="str">
        <f>'B.kriteria &amp; R.kecocokan'!$B$34</f>
        <v>Tinggi</v>
      </c>
      <c r="G586" s="8">
        <f>_xlfn.IFS(F586="Tinggi",'B.kriteria &amp; R.kecocokan'!$C$34,F586="Sangat Tinggi",'B.kriteria &amp; R.kecocokan'!$C$35)</f>
        <v>7.5</v>
      </c>
      <c r="H586" s="8" t="str">
        <f>'B.kriteria &amp; R.kecocokan'!$B$41</f>
        <v>Rendah</v>
      </c>
      <c r="I586" s="8">
        <f>_xlfn.IFS(H586="Rendah",'B.kriteria &amp; R.kecocokan'!$C$41,H586="Sedang",'B.kriteria &amp; R.kecocokan'!$C$42,H586="Tinggi",'B.kriteria &amp; R.kecocokan'!$C$43)</f>
        <v>2.5</v>
      </c>
      <c r="J586" s="8" t="str">
        <f>'B.kriteria &amp; R.kecocokan'!$B$72</f>
        <v>Rendah</v>
      </c>
      <c r="K586" s="8">
        <f>_xlfn.IFS(J586="Rendah",'B.kriteria &amp; R.kecocokan'!$C$72,J586="Sedang",'B.kriteria &amp; R.kecocokan'!$C$73,J586="Tinggi",'B.kriteria &amp; R.kecocokan'!$C$74)</f>
        <v>2.5</v>
      </c>
      <c r="L586" s="8" t="str">
        <f>'B.kriteria &amp; R.kecocokan'!$B$95</f>
        <v>Rendah</v>
      </c>
      <c r="M586" s="8">
        <f>_xlfn.IFS(L586="Rendah",'B.kriteria &amp; R.kecocokan'!$C$95,L586="Tinggi",'B.kriteria &amp; R.kecocokan'!$C$96)</f>
        <v>2.5</v>
      </c>
      <c r="N586" s="8" t="str">
        <f>'B.kriteria &amp; R.kecocokan'!$B$80</f>
        <v>Rendah</v>
      </c>
      <c r="O586" s="8">
        <f>_xlfn.IFS(N586="Rendah",'B.kriteria &amp; R.kecocokan'!$C$80,N586="Tinggi",'B.kriteria &amp; R.kecocokan'!$C$81)</f>
        <v>2.5</v>
      </c>
      <c r="P586" s="9" t="str">
        <f>'B.kriteria &amp; R.kecocokan'!$B$88</f>
        <v>Sedang</v>
      </c>
      <c r="Q586" s="8">
        <f>_xlfn.IFS(P586="Sedikit",'B.kriteria &amp; R.kecocokan'!$C$89,P586="Sedang",'B.kriteria &amp; R.kecocokan'!$C$88,P586="Sangat Sedikit",'B.kriteria &amp; R.kecocokan'!$C$90)</f>
        <v>5</v>
      </c>
      <c r="R586" s="8" t="str">
        <f>'B.kriteria &amp; R.kecocokan'!$B$49</f>
        <v>Rendah</v>
      </c>
      <c r="S586" s="8">
        <f>_xlfn.IFS(R586="Rendah",'B.kriteria &amp; R.kecocokan'!$C$49,R586="Sedang",'B.kriteria &amp; R.kecocokan'!$C$50,R586="Tinggi",'B.kriteria &amp; R.kecocokan'!$C$51)</f>
        <v>2.5</v>
      </c>
      <c r="T586" s="8" t="str">
        <f>'B.kriteria &amp; R.kecocokan'!$B$57</f>
        <v>Rendah</v>
      </c>
      <c r="U586" s="51">
        <f>_xlfn.IFS(T586="Rendah",'B.kriteria &amp; R.kecocokan'!$C$57,T586="Sedang",'B.kriteria &amp; R.kecocokan'!$C$58,T586="Tinggi",'B.kriteria &amp; R.kecocokan'!$C$59)</f>
        <v>2.5</v>
      </c>
      <c r="V586" s="51" t="str">
        <f>'B.kriteria &amp; R.kecocokan'!$B$65</f>
        <v>Rendah</v>
      </c>
      <c r="W586" s="9">
        <f>_xlfn.IFS(V586="Rendah",'B.kriteria &amp; R.kecocokan'!$C$65,V586="Sedang",'B.kriteria &amp; R.kecocokan'!$C$66,V586="Tinggi",'B.kriteria &amp; R.kecocokan'!$C$67)</f>
        <v>1</v>
      </c>
      <c r="X586" s="117">
        <f t="shared" si="54"/>
        <v>7.2623712388640893</v>
      </c>
      <c r="Y586" s="117">
        <f t="shared" si="55"/>
        <v>2.9914340517468223</v>
      </c>
      <c r="Z586" s="119">
        <f t="shared" si="56"/>
        <v>2.9914340517468223</v>
      </c>
      <c r="AA586" s="55" t="str">
        <f t="shared" si="57"/>
        <v>Tidak Layak</v>
      </c>
    </row>
    <row r="587" spans="1:27" x14ac:dyDescent="0.35">
      <c r="A587" s="5">
        <v>54</v>
      </c>
      <c r="B587" s="2" t="s">
        <v>111</v>
      </c>
      <c r="C587" s="11" t="s">
        <v>92</v>
      </c>
      <c r="D587" s="9" t="str">
        <f>'B.kriteria &amp; R.kecocokan'!$B$23</f>
        <v>Banyak</v>
      </c>
      <c r="E587" s="111">
        <f>_xlfn.IFS(D587="Banyak",'B.kriteria &amp; R.kecocokan'!$C$23,D587="Cukup",'B.kriteria &amp; R.kecocokan'!$C$24,D587="Sedikit",'B.kriteria &amp; R.kecocokan'!$C$25)</f>
        <v>2.5</v>
      </c>
      <c r="F587" s="9" t="str">
        <f>'B.kriteria &amp; R.kecocokan'!$B$34</f>
        <v>Tinggi</v>
      </c>
      <c r="G587" s="8">
        <f>_xlfn.IFS(F587="Tinggi",'B.kriteria &amp; R.kecocokan'!$C$34,F587="Sangat Tinggi",'B.kriteria &amp; R.kecocokan'!$C$35)</f>
        <v>7.5</v>
      </c>
      <c r="H587" s="8" t="str">
        <f>'B.kriteria &amp; R.kecocokan'!$B$41</f>
        <v>Rendah</v>
      </c>
      <c r="I587" s="8">
        <f>_xlfn.IFS(H587="Rendah",'B.kriteria &amp; R.kecocokan'!$C$41,H587="Sedang",'B.kriteria &amp; R.kecocokan'!$C$42,H587="Tinggi",'B.kriteria &amp; R.kecocokan'!$C$43)</f>
        <v>2.5</v>
      </c>
      <c r="J587" s="8" t="str">
        <f>'B.kriteria &amp; R.kecocokan'!$B$72</f>
        <v>Rendah</v>
      </c>
      <c r="K587" s="8">
        <f>_xlfn.IFS(J587="Rendah",'B.kriteria &amp; R.kecocokan'!$C$72,J587="Sedang",'B.kriteria &amp; R.kecocokan'!$C$73,J587="Tinggi",'B.kriteria &amp; R.kecocokan'!$C$74)</f>
        <v>2.5</v>
      </c>
      <c r="L587" s="8" t="str">
        <f>'B.kriteria &amp; R.kecocokan'!$B$95</f>
        <v>Rendah</v>
      </c>
      <c r="M587" s="8">
        <f>_xlfn.IFS(L587="Rendah",'B.kriteria &amp; R.kecocokan'!$C$95,L587="Tinggi",'B.kriteria &amp; R.kecocokan'!$C$96)</f>
        <v>2.5</v>
      </c>
      <c r="N587" s="8" t="str">
        <f>'B.kriteria &amp; R.kecocokan'!$B$80</f>
        <v>Rendah</v>
      </c>
      <c r="O587" s="8">
        <f>_xlfn.IFS(N587="Rendah",'B.kriteria &amp; R.kecocokan'!$C$80,N587="Tinggi",'B.kriteria &amp; R.kecocokan'!$C$81)</f>
        <v>2.5</v>
      </c>
      <c r="P587" s="8" t="str">
        <f>'B.kriteria &amp; R.kecocokan'!$B$89</f>
        <v>Sedikit</v>
      </c>
      <c r="Q587" s="8">
        <f>_xlfn.IFS(P587="Sedikit",'B.kriteria &amp; R.kecocokan'!$C$89,P587="Sedang",'B.kriteria &amp; R.kecocokan'!$C$88,P587="Sangat Sedikit",'B.kriteria &amp; R.kecocokan'!$C$90)</f>
        <v>2.5</v>
      </c>
      <c r="R587" s="8" t="str">
        <f>'B.kriteria &amp; R.kecocokan'!$B$49</f>
        <v>Rendah</v>
      </c>
      <c r="S587" s="8">
        <f>_xlfn.IFS(R587="Rendah",'B.kriteria &amp; R.kecocokan'!$C$49,R587="Sedang",'B.kriteria &amp; R.kecocokan'!$C$50,R587="Tinggi",'B.kriteria &amp; R.kecocokan'!$C$51)</f>
        <v>2.5</v>
      </c>
      <c r="T587" s="8" t="str">
        <f>'B.kriteria &amp; R.kecocokan'!$B$57</f>
        <v>Rendah</v>
      </c>
      <c r="U587" s="51">
        <f>_xlfn.IFS(T587="Rendah",'B.kriteria &amp; R.kecocokan'!$C$57,T587="Sedang",'B.kriteria &amp; R.kecocokan'!$C$58,T587="Tinggi",'B.kriteria &amp; R.kecocokan'!$C$59)</f>
        <v>2.5</v>
      </c>
      <c r="V587" s="51" t="str">
        <f>'B.kriteria &amp; R.kecocokan'!$B$65</f>
        <v>Rendah</v>
      </c>
      <c r="W587" s="9">
        <f>_xlfn.IFS(V587="Rendah",'B.kriteria &amp; R.kecocokan'!$C$65,V587="Sedang",'B.kriteria &amp; R.kecocokan'!$C$66,V587="Tinggi",'B.kriteria &amp; R.kecocokan'!$C$67)</f>
        <v>1</v>
      </c>
      <c r="X587" s="117">
        <f t="shared" si="54"/>
        <v>6.410717523723461</v>
      </c>
      <c r="Y587" s="117">
        <f t="shared" si="55"/>
        <v>2.6745510166186524</v>
      </c>
      <c r="Z587" s="119">
        <f t="shared" si="56"/>
        <v>2.6745510166186524</v>
      </c>
      <c r="AA587" s="55" t="str">
        <f t="shared" si="57"/>
        <v>Tidak Layak</v>
      </c>
    </row>
    <row r="588" spans="1:27" x14ac:dyDescent="0.35">
      <c r="A588" s="5">
        <v>55</v>
      </c>
      <c r="B588" s="2" t="s">
        <v>113</v>
      </c>
      <c r="C588" s="11" t="s">
        <v>92</v>
      </c>
      <c r="D588" s="28" t="str">
        <f>'B.kriteria &amp; R.kecocokan'!$B$25</f>
        <v>Sedikit</v>
      </c>
      <c r="E588" s="111">
        <f>_xlfn.IFS(D588="Banyak",'B.kriteria &amp; R.kecocokan'!$C$23,D588="Cukup",'B.kriteria &amp; R.kecocokan'!$C$24,D588="Sedikit",'B.kriteria &amp; R.kecocokan'!$C$25)</f>
        <v>7.5</v>
      </c>
      <c r="F588" s="9" t="str">
        <f>'B.kriteria &amp; R.kecocokan'!$B$34</f>
        <v>Tinggi</v>
      </c>
      <c r="G588" s="8">
        <f>_xlfn.IFS(F588="Tinggi",'B.kriteria &amp; R.kecocokan'!$C$34,F588="Sangat Tinggi",'B.kriteria &amp; R.kecocokan'!$C$35)</f>
        <v>7.5</v>
      </c>
      <c r="H588" s="9" t="str">
        <f>'B.kriteria &amp; R.kecocokan'!$B$43</f>
        <v>Tinggi</v>
      </c>
      <c r="I588" s="8">
        <f>_xlfn.IFS(H588="Rendah",'B.kriteria &amp; R.kecocokan'!$C$41,H588="Sedang",'B.kriteria &amp; R.kecocokan'!$C$42,H588="Tinggi",'B.kriteria &amp; R.kecocokan'!$C$43)</f>
        <v>7.5</v>
      </c>
      <c r="J588" s="8" t="str">
        <f>'B.kriteria &amp; R.kecocokan'!$B$72</f>
        <v>Rendah</v>
      </c>
      <c r="K588" s="8">
        <f>_xlfn.IFS(J588="Rendah",'B.kriteria &amp; R.kecocokan'!$C$72,J588="Sedang",'B.kriteria &amp; R.kecocokan'!$C$73,J588="Tinggi",'B.kriteria &amp; R.kecocokan'!$C$74)</f>
        <v>2.5</v>
      </c>
      <c r="L588" s="8" t="str">
        <f>'B.kriteria &amp; R.kecocokan'!$B$95</f>
        <v>Rendah</v>
      </c>
      <c r="M588" s="8">
        <f>_xlfn.IFS(L588="Rendah",'B.kriteria &amp; R.kecocokan'!$C$95,L588="Tinggi",'B.kriteria &amp; R.kecocokan'!$C$96)</f>
        <v>2.5</v>
      </c>
      <c r="N588" s="8" t="str">
        <f>'B.kriteria &amp; R.kecocokan'!$B$80</f>
        <v>Rendah</v>
      </c>
      <c r="O588" s="8">
        <f>_xlfn.IFS(N588="Rendah",'B.kriteria &amp; R.kecocokan'!$C$80,N588="Tinggi",'B.kriteria &amp; R.kecocokan'!$C$81)</f>
        <v>2.5</v>
      </c>
      <c r="P588" s="8" t="str">
        <f>'B.kriteria &amp; R.kecocokan'!$B$89</f>
        <v>Sedikit</v>
      </c>
      <c r="Q588" s="8">
        <f>_xlfn.IFS(P588="Sedikit",'B.kriteria &amp; R.kecocokan'!$C$89,P588="Sedang",'B.kriteria &amp; R.kecocokan'!$C$88,P588="Sangat Sedikit",'B.kriteria &amp; R.kecocokan'!$C$90)</f>
        <v>2.5</v>
      </c>
      <c r="R588" s="8" t="str">
        <f>'B.kriteria &amp; R.kecocokan'!$B$49</f>
        <v>Rendah</v>
      </c>
      <c r="S588" s="8">
        <f>_xlfn.IFS(R588="Rendah",'B.kriteria &amp; R.kecocokan'!$C$49,R588="Sedang",'B.kriteria &amp; R.kecocokan'!$C$50,R588="Tinggi",'B.kriteria &amp; R.kecocokan'!$C$51)</f>
        <v>2.5</v>
      </c>
      <c r="T588" s="8" t="str">
        <f>'B.kriteria &amp; R.kecocokan'!$B$57</f>
        <v>Rendah</v>
      </c>
      <c r="U588" s="51">
        <f>_xlfn.IFS(T588="Rendah",'B.kriteria &amp; R.kecocokan'!$C$57,T588="Sedang",'B.kriteria &amp; R.kecocokan'!$C$58,T588="Tinggi",'B.kriteria &amp; R.kecocokan'!$C$59)</f>
        <v>2.5</v>
      </c>
      <c r="V588" s="51" t="str">
        <f>'B.kriteria &amp; R.kecocokan'!$B$65</f>
        <v>Rendah</v>
      </c>
      <c r="W588" s="9">
        <f>_xlfn.IFS(V588="Rendah",'B.kriteria &amp; R.kecocokan'!$C$65,V588="Sedang",'B.kriteria &amp; R.kecocokan'!$C$66,V588="Tinggi",'B.kriteria &amp; R.kecocokan'!$C$67)</f>
        <v>1</v>
      </c>
      <c r="X588" s="117">
        <f t="shared" si="54"/>
        <v>7.2305953900969211</v>
      </c>
      <c r="Y588" s="117">
        <f t="shared" si="55"/>
        <v>5.122902715395341</v>
      </c>
      <c r="Z588" s="119">
        <f t="shared" si="56"/>
        <v>5.122902715395341</v>
      </c>
      <c r="AA588" s="55" t="str">
        <f t="shared" si="57"/>
        <v>Tidak Layak</v>
      </c>
    </row>
    <row r="589" spans="1:27" x14ac:dyDescent="0.35">
      <c r="A589" s="1">
        <v>56</v>
      </c>
      <c r="B589" s="2" t="s">
        <v>114</v>
      </c>
      <c r="C589" s="11" t="s">
        <v>95</v>
      </c>
      <c r="D589" s="9" t="str">
        <f>'B.kriteria &amp; R.kecocokan'!$B$23</f>
        <v>Banyak</v>
      </c>
      <c r="E589" s="111">
        <f>_xlfn.IFS(D589="Banyak",'B.kriteria &amp; R.kecocokan'!$C$23,D589="Cukup",'B.kriteria &amp; R.kecocokan'!$C$24,D589="Sedikit",'B.kriteria &amp; R.kecocokan'!$C$25)</f>
        <v>2.5</v>
      </c>
      <c r="F589" s="9" t="str">
        <f>'B.kriteria &amp; R.kecocokan'!$B$34</f>
        <v>Tinggi</v>
      </c>
      <c r="G589" s="8">
        <f>_xlfn.IFS(F589="Tinggi",'B.kriteria &amp; R.kecocokan'!$C$34,F589="Sangat Tinggi",'B.kriteria &amp; R.kecocokan'!$C$35)</f>
        <v>7.5</v>
      </c>
      <c r="H589" s="8" t="str">
        <f>'B.kriteria &amp; R.kecocokan'!$B$41</f>
        <v>Rendah</v>
      </c>
      <c r="I589" s="8">
        <f>_xlfn.IFS(H589="Rendah",'B.kriteria &amp; R.kecocokan'!$C$41,H589="Sedang",'B.kriteria &amp; R.kecocokan'!$C$42,H589="Tinggi",'B.kriteria &amp; R.kecocokan'!$C$43)</f>
        <v>2.5</v>
      </c>
      <c r="J589" s="8" t="str">
        <f>'B.kriteria &amp; R.kecocokan'!$B$72</f>
        <v>Rendah</v>
      </c>
      <c r="K589" s="8">
        <f>_xlfn.IFS(J589="Rendah",'B.kriteria &amp; R.kecocokan'!$C$72,J589="Sedang",'B.kriteria &amp; R.kecocokan'!$C$73,J589="Tinggi",'B.kriteria &amp; R.kecocokan'!$C$74)</f>
        <v>2.5</v>
      </c>
      <c r="L589" s="8" t="str">
        <f>'B.kriteria &amp; R.kecocokan'!$B$95</f>
        <v>Rendah</v>
      </c>
      <c r="M589" s="8">
        <f>_xlfn.IFS(L589="Rendah",'B.kriteria &amp; R.kecocokan'!$C$95,L589="Tinggi",'B.kriteria &amp; R.kecocokan'!$C$96)</f>
        <v>2.5</v>
      </c>
      <c r="N589" s="9" t="str">
        <f>'B.kriteria &amp; R.kecocokan'!$B$81</f>
        <v>Tinggi</v>
      </c>
      <c r="O589" s="8">
        <f>_xlfn.IFS(N589="Rendah",'B.kriteria &amp; R.kecocokan'!$C$80,N589="Tinggi",'B.kriteria &amp; R.kecocokan'!$C$81)</f>
        <v>7.5</v>
      </c>
      <c r="P589" s="9" t="str">
        <f>'B.kriteria &amp; R.kecocokan'!$B$90</f>
        <v>Sangat Sedikit</v>
      </c>
      <c r="Q589" s="8">
        <f>_xlfn.IFS(P589="Sedikit",'B.kriteria &amp; R.kecocokan'!$C$89,P589="Sedang",'B.kriteria &amp; R.kecocokan'!$C$88,P589="Sangat Sedikit",'B.kriteria &amp; R.kecocokan'!$C$90)</f>
        <v>1</v>
      </c>
      <c r="R589" s="8" t="str">
        <f>'B.kriteria &amp; R.kecocokan'!$B$49</f>
        <v>Rendah</v>
      </c>
      <c r="S589" s="8">
        <f>_xlfn.IFS(R589="Rendah",'B.kriteria &amp; R.kecocokan'!$C$49,R589="Sedang",'B.kriteria &amp; R.kecocokan'!$C$50,R589="Tinggi",'B.kriteria &amp; R.kecocokan'!$C$51)</f>
        <v>2.5</v>
      </c>
      <c r="T589" s="8" t="str">
        <f>'B.kriteria &amp; R.kecocokan'!$B$57</f>
        <v>Rendah</v>
      </c>
      <c r="U589" s="51">
        <f>_xlfn.IFS(T589="Rendah",'B.kriteria &amp; R.kecocokan'!$C$57,T589="Sedang",'B.kriteria &amp; R.kecocokan'!$C$58,T589="Tinggi",'B.kriteria &amp; R.kecocokan'!$C$59)</f>
        <v>2.5</v>
      </c>
      <c r="V589" s="51" t="str">
        <f>'B.kriteria &amp; R.kecocokan'!$B$65</f>
        <v>Rendah</v>
      </c>
      <c r="W589" s="9">
        <f>_xlfn.IFS(V589="Rendah",'B.kriteria &amp; R.kecocokan'!$C$65,V589="Sedang",'B.kriteria &amp; R.kecocokan'!$C$66,V589="Tinggi",'B.kriteria &amp; R.kecocokan'!$C$67)</f>
        <v>1</v>
      </c>
      <c r="X589" s="117">
        <f t="shared" si="54"/>
        <v>3.8872171361671977</v>
      </c>
      <c r="Y589" s="117">
        <f t="shared" si="55"/>
        <v>6.089002415274865</v>
      </c>
      <c r="Z589" s="119">
        <f t="shared" si="56"/>
        <v>3.8872171361671977</v>
      </c>
      <c r="AA589" s="55" t="str">
        <f t="shared" si="57"/>
        <v>Layak</v>
      </c>
    </row>
    <row r="590" spans="1:27" x14ac:dyDescent="0.35">
      <c r="A590" s="5">
        <v>57</v>
      </c>
      <c r="B590" s="2" t="s">
        <v>116</v>
      </c>
      <c r="C590" s="11" t="s">
        <v>92</v>
      </c>
      <c r="D590" s="9" t="str">
        <f>'B.kriteria &amp; R.kecocokan'!$B$23</f>
        <v>Banyak</v>
      </c>
      <c r="E590" s="111">
        <f>_xlfn.IFS(D590="Banyak",'B.kriteria &amp; R.kecocokan'!$C$23,D590="Cukup",'B.kriteria &amp; R.kecocokan'!$C$24,D590="Sedikit",'B.kriteria &amp; R.kecocokan'!$C$25)</f>
        <v>2.5</v>
      </c>
      <c r="F590" s="9" t="str">
        <f>'B.kriteria &amp; R.kecocokan'!$B$34</f>
        <v>Tinggi</v>
      </c>
      <c r="G590" s="8">
        <f>_xlfn.IFS(F590="Tinggi",'B.kriteria &amp; R.kecocokan'!$C$34,F590="Sangat Tinggi",'B.kriteria &amp; R.kecocokan'!$C$35)</f>
        <v>7.5</v>
      </c>
      <c r="H590" s="8" t="str">
        <f>'B.kriteria &amp; R.kecocokan'!$B$41</f>
        <v>Rendah</v>
      </c>
      <c r="I590" s="8">
        <f>_xlfn.IFS(H590="Rendah",'B.kriteria &amp; R.kecocokan'!$C$41,H590="Sedang",'B.kriteria &amp; R.kecocokan'!$C$42,H590="Tinggi",'B.kriteria &amp; R.kecocokan'!$C$43)</f>
        <v>2.5</v>
      </c>
      <c r="J590" s="8" t="str">
        <f>'B.kriteria &amp; R.kecocokan'!$B$72</f>
        <v>Rendah</v>
      </c>
      <c r="K590" s="8">
        <f>_xlfn.IFS(J590="Rendah",'B.kriteria &amp; R.kecocokan'!$C$72,J590="Sedang",'B.kriteria &amp; R.kecocokan'!$C$73,J590="Tinggi",'B.kriteria &amp; R.kecocokan'!$C$74)</f>
        <v>2.5</v>
      </c>
      <c r="L590" s="8" t="str">
        <f>'B.kriteria &amp; R.kecocokan'!$B$95</f>
        <v>Rendah</v>
      </c>
      <c r="M590" s="8">
        <f>_xlfn.IFS(L590="Rendah",'B.kriteria &amp; R.kecocokan'!$C$95,L590="Tinggi",'B.kriteria &amp; R.kecocokan'!$C$96)</f>
        <v>2.5</v>
      </c>
      <c r="N590" s="8" t="str">
        <f>'B.kriteria &amp; R.kecocokan'!$B$80</f>
        <v>Rendah</v>
      </c>
      <c r="O590" s="8">
        <f>_xlfn.IFS(N590="Rendah",'B.kriteria &amp; R.kecocokan'!$C$80,N590="Tinggi",'B.kriteria &amp; R.kecocokan'!$C$81)</f>
        <v>2.5</v>
      </c>
      <c r="P590" s="9" t="str">
        <f>'B.kriteria &amp; R.kecocokan'!$B$88</f>
        <v>Sedang</v>
      </c>
      <c r="Q590" s="8">
        <f>_xlfn.IFS(P590="Sedikit",'B.kriteria &amp; R.kecocokan'!$C$89,P590="Sedang",'B.kriteria &amp; R.kecocokan'!$C$88,P590="Sangat Sedikit",'B.kriteria &amp; R.kecocokan'!$C$90)</f>
        <v>5</v>
      </c>
      <c r="R590" s="8" t="str">
        <f>'B.kriteria &amp; R.kecocokan'!$B$49</f>
        <v>Rendah</v>
      </c>
      <c r="S590" s="8">
        <f>_xlfn.IFS(R590="Rendah",'B.kriteria &amp; R.kecocokan'!$C$49,R590="Sedang",'B.kriteria &amp; R.kecocokan'!$C$50,R590="Tinggi",'B.kriteria &amp; R.kecocokan'!$C$51)</f>
        <v>2.5</v>
      </c>
      <c r="T590" s="8" t="str">
        <f>'B.kriteria &amp; R.kecocokan'!$B$57</f>
        <v>Rendah</v>
      </c>
      <c r="U590" s="51">
        <f>_xlfn.IFS(T590="Rendah",'B.kriteria &amp; R.kecocokan'!$C$57,T590="Sedang",'B.kriteria &amp; R.kecocokan'!$C$58,T590="Tinggi",'B.kriteria &amp; R.kecocokan'!$C$59)</f>
        <v>2.5</v>
      </c>
      <c r="V590" s="51" t="str">
        <f>'B.kriteria &amp; R.kecocokan'!$B$65</f>
        <v>Rendah</v>
      </c>
      <c r="W590" s="9">
        <f>_xlfn.IFS(V590="Rendah",'B.kriteria &amp; R.kecocokan'!$C$65,V590="Sedang",'B.kriteria &amp; R.kecocokan'!$C$66,V590="Tinggi",'B.kriteria &amp; R.kecocokan'!$C$67)</f>
        <v>1</v>
      </c>
      <c r="X590" s="117">
        <f t="shared" si="54"/>
        <v>7.2623712388640893</v>
      </c>
      <c r="Y590" s="117">
        <f t="shared" si="55"/>
        <v>2.9914340517468223</v>
      </c>
      <c r="Z590" s="119">
        <f t="shared" si="56"/>
        <v>2.9914340517468223</v>
      </c>
      <c r="AA590" s="55" t="str">
        <f t="shared" si="57"/>
        <v>Tidak Layak</v>
      </c>
    </row>
    <row r="591" spans="1:27" x14ac:dyDescent="0.35">
      <c r="A591" s="5">
        <v>58</v>
      </c>
      <c r="B591" s="2" t="s">
        <v>230</v>
      </c>
      <c r="C591" s="11" t="s">
        <v>92</v>
      </c>
      <c r="D591" s="28" t="str">
        <f>'B.kriteria &amp; R.kecocokan'!$B$25</f>
        <v>Sedikit</v>
      </c>
      <c r="E591" s="111">
        <f>_xlfn.IFS(D591="Banyak",'B.kriteria &amp; R.kecocokan'!$C$23,D591="Cukup",'B.kriteria &amp; R.kecocokan'!$C$24,D591="Sedikit",'B.kriteria &amp; R.kecocokan'!$C$25)</f>
        <v>7.5</v>
      </c>
      <c r="F591" s="9" t="str">
        <f>'B.kriteria &amp; R.kecocokan'!$B$34</f>
        <v>Tinggi</v>
      </c>
      <c r="G591" s="8">
        <f>_xlfn.IFS(F591="Tinggi",'B.kriteria &amp; R.kecocokan'!$C$34,F591="Sangat Tinggi",'B.kriteria &amp; R.kecocokan'!$C$35)</f>
        <v>7.5</v>
      </c>
      <c r="H591" s="8" t="str">
        <f>'B.kriteria &amp; R.kecocokan'!$B$41</f>
        <v>Rendah</v>
      </c>
      <c r="I591" s="8">
        <f>_xlfn.IFS(H591="Rendah",'B.kriteria &amp; R.kecocokan'!$C$41,H591="Sedang",'B.kriteria &amp; R.kecocokan'!$C$42,H591="Tinggi",'B.kriteria &amp; R.kecocokan'!$C$43)</f>
        <v>2.5</v>
      </c>
      <c r="J591" s="8" t="str">
        <f>'B.kriteria &amp; R.kecocokan'!$B$72</f>
        <v>Rendah</v>
      </c>
      <c r="K591" s="8">
        <f>_xlfn.IFS(J591="Rendah",'B.kriteria &amp; R.kecocokan'!$C$72,J591="Sedang",'B.kriteria &amp; R.kecocokan'!$C$73,J591="Tinggi",'B.kriteria &amp; R.kecocokan'!$C$74)</f>
        <v>2.5</v>
      </c>
      <c r="L591" s="8" t="str">
        <f>'B.kriteria &amp; R.kecocokan'!$B$95</f>
        <v>Rendah</v>
      </c>
      <c r="M591" s="8">
        <f>_xlfn.IFS(L591="Rendah",'B.kriteria &amp; R.kecocokan'!$C$95,L591="Tinggi",'B.kriteria &amp; R.kecocokan'!$C$96)</f>
        <v>2.5</v>
      </c>
      <c r="N591" s="8" t="str">
        <f>'B.kriteria &amp; R.kecocokan'!$B$80</f>
        <v>Rendah</v>
      </c>
      <c r="O591" s="8">
        <f>_xlfn.IFS(N591="Rendah",'B.kriteria &amp; R.kecocokan'!$C$80,N591="Tinggi",'B.kriteria &amp; R.kecocokan'!$C$81)</f>
        <v>2.5</v>
      </c>
      <c r="P591" s="9" t="str">
        <f>'B.kriteria &amp; R.kecocokan'!$B$88</f>
        <v>Sedang</v>
      </c>
      <c r="Q591" s="8">
        <f>_xlfn.IFS(P591="Sedikit",'B.kriteria &amp; R.kecocokan'!$C$89,P591="Sedang",'B.kriteria &amp; R.kecocokan'!$C$88,P591="Sangat Sedikit",'B.kriteria &amp; R.kecocokan'!$C$90)</f>
        <v>5</v>
      </c>
      <c r="R591" s="8" t="str">
        <f>'B.kriteria &amp; R.kecocokan'!$B$49</f>
        <v>Rendah</v>
      </c>
      <c r="S591" s="8">
        <f>_xlfn.IFS(R591="Rendah",'B.kriteria &amp; R.kecocokan'!$C$49,R591="Sedang",'B.kriteria &amp; R.kecocokan'!$C$50,R591="Tinggi",'B.kriteria &amp; R.kecocokan'!$C$51)</f>
        <v>2.5</v>
      </c>
      <c r="T591" s="8" t="str">
        <f>'B.kriteria &amp; R.kecocokan'!$B$57</f>
        <v>Rendah</v>
      </c>
      <c r="U591" s="51">
        <f>_xlfn.IFS(T591="Rendah",'B.kriteria &amp; R.kecocokan'!$C$57,T591="Sedang",'B.kriteria &amp; R.kecocokan'!$C$58,T591="Tinggi",'B.kriteria &amp; R.kecocokan'!$C$59)</f>
        <v>2.5</v>
      </c>
      <c r="V591" s="51" t="str">
        <f>'B.kriteria &amp; R.kecocokan'!$B$65</f>
        <v>Rendah</v>
      </c>
      <c r="W591" s="9">
        <f>_xlfn.IFS(V591="Rendah",'B.kriteria &amp; R.kecocokan'!$C$65,V591="Sedang",'B.kriteria &amp; R.kecocokan'!$C$66,V591="Tinggi",'B.kriteria &amp; R.kecocokan'!$C$67)</f>
        <v>1</v>
      </c>
      <c r="X591" s="117">
        <f t="shared" si="54"/>
        <v>6.446535929067994</v>
      </c>
      <c r="Y591" s="117">
        <f t="shared" si="55"/>
        <v>3.3498365570095636</v>
      </c>
      <c r="Z591" s="119">
        <f t="shared" si="56"/>
        <v>3.3498365570095636</v>
      </c>
      <c r="AA591" s="55" t="str">
        <f t="shared" si="57"/>
        <v>Tidak Layak</v>
      </c>
    </row>
    <row r="592" spans="1:27" x14ac:dyDescent="0.35">
      <c r="A592" s="1">
        <v>59</v>
      </c>
      <c r="B592" s="2" t="s">
        <v>118</v>
      </c>
      <c r="C592" s="11" t="s">
        <v>92</v>
      </c>
      <c r="D592" s="9" t="str">
        <f>'B.kriteria &amp; R.kecocokan'!$B$23</f>
        <v>Banyak</v>
      </c>
      <c r="E592" s="111">
        <f>_xlfn.IFS(D592="Banyak",'B.kriteria &amp; R.kecocokan'!$C$23,D592="Cukup",'B.kriteria &amp; R.kecocokan'!$C$24,D592="Sedikit",'B.kriteria &amp; R.kecocokan'!$C$25)</f>
        <v>2.5</v>
      </c>
      <c r="F592" s="9" t="str">
        <f>'B.kriteria &amp; R.kecocokan'!$B$34</f>
        <v>Tinggi</v>
      </c>
      <c r="G592" s="8">
        <f>_xlfn.IFS(F592="Tinggi",'B.kriteria &amp; R.kecocokan'!$C$34,F592="Sangat Tinggi",'B.kriteria &amp; R.kecocokan'!$C$35)</f>
        <v>7.5</v>
      </c>
      <c r="H592" s="8" t="str">
        <f>'B.kriteria &amp; R.kecocokan'!$B$41</f>
        <v>Rendah</v>
      </c>
      <c r="I592" s="8">
        <f>_xlfn.IFS(H592="Rendah",'B.kriteria &amp; R.kecocokan'!$C$41,H592="Sedang",'B.kriteria &amp; R.kecocokan'!$C$42,H592="Tinggi",'B.kriteria &amp; R.kecocokan'!$C$43)</f>
        <v>2.5</v>
      </c>
      <c r="J592" s="8" t="str">
        <f>'B.kriteria &amp; R.kecocokan'!$B$72</f>
        <v>Rendah</v>
      </c>
      <c r="K592" s="8">
        <f>_xlfn.IFS(J592="Rendah",'B.kriteria &amp; R.kecocokan'!$C$72,J592="Sedang",'B.kriteria &amp; R.kecocokan'!$C$73,J592="Tinggi",'B.kriteria &amp; R.kecocokan'!$C$74)</f>
        <v>2.5</v>
      </c>
      <c r="L592" s="8" t="str">
        <f>'B.kriteria &amp; R.kecocokan'!$B$95</f>
        <v>Rendah</v>
      </c>
      <c r="M592" s="8">
        <f>_xlfn.IFS(L592="Rendah",'B.kriteria &amp; R.kecocokan'!$C$95,L592="Tinggi",'B.kriteria &amp; R.kecocokan'!$C$96)</f>
        <v>2.5</v>
      </c>
      <c r="N592" s="8" t="str">
        <f>'B.kriteria &amp; R.kecocokan'!$B$80</f>
        <v>Rendah</v>
      </c>
      <c r="O592" s="8">
        <f>_xlfn.IFS(N592="Rendah",'B.kriteria &amp; R.kecocokan'!$C$80,N592="Tinggi",'B.kriteria &amp; R.kecocokan'!$C$81)</f>
        <v>2.5</v>
      </c>
      <c r="P592" s="9" t="str">
        <f>'B.kriteria &amp; R.kecocokan'!$B$90</f>
        <v>Sangat Sedikit</v>
      </c>
      <c r="Q592" s="8">
        <f>_xlfn.IFS(P592="Sedikit",'B.kriteria &amp; R.kecocokan'!$C$89,P592="Sedang",'B.kriteria &amp; R.kecocokan'!$C$88,P592="Sangat Sedikit",'B.kriteria &amp; R.kecocokan'!$C$90)</f>
        <v>1</v>
      </c>
      <c r="R592" s="8" t="str">
        <f>'B.kriteria &amp; R.kecocokan'!$B$49</f>
        <v>Rendah</v>
      </c>
      <c r="S592" s="8">
        <f>_xlfn.IFS(R592="Rendah",'B.kriteria &amp; R.kecocokan'!$C$49,R592="Sedang",'B.kriteria &amp; R.kecocokan'!$C$50,R592="Tinggi",'B.kriteria &amp; R.kecocokan'!$C$51)</f>
        <v>2.5</v>
      </c>
      <c r="T592" s="8" t="str">
        <f>'B.kriteria &amp; R.kecocokan'!$B$57</f>
        <v>Rendah</v>
      </c>
      <c r="U592" s="51">
        <f>_xlfn.IFS(T592="Rendah",'B.kriteria &amp; R.kecocokan'!$C$57,T592="Sedang",'B.kriteria &amp; R.kecocokan'!$C$58,T592="Tinggi",'B.kriteria &amp; R.kecocokan'!$C$59)</f>
        <v>2.5</v>
      </c>
      <c r="V592" s="51" t="str">
        <f>'B.kriteria &amp; R.kecocokan'!$B$65</f>
        <v>Rendah</v>
      </c>
      <c r="W592" s="9">
        <f>_xlfn.IFS(V592="Rendah",'B.kriteria &amp; R.kecocokan'!$C$65,V592="Sedang",'B.kriteria &amp; R.kecocokan'!$C$66,V592="Tinggi",'B.kriteria &amp; R.kecocokan'!$C$67)</f>
        <v>1</v>
      </c>
      <c r="X592" s="117">
        <f t="shared" si="54"/>
        <v>6.3332816978018514</v>
      </c>
      <c r="Y592" s="117">
        <f t="shared" si="55"/>
        <v>3.4750468217310599</v>
      </c>
      <c r="Z592" s="119">
        <f t="shared" si="56"/>
        <v>3.4750468217310599</v>
      </c>
      <c r="AA592" s="55" t="str">
        <f t="shared" si="57"/>
        <v>Tidak Layak</v>
      </c>
    </row>
    <row r="593" spans="1:27" x14ac:dyDescent="0.35">
      <c r="A593" s="5">
        <v>60</v>
      </c>
      <c r="B593" s="2" t="s">
        <v>203</v>
      </c>
      <c r="C593" s="11" t="s">
        <v>95</v>
      </c>
      <c r="D593" s="28" t="str">
        <f>'B.kriteria &amp; R.kecocokan'!$B$25</f>
        <v>Sedikit</v>
      </c>
      <c r="E593" s="111">
        <f>_xlfn.IFS(D593="Banyak",'B.kriteria &amp; R.kecocokan'!$C$23,D593="Cukup",'B.kriteria &amp; R.kecocokan'!$C$24,D593="Sedikit",'B.kriteria &amp; R.kecocokan'!$C$25)</f>
        <v>7.5</v>
      </c>
      <c r="F593" s="9" t="str">
        <f>'B.kriteria &amp; R.kecocokan'!$B$34</f>
        <v>Tinggi</v>
      </c>
      <c r="G593" s="8">
        <f>_xlfn.IFS(F593="Tinggi",'B.kriteria &amp; R.kecocokan'!$C$34,F593="Sangat Tinggi",'B.kriteria &amp; R.kecocokan'!$C$35)</f>
        <v>7.5</v>
      </c>
      <c r="H593" s="8" t="str">
        <f>'B.kriteria &amp; R.kecocokan'!$B$41</f>
        <v>Rendah</v>
      </c>
      <c r="I593" s="8">
        <f>_xlfn.IFS(H593="Rendah",'B.kriteria &amp; R.kecocokan'!$C$41,H593="Sedang",'B.kriteria &amp; R.kecocokan'!$C$42,H593="Tinggi",'B.kriteria &amp; R.kecocokan'!$C$43)</f>
        <v>2.5</v>
      </c>
      <c r="J593" s="8" t="str">
        <f>'B.kriteria &amp; R.kecocokan'!$B$72</f>
        <v>Rendah</v>
      </c>
      <c r="K593" s="8">
        <f>_xlfn.IFS(J593="Rendah",'B.kriteria &amp; R.kecocokan'!$C$72,J593="Sedang",'B.kriteria &amp; R.kecocokan'!$C$73,J593="Tinggi",'B.kriteria &amp; R.kecocokan'!$C$74)</f>
        <v>2.5</v>
      </c>
      <c r="L593" s="8" t="str">
        <f>'B.kriteria &amp; R.kecocokan'!$B$95</f>
        <v>Rendah</v>
      </c>
      <c r="M593" s="8">
        <f>_xlfn.IFS(L593="Rendah",'B.kriteria &amp; R.kecocokan'!$C$95,L593="Tinggi",'B.kriteria &amp; R.kecocokan'!$C$96)</f>
        <v>2.5</v>
      </c>
      <c r="N593" s="9" t="str">
        <f>'B.kriteria &amp; R.kecocokan'!$B$81</f>
        <v>Tinggi</v>
      </c>
      <c r="O593" s="8">
        <f>_xlfn.IFS(N593="Rendah",'B.kriteria &amp; R.kecocokan'!$C$80,N593="Tinggi",'B.kriteria &amp; R.kecocokan'!$C$81)</f>
        <v>7.5</v>
      </c>
      <c r="P593" s="9" t="str">
        <f>'B.kriteria &amp; R.kecocokan'!$B$90</f>
        <v>Sangat Sedikit</v>
      </c>
      <c r="Q593" s="8">
        <f>_xlfn.IFS(P593="Sedikit",'B.kriteria &amp; R.kecocokan'!$C$89,P593="Sedang",'B.kriteria &amp; R.kecocokan'!$C$88,P593="Sangat Sedikit",'B.kriteria &amp; R.kecocokan'!$C$90)</f>
        <v>1</v>
      </c>
      <c r="R593" s="8" t="str">
        <f>'B.kriteria &amp; R.kecocokan'!$B$49</f>
        <v>Rendah</v>
      </c>
      <c r="S593" s="8">
        <f>_xlfn.IFS(R593="Rendah",'B.kriteria &amp; R.kecocokan'!$C$49,R593="Sedang",'B.kriteria &amp; R.kecocokan'!$C$50,R593="Tinggi",'B.kriteria &amp; R.kecocokan'!$C$51)</f>
        <v>2.5</v>
      </c>
      <c r="T593" s="8" t="str">
        <f>'B.kriteria &amp; R.kecocokan'!$B$57</f>
        <v>Rendah</v>
      </c>
      <c r="U593" s="51">
        <f>_xlfn.IFS(T593="Rendah",'B.kriteria &amp; R.kecocokan'!$C$57,T593="Sedang",'B.kriteria &amp; R.kecocokan'!$C$58,T593="Tinggi",'B.kriteria &amp; R.kecocokan'!$C$59)</f>
        <v>2.5</v>
      </c>
      <c r="V593" s="51" t="str">
        <f>'B.kriteria &amp; R.kecocokan'!$B$65</f>
        <v>Rendah</v>
      </c>
      <c r="W593" s="9">
        <f>_xlfn.IFS(V593="Rendah",'B.kriteria &amp; R.kecocokan'!$C$65,V593="Sedang",'B.kriteria &amp; R.kecocokan'!$C$66,V593="Tinggi",'B.kriteria &amp; R.kecocokan'!$C$67)</f>
        <v>1</v>
      </c>
      <c r="X593" s="117">
        <f t="shared" si="54"/>
        <v>1.9814758482999792</v>
      </c>
      <c r="Y593" s="117">
        <f t="shared" si="55"/>
        <v>6.2728524361689244</v>
      </c>
      <c r="Z593" s="119">
        <f t="shared" si="56"/>
        <v>1.9814758482999792</v>
      </c>
      <c r="AA593" s="55" t="str">
        <f t="shared" si="57"/>
        <v>Layak</v>
      </c>
    </row>
    <row r="594" spans="1:27" x14ac:dyDescent="0.35">
      <c r="A594" s="5">
        <v>61</v>
      </c>
      <c r="B594" s="2" t="s">
        <v>123</v>
      </c>
      <c r="C594" s="11" t="s">
        <v>95</v>
      </c>
      <c r="D594" s="28" t="str">
        <f>'B.kriteria &amp; R.kecocokan'!$B$25</f>
        <v>Sedikit</v>
      </c>
      <c r="E594" s="111">
        <f>_xlfn.IFS(D594="Banyak",'B.kriteria &amp; R.kecocokan'!$C$23,D594="Cukup",'B.kriteria &amp; R.kecocokan'!$C$24,D594="Sedikit",'B.kriteria &amp; R.kecocokan'!$C$25)</f>
        <v>7.5</v>
      </c>
      <c r="F594" s="9" t="str">
        <f>'B.kriteria &amp; R.kecocokan'!$B$34</f>
        <v>Tinggi</v>
      </c>
      <c r="G594" s="8">
        <f>_xlfn.IFS(F594="Tinggi",'B.kriteria &amp; R.kecocokan'!$C$34,F594="Sangat Tinggi",'B.kriteria &amp; R.kecocokan'!$C$35)</f>
        <v>7.5</v>
      </c>
      <c r="H594" s="8" t="str">
        <f>'B.kriteria &amp; R.kecocokan'!$B$41</f>
        <v>Rendah</v>
      </c>
      <c r="I594" s="8">
        <f>_xlfn.IFS(H594="Rendah",'B.kriteria &amp; R.kecocokan'!$C$41,H594="Sedang",'B.kriteria &amp; R.kecocokan'!$C$42,H594="Tinggi",'B.kriteria &amp; R.kecocokan'!$C$43)</f>
        <v>2.5</v>
      </c>
      <c r="J594" s="8" t="str">
        <f>'B.kriteria &amp; R.kecocokan'!$B$72</f>
        <v>Rendah</v>
      </c>
      <c r="K594" s="8">
        <f>_xlfn.IFS(J594="Rendah",'B.kriteria &amp; R.kecocokan'!$C$72,J594="Sedang",'B.kriteria &amp; R.kecocokan'!$C$73,J594="Tinggi",'B.kriteria &amp; R.kecocokan'!$C$74)</f>
        <v>2.5</v>
      </c>
      <c r="L594" s="8" t="str">
        <f>'B.kriteria &amp; R.kecocokan'!$B$95</f>
        <v>Rendah</v>
      </c>
      <c r="M594" s="8">
        <f>_xlfn.IFS(L594="Rendah",'B.kriteria &amp; R.kecocokan'!$C$95,L594="Tinggi",'B.kriteria &amp; R.kecocokan'!$C$96)</f>
        <v>2.5</v>
      </c>
      <c r="N594" s="8" t="str">
        <f>'B.kriteria &amp; R.kecocokan'!$B$80</f>
        <v>Rendah</v>
      </c>
      <c r="O594" s="8">
        <f>_xlfn.IFS(N594="Rendah",'B.kriteria &amp; R.kecocokan'!$C$80,N594="Tinggi",'B.kriteria &amp; R.kecocokan'!$C$81)</f>
        <v>2.5</v>
      </c>
      <c r="P594" s="8" t="str">
        <f>'B.kriteria &amp; R.kecocokan'!$B$89</f>
        <v>Sedikit</v>
      </c>
      <c r="Q594" s="8">
        <f>_xlfn.IFS(P594="Sedikit",'B.kriteria &amp; R.kecocokan'!$C$89,P594="Sedang",'B.kriteria &amp; R.kecocokan'!$C$88,P594="Sangat Sedikit",'B.kriteria &amp; R.kecocokan'!$C$90)</f>
        <v>2.5</v>
      </c>
      <c r="R594" s="8" t="str">
        <f>'B.kriteria &amp; R.kecocokan'!$B$49</f>
        <v>Rendah</v>
      </c>
      <c r="S594" s="8">
        <f>_xlfn.IFS(R594="Rendah",'B.kriteria &amp; R.kecocokan'!$C$49,R594="Sedang",'B.kriteria &amp; R.kecocokan'!$C$50,R594="Tinggi",'B.kriteria &amp; R.kecocokan'!$C$51)</f>
        <v>2.5</v>
      </c>
      <c r="T594" s="8" t="str">
        <f>'B.kriteria &amp; R.kecocokan'!$B$57</f>
        <v>Rendah</v>
      </c>
      <c r="U594" s="51">
        <f>_xlfn.IFS(T594="Rendah",'B.kriteria &amp; R.kecocokan'!$C$57,T594="Sedang",'B.kriteria &amp; R.kecocokan'!$C$58,T594="Tinggi",'B.kriteria &amp; R.kecocokan'!$C$59)</f>
        <v>2.5</v>
      </c>
      <c r="V594" s="51" t="str">
        <f>'B.kriteria &amp; R.kecocokan'!$B$65</f>
        <v>Rendah</v>
      </c>
      <c r="W594" s="9">
        <f>_xlfn.IFS(V594="Rendah",'B.kriteria &amp; R.kecocokan'!$C$65,V594="Sedang",'B.kriteria &amp; R.kecocokan'!$C$66,V594="Tinggi",'B.kriteria &amp; R.kecocokan'!$C$67)</f>
        <v>1</v>
      </c>
      <c r="X594" s="117">
        <f t="shared" si="54"/>
        <v>5.4692859353538354</v>
      </c>
      <c r="Y594" s="117">
        <f t="shared" si="55"/>
        <v>3.0701710723057669</v>
      </c>
      <c r="Z594" s="119">
        <f t="shared" si="56"/>
        <v>3.0701710723057669</v>
      </c>
      <c r="AA594" s="55" t="str">
        <f t="shared" si="57"/>
        <v>Tidak Layak</v>
      </c>
    </row>
    <row r="595" spans="1:27" x14ac:dyDescent="0.35">
      <c r="A595" s="1">
        <v>62</v>
      </c>
      <c r="B595" s="2" t="s">
        <v>233</v>
      </c>
      <c r="C595" s="11" t="s">
        <v>95</v>
      </c>
      <c r="D595" s="28" t="str">
        <f>'B.kriteria &amp; R.kecocokan'!$B$25</f>
        <v>Sedikit</v>
      </c>
      <c r="E595" s="111">
        <f>_xlfn.IFS(D595="Banyak",'B.kriteria &amp; R.kecocokan'!$C$23,D595="Cukup",'B.kriteria &amp; R.kecocokan'!$C$24,D595="Sedikit",'B.kriteria &amp; R.kecocokan'!$C$25)</f>
        <v>7.5</v>
      </c>
      <c r="F595" s="9" t="str">
        <f>'B.kriteria &amp; R.kecocokan'!$B$34</f>
        <v>Tinggi</v>
      </c>
      <c r="G595" s="8">
        <f>_xlfn.IFS(F595="Tinggi",'B.kriteria &amp; R.kecocokan'!$C$34,F595="Sangat Tinggi",'B.kriteria &amp; R.kecocokan'!$C$35)</f>
        <v>7.5</v>
      </c>
      <c r="H595" s="8" t="str">
        <f>'B.kriteria &amp; R.kecocokan'!$B$41</f>
        <v>Rendah</v>
      </c>
      <c r="I595" s="8">
        <f>_xlfn.IFS(H595="Rendah",'B.kriteria &amp; R.kecocokan'!$C$41,H595="Sedang",'B.kriteria &amp; R.kecocokan'!$C$42,H595="Tinggi",'B.kriteria &amp; R.kecocokan'!$C$43)</f>
        <v>2.5</v>
      </c>
      <c r="J595" s="8" t="str">
        <f>'B.kriteria &amp; R.kecocokan'!$B$72</f>
        <v>Rendah</v>
      </c>
      <c r="K595" s="8">
        <f>_xlfn.IFS(J595="Rendah",'B.kriteria &amp; R.kecocokan'!$C$72,J595="Sedang",'B.kriteria &amp; R.kecocokan'!$C$73,J595="Tinggi",'B.kriteria &amp; R.kecocokan'!$C$74)</f>
        <v>2.5</v>
      </c>
      <c r="L595" s="8" t="str">
        <f>'B.kriteria &amp; R.kecocokan'!$B$95</f>
        <v>Rendah</v>
      </c>
      <c r="M595" s="8">
        <f>_xlfn.IFS(L595="Rendah",'B.kriteria &amp; R.kecocokan'!$C$95,L595="Tinggi",'B.kriteria &amp; R.kecocokan'!$C$96)</f>
        <v>2.5</v>
      </c>
      <c r="N595" s="9" t="str">
        <f>'B.kriteria &amp; R.kecocokan'!$B$81</f>
        <v>Tinggi</v>
      </c>
      <c r="O595" s="8">
        <f>_xlfn.IFS(N595="Rendah",'B.kriteria &amp; R.kecocokan'!$C$80,N595="Tinggi",'B.kriteria &amp; R.kecocokan'!$C$81)</f>
        <v>7.5</v>
      </c>
      <c r="P595" s="9" t="str">
        <f>'B.kriteria &amp; R.kecocokan'!$B$90</f>
        <v>Sangat Sedikit</v>
      </c>
      <c r="Q595" s="8">
        <f>_xlfn.IFS(P595="Sedikit",'B.kriteria &amp; R.kecocokan'!$C$89,P595="Sedang",'B.kriteria &amp; R.kecocokan'!$C$88,P595="Sangat Sedikit",'B.kriteria &amp; R.kecocokan'!$C$90)</f>
        <v>1</v>
      </c>
      <c r="R595" s="8" t="str">
        <f>'B.kriteria &amp; R.kecocokan'!$B$49</f>
        <v>Rendah</v>
      </c>
      <c r="S595" s="8">
        <f>_xlfn.IFS(R595="Rendah",'B.kriteria &amp; R.kecocokan'!$C$49,R595="Sedang",'B.kriteria &amp; R.kecocokan'!$C$50,R595="Tinggi",'B.kriteria &amp; R.kecocokan'!$C$51)</f>
        <v>2.5</v>
      </c>
      <c r="T595" s="8" t="str">
        <f>'B.kriteria &amp; R.kecocokan'!$B$57</f>
        <v>Rendah</v>
      </c>
      <c r="U595" s="51">
        <f>_xlfn.IFS(T595="Rendah",'B.kriteria &amp; R.kecocokan'!$C$57,T595="Sedang",'B.kriteria &amp; R.kecocokan'!$C$58,T595="Tinggi",'B.kriteria &amp; R.kecocokan'!$C$59)</f>
        <v>2.5</v>
      </c>
      <c r="V595" s="51" t="str">
        <f>'B.kriteria &amp; R.kecocokan'!$B$65</f>
        <v>Rendah</v>
      </c>
      <c r="W595" s="9">
        <f>_xlfn.IFS(V595="Rendah",'B.kriteria &amp; R.kecocokan'!$C$65,V595="Sedang",'B.kriteria &amp; R.kecocokan'!$C$66,V595="Tinggi",'B.kriteria &amp; R.kecocokan'!$C$67)</f>
        <v>1</v>
      </c>
      <c r="X595" s="117">
        <f t="shared" si="54"/>
        <v>1.9814758482999792</v>
      </c>
      <c r="Y595" s="117">
        <f t="shared" si="55"/>
        <v>6.2728524361689244</v>
      </c>
      <c r="Z595" s="119">
        <f t="shared" si="56"/>
        <v>1.9814758482999792</v>
      </c>
      <c r="AA595" s="55" t="str">
        <f t="shared" si="57"/>
        <v>Layak</v>
      </c>
    </row>
    <row r="596" spans="1:27" x14ac:dyDescent="0.35">
      <c r="A596" s="5">
        <v>63</v>
      </c>
      <c r="B596" s="2" t="s">
        <v>211</v>
      </c>
      <c r="C596" s="11" t="s">
        <v>95</v>
      </c>
      <c r="D596" s="9" t="str">
        <f>'B.kriteria &amp; R.kecocokan'!$B$23</f>
        <v>Banyak</v>
      </c>
      <c r="E596" s="111">
        <f>_xlfn.IFS(D596="Banyak",'B.kriteria &amp; R.kecocokan'!$C$23,D596="Cukup",'B.kriteria &amp; R.kecocokan'!$C$24,D596="Sedikit",'B.kriteria &amp; R.kecocokan'!$C$25)</f>
        <v>2.5</v>
      </c>
      <c r="F596" s="9" t="str">
        <f>'B.kriteria &amp; R.kecocokan'!$B$34</f>
        <v>Tinggi</v>
      </c>
      <c r="G596" s="8">
        <f>_xlfn.IFS(F596="Tinggi",'B.kriteria &amp; R.kecocokan'!$C$34,F596="Sangat Tinggi",'B.kriteria &amp; R.kecocokan'!$C$35)</f>
        <v>7.5</v>
      </c>
      <c r="H596" s="8" t="str">
        <f>'B.kriteria &amp; R.kecocokan'!$B$41</f>
        <v>Rendah</v>
      </c>
      <c r="I596" s="8">
        <f>_xlfn.IFS(H596="Rendah",'B.kriteria &amp; R.kecocokan'!$C$41,H596="Sedang",'B.kriteria &amp; R.kecocokan'!$C$42,H596="Tinggi",'B.kriteria &amp; R.kecocokan'!$C$43)</f>
        <v>2.5</v>
      </c>
      <c r="J596" s="8" t="str">
        <f>'B.kriteria &amp; R.kecocokan'!$B$72</f>
        <v>Rendah</v>
      </c>
      <c r="K596" s="8">
        <f>_xlfn.IFS(J596="Rendah",'B.kriteria &amp; R.kecocokan'!$C$72,J596="Sedang",'B.kriteria &amp; R.kecocokan'!$C$73,J596="Tinggi",'B.kriteria &amp; R.kecocokan'!$C$74)</f>
        <v>2.5</v>
      </c>
      <c r="L596" s="8" t="str">
        <f>'B.kriteria &amp; R.kecocokan'!$B$95</f>
        <v>Rendah</v>
      </c>
      <c r="M596" s="8">
        <f>_xlfn.IFS(L596="Rendah",'B.kriteria &amp; R.kecocokan'!$C$95,L596="Tinggi",'B.kriteria &amp; R.kecocokan'!$C$96)</f>
        <v>2.5</v>
      </c>
      <c r="N596" s="9" t="str">
        <f>'B.kriteria &amp; R.kecocokan'!$B$81</f>
        <v>Tinggi</v>
      </c>
      <c r="O596" s="8">
        <f>_xlfn.IFS(N596="Rendah",'B.kriteria &amp; R.kecocokan'!$C$80,N596="Tinggi",'B.kriteria &amp; R.kecocokan'!$C$81)</f>
        <v>7.5</v>
      </c>
      <c r="P596" s="9" t="str">
        <f>'B.kriteria &amp; R.kecocokan'!$B$90</f>
        <v>Sangat Sedikit</v>
      </c>
      <c r="Q596" s="8">
        <f>_xlfn.IFS(P596="Sedikit",'B.kriteria &amp; R.kecocokan'!$C$89,P596="Sedang",'B.kriteria &amp; R.kecocokan'!$C$88,P596="Sangat Sedikit",'B.kriteria &amp; R.kecocokan'!$C$90)</f>
        <v>1</v>
      </c>
      <c r="R596" s="8" t="str">
        <f>'B.kriteria &amp; R.kecocokan'!$B$49</f>
        <v>Rendah</v>
      </c>
      <c r="S596" s="8">
        <f>_xlfn.IFS(R596="Rendah",'B.kriteria &amp; R.kecocokan'!$C$49,R596="Sedang",'B.kriteria &amp; R.kecocokan'!$C$50,R596="Tinggi",'B.kriteria &amp; R.kecocokan'!$C$51)</f>
        <v>2.5</v>
      </c>
      <c r="T596" s="8" t="str">
        <f>'B.kriteria &amp; R.kecocokan'!$B$57</f>
        <v>Rendah</v>
      </c>
      <c r="U596" s="51">
        <f>_xlfn.IFS(T596="Rendah",'B.kriteria &amp; R.kecocokan'!$C$57,T596="Sedang",'B.kriteria &amp; R.kecocokan'!$C$58,T596="Tinggi",'B.kriteria &amp; R.kecocokan'!$C$59)</f>
        <v>2.5</v>
      </c>
      <c r="V596" s="51" t="str">
        <f>'B.kriteria &amp; R.kecocokan'!$B$65</f>
        <v>Rendah</v>
      </c>
      <c r="W596" s="9">
        <f>_xlfn.IFS(V596="Rendah",'B.kriteria &amp; R.kecocokan'!$C$65,V596="Sedang",'B.kriteria &amp; R.kecocokan'!$C$66,V596="Tinggi",'B.kriteria &amp; R.kecocokan'!$C$67)</f>
        <v>1</v>
      </c>
      <c r="X596" s="117">
        <f t="shared" si="54"/>
        <v>3.8872171361671977</v>
      </c>
      <c r="Y596" s="117">
        <f t="shared" si="55"/>
        <v>6.089002415274865</v>
      </c>
      <c r="Z596" s="119">
        <f t="shared" si="56"/>
        <v>3.8872171361671977</v>
      </c>
      <c r="AA596" s="55" t="str">
        <f t="shared" si="57"/>
        <v>Layak</v>
      </c>
    </row>
    <row r="597" spans="1:27" x14ac:dyDescent="0.35">
      <c r="A597" s="5">
        <v>64</v>
      </c>
      <c r="B597" s="2" t="s">
        <v>207</v>
      </c>
      <c r="C597" s="11" t="s">
        <v>235</v>
      </c>
      <c r="D597" s="28" t="str">
        <f>'B.kriteria &amp; R.kecocokan'!$B$25</f>
        <v>Sedikit</v>
      </c>
      <c r="E597" s="111">
        <f>_xlfn.IFS(D597="Banyak",'B.kriteria &amp; R.kecocokan'!$C$23,D597="Cukup",'B.kriteria &amp; R.kecocokan'!$C$24,D597="Sedikit",'B.kriteria &amp; R.kecocokan'!$C$25)</f>
        <v>7.5</v>
      </c>
      <c r="F597" s="9" t="str">
        <f>'B.kriteria &amp; R.kecocokan'!$B$34</f>
        <v>Tinggi</v>
      </c>
      <c r="G597" s="8">
        <f>_xlfn.IFS(F597="Tinggi",'B.kriteria &amp; R.kecocokan'!$C$34,F597="Sangat Tinggi",'B.kriteria &amp; R.kecocokan'!$C$35)</f>
        <v>7.5</v>
      </c>
      <c r="H597" s="8" t="str">
        <f>'B.kriteria &amp; R.kecocokan'!$B$41</f>
        <v>Rendah</v>
      </c>
      <c r="I597" s="8">
        <f>_xlfn.IFS(H597="Rendah",'B.kriteria &amp; R.kecocokan'!$C$41,H597="Sedang",'B.kriteria &amp; R.kecocokan'!$C$42,H597="Tinggi",'B.kriteria &amp; R.kecocokan'!$C$43)</f>
        <v>2.5</v>
      </c>
      <c r="J597" s="8" t="str">
        <f>'B.kriteria &amp; R.kecocokan'!$B$72</f>
        <v>Rendah</v>
      </c>
      <c r="K597" s="8">
        <f>_xlfn.IFS(J597="Rendah",'B.kriteria &amp; R.kecocokan'!$C$72,J597="Sedang",'B.kriteria &amp; R.kecocokan'!$C$73,J597="Tinggi",'B.kriteria &amp; R.kecocokan'!$C$74)</f>
        <v>2.5</v>
      </c>
      <c r="L597" s="8" t="str">
        <f>'B.kriteria &amp; R.kecocokan'!$B$95</f>
        <v>Rendah</v>
      </c>
      <c r="M597" s="8">
        <f>_xlfn.IFS(L597="Rendah",'B.kriteria &amp; R.kecocokan'!$C$95,L597="Tinggi",'B.kriteria &amp; R.kecocokan'!$C$96)</f>
        <v>2.5</v>
      </c>
      <c r="N597" s="9" t="str">
        <f>'B.kriteria &amp; R.kecocokan'!$B$81</f>
        <v>Tinggi</v>
      </c>
      <c r="O597" s="8">
        <f>_xlfn.IFS(N597="Rendah",'B.kriteria &amp; R.kecocokan'!$C$80,N597="Tinggi",'B.kriteria &amp; R.kecocokan'!$C$81)</f>
        <v>7.5</v>
      </c>
      <c r="P597" s="9" t="str">
        <f>'B.kriteria &amp; R.kecocokan'!$B$90</f>
        <v>Sangat Sedikit</v>
      </c>
      <c r="Q597" s="8">
        <f>_xlfn.IFS(P597="Sedikit",'B.kriteria &amp; R.kecocokan'!$C$89,P597="Sedang",'B.kriteria &amp; R.kecocokan'!$C$88,P597="Sangat Sedikit",'B.kriteria &amp; R.kecocokan'!$C$90)</f>
        <v>1</v>
      </c>
      <c r="R597" s="8" t="str">
        <f>'B.kriteria &amp; R.kecocokan'!$B$49</f>
        <v>Rendah</v>
      </c>
      <c r="S597" s="8">
        <f>_xlfn.IFS(R597="Rendah",'B.kriteria &amp; R.kecocokan'!$C$49,R597="Sedang",'B.kriteria &amp; R.kecocokan'!$C$50,R597="Tinggi",'B.kriteria &amp; R.kecocokan'!$C$51)</f>
        <v>2.5</v>
      </c>
      <c r="T597" s="8" t="str">
        <f>'B.kriteria &amp; R.kecocokan'!$B$57</f>
        <v>Rendah</v>
      </c>
      <c r="U597" s="51">
        <f>_xlfn.IFS(T597="Rendah",'B.kriteria &amp; R.kecocokan'!$C$57,T597="Sedang",'B.kriteria &amp; R.kecocokan'!$C$58,T597="Tinggi",'B.kriteria &amp; R.kecocokan'!$C$59)</f>
        <v>2.5</v>
      </c>
      <c r="V597" s="51" t="str">
        <f>'B.kriteria &amp; R.kecocokan'!$B$65</f>
        <v>Rendah</v>
      </c>
      <c r="W597" s="9">
        <f>_xlfn.IFS(V597="Rendah",'B.kriteria &amp; R.kecocokan'!$C$65,V597="Sedang",'B.kriteria &amp; R.kecocokan'!$C$66,V597="Tinggi",'B.kriteria &amp; R.kecocokan'!$C$67)</f>
        <v>1</v>
      </c>
      <c r="X597" s="117">
        <f t="shared" si="54"/>
        <v>1.9814758482999792</v>
      </c>
      <c r="Y597" s="117">
        <f t="shared" si="55"/>
        <v>6.2728524361689244</v>
      </c>
      <c r="Z597" s="119">
        <f t="shared" si="56"/>
        <v>1.9814758482999792</v>
      </c>
      <c r="AA597" s="55" t="str">
        <f t="shared" si="57"/>
        <v>Layak</v>
      </c>
    </row>
    <row r="598" spans="1:27" x14ac:dyDescent="0.35">
      <c r="A598" s="1">
        <v>65</v>
      </c>
      <c r="B598" s="2" t="s">
        <v>209</v>
      </c>
      <c r="C598" s="11" t="s">
        <v>95</v>
      </c>
      <c r="D598" s="9" t="str">
        <f>'B.kriteria &amp; R.kecocokan'!$B$23</f>
        <v>Banyak</v>
      </c>
      <c r="E598" s="111">
        <f>_xlfn.IFS(D598="Banyak",'B.kriteria &amp; R.kecocokan'!$C$23,D598="Cukup",'B.kriteria &amp; R.kecocokan'!$C$24,D598="Sedikit",'B.kriteria &amp; R.kecocokan'!$C$25)</f>
        <v>2.5</v>
      </c>
      <c r="F598" s="9" t="str">
        <f>'B.kriteria &amp; R.kecocokan'!$B$34</f>
        <v>Tinggi</v>
      </c>
      <c r="G598" s="8">
        <f>_xlfn.IFS(F598="Tinggi",'B.kriteria &amp; R.kecocokan'!$C$34,F598="Sangat Tinggi",'B.kriteria &amp; R.kecocokan'!$C$35)</f>
        <v>7.5</v>
      </c>
      <c r="H598" s="8" t="str">
        <f>'B.kriteria &amp; R.kecocokan'!$B$41</f>
        <v>Rendah</v>
      </c>
      <c r="I598" s="8">
        <f>_xlfn.IFS(H598="Rendah",'B.kriteria &amp; R.kecocokan'!$C$41,H598="Sedang",'B.kriteria &amp; R.kecocokan'!$C$42,H598="Tinggi",'B.kriteria &amp; R.kecocokan'!$C$43)</f>
        <v>2.5</v>
      </c>
      <c r="J598" s="8" t="str">
        <f>'B.kriteria &amp; R.kecocokan'!$B$72</f>
        <v>Rendah</v>
      </c>
      <c r="K598" s="8">
        <f>_xlfn.IFS(J598="Rendah",'B.kriteria &amp; R.kecocokan'!$C$72,J598="Sedang",'B.kriteria &amp; R.kecocokan'!$C$73,J598="Tinggi",'B.kriteria &amp; R.kecocokan'!$C$74)</f>
        <v>2.5</v>
      </c>
      <c r="L598" s="8" t="str">
        <f>'B.kriteria &amp; R.kecocokan'!$B$95</f>
        <v>Rendah</v>
      </c>
      <c r="M598" s="8">
        <f>_xlfn.IFS(L598="Rendah",'B.kriteria &amp; R.kecocokan'!$C$95,L598="Tinggi",'B.kriteria &amp; R.kecocokan'!$C$96)</f>
        <v>2.5</v>
      </c>
      <c r="N598" s="8" t="str">
        <f>'B.kriteria &amp; R.kecocokan'!$B$80</f>
        <v>Rendah</v>
      </c>
      <c r="O598" s="8">
        <f>_xlfn.IFS(N598="Rendah",'B.kriteria &amp; R.kecocokan'!$C$80,N598="Tinggi",'B.kriteria &amp; R.kecocokan'!$C$81)</f>
        <v>2.5</v>
      </c>
      <c r="P598" s="8" t="str">
        <f>'B.kriteria &amp; R.kecocokan'!$B$89</f>
        <v>Sedikit</v>
      </c>
      <c r="Q598" s="8">
        <f>_xlfn.IFS(P598="Sedikit",'B.kriteria &amp; R.kecocokan'!$C$89,P598="Sedang",'B.kriteria &amp; R.kecocokan'!$C$88,P598="Sangat Sedikit",'B.kriteria &amp; R.kecocokan'!$C$90)</f>
        <v>2.5</v>
      </c>
      <c r="R598" s="8" t="str">
        <f>'B.kriteria &amp; R.kecocokan'!$B$49</f>
        <v>Rendah</v>
      </c>
      <c r="S598" s="8">
        <f>_xlfn.IFS(R598="Rendah",'B.kriteria &amp; R.kecocokan'!$C$49,R598="Sedang",'B.kriteria &amp; R.kecocokan'!$C$50,R598="Tinggi",'B.kriteria &amp; R.kecocokan'!$C$51)</f>
        <v>2.5</v>
      </c>
      <c r="T598" s="8" t="str">
        <f>'B.kriteria &amp; R.kecocokan'!$B$57</f>
        <v>Rendah</v>
      </c>
      <c r="U598" s="51">
        <f>_xlfn.IFS(T598="Rendah",'B.kriteria &amp; R.kecocokan'!$C$57,T598="Sedang",'B.kriteria &amp; R.kecocokan'!$C$58,T598="Tinggi",'B.kriteria &amp; R.kecocokan'!$C$59)</f>
        <v>2.5</v>
      </c>
      <c r="V598" s="51" t="str">
        <f>'B.kriteria &amp; R.kecocokan'!$B$65</f>
        <v>Rendah</v>
      </c>
      <c r="W598" s="9">
        <f>_xlfn.IFS(V598="Rendah",'B.kriteria &amp; R.kecocokan'!$C$65,V598="Sedang",'B.kriteria &amp; R.kecocokan'!$C$66,V598="Tinggi",'B.kriteria &amp; R.kecocokan'!$C$67)</f>
        <v>1</v>
      </c>
      <c r="X598" s="117">
        <f t="shared" si="54"/>
        <v>6.410717523723461</v>
      </c>
      <c r="Y598" s="117">
        <f t="shared" si="55"/>
        <v>2.6745510166186524</v>
      </c>
      <c r="Z598" s="119">
        <f t="shared" si="56"/>
        <v>2.6745510166186524</v>
      </c>
      <c r="AA598" s="55" t="str">
        <f t="shared" si="57"/>
        <v>Tidak Layak</v>
      </c>
    </row>
    <row r="599" spans="1:27" x14ac:dyDescent="0.35">
      <c r="A599" s="5">
        <v>66</v>
      </c>
      <c r="B599" s="2" t="s">
        <v>213</v>
      </c>
      <c r="C599" s="11" t="s">
        <v>95</v>
      </c>
      <c r="D599" s="9" t="str">
        <f>'B.kriteria &amp; R.kecocokan'!$B$23</f>
        <v>Banyak</v>
      </c>
      <c r="E599" s="111">
        <f>_xlfn.IFS(D599="Banyak",'B.kriteria &amp; R.kecocokan'!$C$23,D599="Cukup",'B.kriteria &amp; R.kecocokan'!$C$24,D599="Sedikit",'B.kriteria &amp; R.kecocokan'!$C$25)</f>
        <v>2.5</v>
      </c>
      <c r="F599" s="9" t="str">
        <f>'B.kriteria &amp; R.kecocokan'!$B$34</f>
        <v>Tinggi</v>
      </c>
      <c r="G599" s="8">
        <f>_xlfn.IFS(F599="Tinggi",'B.kriteria &amp; R.kecocokan'!$C$34,F599="Sangat Tinggi",'B.kriteria &amp; R.kecocokan'!$C$35)</f>
        <v>7.5</v>
      </c>
      <c r="H599" s="8" t="str">
        <f>'B.kriteria &amp; R.kecocokan'!$B$41</f>
        <v>Rendah</v>
      </c>
      <c r="I599" s="8">
        <f>_xlfn.IFS(H599="Rendah",'B.kriteria &amp; R.kecocokan'!$C$41,H599="Sedang",'B.kriteria &amp; R.kecocokan'!$C$42,H599="Tinggi",'B.kriteria &amp; R.kecocokan'!$C$43)</f>
        <v>2.5</v>
      </c>
      <c r="J599" s="8" t="str">
        <f>'B.kriteria &amp; R.kecocokan'!$B$72</f>
        <v>Rendah</v>
      </c>
      <c r="K599" s="8">
        <f>_xlfn.IFS(J599="Rendah",'B.kriteria &amp; R.kecocokan'!$C$72,J599="Sedang",'B.kriteria &amp; R.kecocokan'!$C$73,J599="Tinggi",'B.kriteria &amp; R.kecocokan'!$C$74)</f>
        <v>2.5</v>
      </c>
      <c r="L599" s="8" t="str">
        <f>'B.kriteria &amp; R.kecocokan'!$B$95</f>
        <v>Rendah</v>
      </c>
      <c r="M599" s="8">
        <f>_xlfn.IFS(L599="Rendah",'B.kriteria &amp; R.kecocokan'!$C$95,L599="Tinggi",'B.kriteria &amp; R.kecocokan'!$C$96)</f>
        <v>2.5</v>
      </c>
      <c r="N599" s="8" t="str">
        <f>'B.kriteria &amp; R.kecocokan'!$B$80</f>
        <v>Rendah</v>
      </c>
      <c r="O599" s="8">
        <f>_xlfn.IFS(N599="Rendah",'B.kriteria &amp; R.kecocokan'!$C$80,N599="Tinggi",'B.kriteria &amp; R.kecocokan'!$C$81)</f>
        <v>2.5</v>
      </c>
      <c r="P599" s="8" t="str">
        <f>'B.kriteria &amp; R.kecocokan'!$B$89</f>
        <v>Sedikit</v>
      </c>
      <c r="Q599" s="8">
        <f>_xlfn.IFS(P599="Sedikit",'B.kriteria &amp; R.kecocokan'!$C$89,P599="Sedang",'B.kriteria &amp; R.kecocokan'!$C$88,P599="Sangat Sedikit",'B.kriteria &amp; R.kecocokan'!$C$90)</f>
        <v>2.5</v>
      </c>
      <c r="R599" s="8" t="str">
        <f>'B.kriteria &amp; R.kecocokan'!$B$49</f>
        <v>Rendah</v>
      </c>
      <c r="S599" s="8">
        <f>_xlfn.IFS(R599="Rendah",'B.kriteria &amp; R.kecocokan'!$C$49,R599="Sedang",'B.kriteria &amp; R.kecocokan'!$C$50,R599="Tinggi",'B.kriteria &amp; R.kecocokan'!$C$51)</f>
        <v>2.5</v>
      </c>
      <c r="T599" s="8" t="str">
        <f>'B.kriteria &amp; R.kecocokan'!$B$57</f>
        <v>Rendah</v>
      </c>
      <c r="U599" s="51">
        <f>_xlfn.IFS(T599="Rendah",'B.kriteria &amp; R.kecocokan'!$C$57,T599="Sedang",'B.kriteria &amp; R.kecocokan'!$C$58,T599="Tinggi",'B.kriteria &amp; R.kecocokan'!$C$59)</f>
        <v>2.5</v>
      </c>
      <c r="V599" s="51" t="str">
        <f>'B.kriteria &amp; R.kecocokan'!$B$65</f>
        <v>Rendah</v>
      </c>
      <c r="W599" s="9">
        <f>_xlfn.IFS(V599="Rendah",'B.kriteria &amp; R.kecocokan'!$C$65,V599="Sedang",'B.kriteria &amp; R.kecocokan'!$C$66,V599="Tinggi",'B.kriteria &amp; R.kecocokan'!$C$67)</f>
        <v>1</v>
      </c>
      <c r="X599" s="117">
        <f t="shared" si="54"/>
        <v>6.410717523723461</v>
      </c>
      <c r="Y599" s="117">
        <f t="shared" si="55"/>
        <v>2.6745510166186524</v>
      </c>
      <c r="Z599" s="119">
        <f t="shared" si="56"/>
        <v>2.6745510166186524</v>
      </c>
      <c r="AA599" s="55" t="str">
        <f t="shared" si="57"/>
        <v>Tidak Layak</v>
      </c>
    </row>
    <row r="600" spans="1:27" x14ac:dyDescent="0.35">
      <c r="A600" s="5">
        <v>67</v>
      </c>
      <c r="B600" s="2" t="s">
        <v>215</v>
      </c>
      <c r="C600" s="11" t="s">
        <v>95</v>
      </c>
      <c r="D600" s="32" t="str">
        <f>'B.kriteria &amp; R.kecocokan'!$B$24</f>
        <v>Cukup</v>
      </c>
      <c r="E600" s="111">
        <f>_xlfn.IFS(D600="Banyak",'B.kriteria &amp; R.kecocokan'!$C$23,D600="Cukup",'B.kriteria &amp; R.kecocokan'!$C$24,D600="Sedikit",'B.kriteria &amp; R.kecocokan'!$C$25)</f>
        <v>5</v>
      </c>
      <c r="F600" s="9" t="str">
        <f>'B.kriteria &amp; R.kecocokan'!$B$34</f>
        <v>Tinggi</v>
      </c>
      <c r="G600" s="8">
        <f>_xlfn.IFS(F600="Tinggi",'B.kriteria &amp; R.kecocokan'!$C$34,F600="Sangat Tinggi",'B.kriteria &amp; R.kecocokan'!$C$35)</f>
        <v>7.5</v>
      </c>
      <c r="H600" s="8" t="str">
        <f>'B.kriteria &amp; R.kecocokan'!$B$41</f>
        <v>Rendah</v>
      </c>
      <c r="I600" s="8">
        <f>_xlfn.IFS(H600="Rendah",'B.kriteria &amp; R.kecocokan'!$C$41,H600="Sedang",'B.kriteria &amp; R.kecocokan'!$C$42,H600="Tinggi",'B.kriteria &amp; R.kecocokan'!$C$43)</f>
        <v>2.5</v>
      </c>
      <c r="J600" s="8" t="str">
        <f>'B.kriteria &amp; R.kecocokan'!$B$72</f>
        <v>Rendah</v>
      </c>
      <c r="K600" s="8">
        <f>_xlfn.IFS(J600="Rendah",'B.kriteria &amp; R.kecocokan'!$C$72,J600="Sedang",'B.kriteria &amp; R.kecocokan'!$C$73,J600="Tinggi",'B.kriteria &amp; R.kecocokan'!$C$74)</f>
        <v>2.5</v>
      </c>
      <c r="L600" s="8" t="str">
        <f>'B.kriteria &amp; R.kecocokan'!$B$95</f>
        <v>Rendah</v>
      </c>
      <c r="M600" s="8">
        <f>_xlfn.IFS(L600="Rendah",'B.kriteria &amp; R.kecocokan'!$C$95,L600="Tinggi",'B.kriteria &amp; R.kecocokan'!$C$96)</f>
        <v>2.5</v>
      </c>
      <c r="N600" s="8" t="str">
        <f>'B.kriteria &amp; R.kecocokan'!$B$80</f>
        <v>Rendah</v>
      </c>
      <c r="O600" s="8">
        <f>_xlfn.IFS(N600="Rendah",'B.kriteria &amp; R.kecocokan'!$C$80,N600="Tinggi",'B.kriteria &amp; R.kecocokan'!$C$81)</f>
        <v>2.5</v>
      </c>
      <c r="P600" s="8" t="str">
        <f>'B.kriteria &amp; R.kecocokan'!$B$89</f>
        <v>Sedikit</v>
      </c>
      <c r="Q600" s="8">
        <f>_xlfn.IFS(P600="Sedikit",'B.kriteria &amp; R.kecocokan'!$C$89,P600="Sedang",'B.kriteria &amp; R.kecocokan'!$C$88,P600="Sangat Sedikit",'B.kriteria &amp; R.kecocokan'!$C$90)</f>
        <v>2.5</v>
      </c>
      <c r="R600" s="8" t="str">
        <f>'B.kriteria &amp; R.kecocokan'!$B$49</f>
        <v>Rendah</v>
      </c>
      <c r="S600" s="8">
        <f>_xlfn.IFS(R600="Rendah",'B.kriteria &amp; R.kecocokan'!$C$49,R600="Sedang",'B.kriteria &amp; R.kecocokan'!$C$50,R600="Tinggi",'B.kriteria &amp; R.kecocokan'!$C$51)</f>
        <v>2.5</v>
      </c>
      <c r="T600" s="8" t="str">
        <f>'B.kriteria &amp; R.kecocokan'!$B$57</f>
        <v>Rendah</v>
      </c>
      <c r="U600" s="51">
        <f>_xlfn.IFS(T600="Rendah",'B.kriteria &amp; R.kecocokan'!$C$57,T600="Sedang",'B.kriteria &amp; R.kecocokan'!$C$58,T600="Tinggi",'B.kriteria &amp; R.kecocokan'!$C$59)</f>
        <v>2.5</v>
      </c>
      <c r="V600" s="51" t="str">
        <f>'B.kriteria &amp; R.kecocokan'!$B$65</f>
        <v>Rendah</v>
      </c>
      <c r="W600" s="9">
        <f>_xlfn.IFS(V600="Rendah",'B.kriteria &amp; R.kecocokan'!$C$65,V600="Sedang",'B.kriteria &amp; R.kecocokan'!$C$66,V600="Tinggi",'B.kriteria &amp; R.kecocokan'!$C$67)</f>
        <v>1</v>
      </c>
      <c r="X600" s="117">
        <f t="shared" ref="X600:X626" si="58">SQRT(((E600-$E$530)^2)+((G600-$G$530)^2)+((I600-$I$530)^2+((K600-$K$530)^2)+((M600-$M$530)^2)+((O600-$O$530)^2)+((Q600-$Q$530)^2)+((S600-$S$530)^2)+((U600-$U$530)^2)+((W600-$W$530)^2)))</f>
        <v>5.4088070686443581</v>
      </c>
      <c r="Y600" s="117">
        <f t="shared" ref="Y600:Y626" si="59">SQRT(((E600-$E$531)^2)+((G600-$G$531)^2)+((I600-$I$531)^2)+((K600-$K$531)^2)+((M600-$M$531)^2+((O600-$O$531)^2)+((Q600-$Q$531)^2)+((S600-$S$531)^2)+((U600-$U$531)^2)+((W600-$W$531)^2)))</f>
        <v>1.428141021348909</v>
      </c>
      <c r="Z600" s="119">
        <f t="shared" ref="Z600:Z626" si="60">MIN(X600:Y600)</f>
        <v>1.428141021348909</v>
      </c>
      <c r="AA600" s="55" t="str">
        <f t="shared" ref="AA600:AA626" si="61">IF(X600&lt;Y600,"Layak","Tidak Layak")</f>
        <v>Tidak Layak</v>
      </c>
    </row>
    <row r="601" spans="1:27" x14ac:dyDescent="0.35">
      <c r="A601" s="1">
        <v>68</v>
      </c>
      <c r="B601" s="2" t="s">
        <v>239</v>
      </c>
      <c r="C601" s="11" t="s">
        <v>92</v>
      </c>
      <c r="D601" s="32" t="str">
        <f>'B.kriteria &amp; R.kecocokan'!$B$24</f>
        <v>Cukup</v>
      </c>
      <c r="E601" s="111">
        <f>_xlfn.IFS(D601="Banyak",'B.kriteria &amp; R.kecocokan'!$C$23,D601="Cukup",'B.kriteria &amp; R.kecocokan'!$C$24,D601="Sedikit",'B.kriteria &amp; R.kecocokan'!$C$25)</f>
        <v>5</v>
      </c>
      <c r="F601" s="9" t="str">
        <f>'B.kriteria &amp; R.kecocokan'!$B$34</f>
        <v>Tinggi</v>
      </c>
      <c r="G601" s="8">
        <f>_xlfn.IFS(F601="Tinggi",'B.kriteria &amp; R.kecocokan'!$C$34,F601="Sangat Tinggi",'B.kriteria &amp; R.kecocokan'!$C$35)</f>
        <v>7.5</v>
      </c>
      <c r="H601" s="8" t="str">
        <f>'B.kriteria &amp; R.kecocokan'!$B$41</f>
        <v>Rendah</v>
      </c>
      <c r="I601" s="8">
        <f>_xlfn.IFS(H601="Rendah",'B.kriteria &amp; R.kecocokan'!$C$41,H601="Sedang",'B.kriteria &amp; R.kecocokan'!$C$42,H601="Tinggi",'B.kriteria &amp; R.kecocokan'!$C$43)</f>
        <v>2.5</v>
      </c>
      <c r="J601" s="8" t="str">
        <f>'B.kriteria &amp; R.kecocokan'!$B$72</f>
        <v>Rendah</v>
      </c>
      <c r="K601" s="8">
        <f>_xlfn.IFS(J601="Rendah",'B.kriteria &amp; R.kecocokan'!$C$72,J601="Sedang",'B.kriteria &amp; R.kecocokan'!$C$73,J601="Tinggi",'B.kriteria &amp; R.kecocokan'!$C$74)</f>
        <v>2.5</v>
      </c>
      <c r="L601" s="8" t="str">
        <f>'B.kriteria &amp; R.kecocokan'!$B$95</f>
        <v>Rendah</v>
      </c>
      <c r="M601" s="8">
        <f>_xlfn.IFS(L601="Rendah",'B.kriteria &amp; R.kecocokan'!$C$95,L601="Tinggi",'B.kriteria &amp; R.kecocokan'!$C$96)</f>
        <v>2.5</v>
      </c>
      <c r="N601" s="8" t="str">
        <f>'B.kriteria &amp; R.kecocokan'!$B$80</f>
        <v>Rendah</v>
      </c>
      <c r="O601" s="8">
        <f>_xlfn.IFS(N601="Rendah",'B.kriteria &amp; R.kecocokan'!$C$80,N601="Tinggi",'B.kriteria &amp; R.kecocokan'!$C$81)</f>
        <v>2.5</v>
      </c>
      <c r="P601" s="8" t="str">
        <f>'B.kriteria &amp; R.kecocokan'!$B$89</f>
        <v>Sedikit</v>
      </c>
      <c r="Q601" s="8">
        <f>_xlfn.IFS(P601="Sedikit",'B.kriteria &amp; R.kecocokan'!$C$89,P601="Sedang",'B.kriteria &amp; R.kecocokan'!$C$88,P601="Sangat Sedikit",'B.kriteria &amp; R.kecocokan'!$C$90)</f>
        <v>2.5</v>
      </c>
      <c r="R601" s="8" t="str">
        <f>'B.kriteria &amp; R.kecocokan'!$B$49</f>
        <v>Rendah</v>
      </c>
      <c r="S601" s="8">
        <f>_xlfn.IFS(R601="Rendah",'B.kriteria &amp; R.kecocokan'!$C$49,R601="Sedang",'B.kriteria &amp; R.kecocokan'!$C$50,R601="Tinggi",'B.kriteria &amp; R.kecocokan'!$C$51)</f>
        <v>2.5</v>
      </c>
      <c r="T601" s="8" t="str">
        <f>'B.kriteria &amp; R.kecocokan'!$B$57</f>
        <v>Rendah</v>
      </c>
      <c r="U601" s="51">
        <f>_xlfn.IFS(T601="Rendah",'B.kriteria &amp; R.kecocokan'!$C$57,T601="Sedang",'B.kriteria &amp; R.kecocokan'!$C$58,T601="Tinggi",'B.kriteria &amp; R.kecocokan'!$C$59)</f>
        <v>2.5</v>
      </c>
      <c r="V601" s="51" t="str">
        <f>'B.kriteria &amp; R.kecocokan'!$B$65</f>
        <v>Rendah</v>
      </c>
      <c r="W601" s="9">
        <f>_xlfn.IFS(V601="Rendah",'B.kriteria &amp; R.kecocokan'!$C$65,V601="Sedang",'B.kriteria &amp; R.kecocokan'!$C$66,V601="Tinggi",'B.kriteria &amp; R.kecocokan'!$C$67)</f>
        <v>1</v>
      </c>
      <c r="X601" s="117">
        <f t="shared" si="58"/>
        <v>5.4088070686443581</v>
      </c>
      <c r="Y601" s="117">
        <f t="shared" si="59"/>
        <v>1.428141021348909</v>
      </c>
      <c r="Z601" s="119">
        <f t="shared" si="60"/>
        <v>1.428141021348909</v>
      </c>
      <c r="AA601" s="55" t="str">
        <f t="shared" si="61"/>
        <v>Tidak Layak</v>
      </c>
    </row>
    <row r="602" spans="1:27" x14ac:dyDescent="0.35">
      <c r="A602" s="5">
        <v>69</v>
      </c>
      <c r="B602" s="2" t="s">
        <v>221</v>
      </c>
      <c r="C602" s="11" t="s">
        <v>240</v>
      </c>
      <c r="D602" s="28" t="str">
        <f>'B.kriteria &amp; R.kecocokan'!$B$25</f>
        <v>Sedikit</v>
      </c>
      <c r="E602" s="111">
        <f>_xlfn.IFS(D602="Banyak",'B.kriteria &amp; R.kecocokan'!$C$23,D602="Cukup",'B.kriteria &amp; R.kecocokan'!$C$24,D602="Sedikit",'B.kriteria &amp; R.kecocokan'!$C$25)</f>
        <v>7.5</v>
      </c>
      <c r="F602" s="9" t="str">
        <f>'B.kriteria &amp; R.kecocokan'!$B$34</f>
        <v>Tinggi</v>
      </c>
      <c r="G602" s="8">
        <f>_xlfn.IFS(F602="Tinggi",'B.kriteria &amp; R.kecocokan'!$C$34,F602="Sangat Tinggi",'B.kriteria &amp; R.kecocokan'!$C$35)</f>
        <v>7.5</v>
      </c>
      <c r="H602" s="8" t="str">
        <f>'B.kriteria &amp; R.kecocokan'!$B$41</f>
        <v>Rendah</v>
      </c>
      <c r="I602" s="8">
        <f>_xlfn.IFS(H602="Rendah",'B.kriteria &amp; R.kecocokan'!$C$41,H602="Sedang",'B.kriteria &amp; R.kecocokan'!$C$42,H602="Tinggi",'B.kriteria &amp; R.kecocokan'!$C$43)</f>
        <v>2.5</v>
      </c>
      <c r="J602" s="8" t="str">
        <f>'B.kriteria &amp; R.kecocokan'!$B$72</f>
        <v>Rendah</v>
      </c>
      <c r="K602" s="8">
        <f>_xlfn.IFS(J602="Rendah",'B.kriteria &amp; R.kecocokan'!$C$72,J602="Sedang",'B.kriteria &amp; R.kecocokan'!$C$73,J602="Tinggi",'B.kriteria &amp; R.kecocokan'!$C$74)</f>
        <v>2.5</v>
      </c>
      <c r="L602" s="8" t="str">
        <f>'B.kriteria &amp; R.kecocokan'!$B$95</f>
        <v>Rendah</v>
      </c>
      <c r="M602" s="8">
        <f>_xlfn.IFS(L602="Rendah",'B.kriteria &amp; R.kecocokan'!$C$95,L602="Tinggi",'B.kriteria &amp; R.kecocokan'!$C$96)</f>
        <v>2.5</v>
      </c>
      <c r="N602" s="9" t="str">
        <f>'B.kriteria &amp; R.kecocokan'!$B$81</f>
        <v>Tinggi</v>
      </c>
      <c r="O602" s="8">
        <f>_xlfn.IFS(N602="Rendah",'B.kriteria &amp; R.kecocokan'!$C$80,N602="Tinggi",'B.kriteria &amp; R.kecocokan'!$C$81)</f>
        <v>7.5</v>
      </c>
      <c r="P602" s="9" t="str">
        <f>'B.kriteria &amp; R.kecocokan'!$B$90</f>
        <v>Sangat Sedikit</v>
      </c>
      <c r="Q602" s="8">
        <f>_xlfn.IFS(P602="Sedikit",'B.kriteria &amp; R.kecocokan'!$C$89,P602="Sedang",'B.kriteria &amp; R.kecocokan'!$C$88,P602="Sangat Sedikit",'B.kriteria &amp; R.kecocokan'!$C$90)</f>
        <v>1</v>
      </c>
      <c r="R602" s="8" t="str">
        <f>'B.kriteria &amp; R.kecocokan'!$B$49</f>
        <v>Rendah</v>
      </c>
      <c r="S602" s="8">
        <f>_xlfn.IFS(R602="Rendah",'B.kriteria &amp; R.kecocokan'!$C$49,R602="Sedang",'B.kriteria &amp; R.kecocokan'!$C$50,R602="Tinggi",'B.kriteria &amp; R.kecocokan'!$C$51)</f>
        <v>2.5</v>
      </c>
      <c r="T602" s="8" t="str">
        <f>'B.kriteria &amp; R.kecocokan'!$B$57</f>
        <v>Rendah</v>
      </c>
      <c r="U602" s="51">
        <f>_xlfn.IFS(T602="Rendah",'B.kriteria &amp; R.kecocokan'!$C$57,T602="Sedang",'B.kriteria &amp; R.kecocokan'!$C$58,T602="Tinggi",'B.kriteria &amp; R.kecocokan'!$C$59)</f>
        <v>2.5</v>
      </c>
      <c r="V602" s="51" t="str">
        <f>'B.kriteria &amp; R.kecocokan'!$B$65</f>
        <v>Rendah</v>
      </c>
      <c r="W602" s="9">
        <f>_xlfn.IFS(V602="Rendah",'B.kriteria &amp; R.kecocokan'!$C$65,V602="Sedang",'B.kriteria &amp; R.kecocokan'!$C$66,V602="Tinggi",'B.kriteria &amp; R.kecocokan'!$C$67)</f>
        <v>1</v>
      </c>
      <c r="X602" s="117">
        <f t="shared" si="58"/>
        <v>1.9814758482999792</v>
      </c>
      <c r="Y602" s="117">
        <f t="shared" si="59"/>
        <v>6.2728524361689244</v>
      </c>
      <c r="Z602" s="119">
        <f t="shared" si="60"/>
        <v>1.9814758482999792</v>
      </c>
      <c r="AA602" s="55" t="str">
        <f t="shared" si="61"/>
        <v>Layak</v>
      </c>
    </row>
    <row r="603" spans="1:27" x14ac:dyDescent="0.35">
      <c r="A603" s="5">
        <v>70</v>
      </c>
      <c r="B603" s="2" t="s">
        <v>219</v>
      </c>
      <c r="C603" s="11" t="s">
        <v>95</v>
      </c>
      <c r="D603" s="9" t="str">
        <f>'B.kriteria &amp; R.kecocokan'!$B$23</f>
        <v>Banyak</v>
      </c>
      <c r="E603" s="111">
        <f>_xlfn.IFS(D603="Banyak",'B.kriteria &amp; R.kecocokan'!$C$23,D603="Cukup",'B.kriteria &amp; R.kecocokan'!$C$24,D603="Sedikit",'B.kriteria &amp; R.kecocokan'!$C$25)</f>
        <v>2.5</v>
      </c>
      <c r="F603" s="9" t="str">
        <f>'B.kriteria &amp; R.kecocokan'!$B$34</f>
        <v>Tinggi</v>
      </c>
      <c r="G603" s="8">
        <f>_xlfn.IFS(F603="Tinggi",'B.kriteria &amp; R.kecocokan'!$C$34,F603="Sangat Tinggi",'B.kriteria &amp; R.kecocokan'!$C$35)</f>
        <v>7.5</v>
      </c>
      <c r="H603" s="8" t="str">
        <f>'B.kriteria &amp; R.kecocokan'!$B$41</f>
        <v>Rendah</v>
      </c>
      <c r="I603" s="8">
        <f>_xlfn.IFS(H603="Rendah",'B.kriteria &amp; R.kecocokan'!$C$41,H603="Sedang",'B.kriteria &amp; R.kecocokan'!$C$42,H603="Tinggi",'B.kriteria &amp; R.kecocokan'!$C$43)</f>
        <v>2.5</v>
      </c>
      <c r="J603" s="8" t="str">
        <f>'B.kriteria &amp; R.kecocokan'!$B$72</f>
        <v>Rendah</v>
      </c>
      <c r="K603" s="8">
        <f>_xlfn.IFS(J603="Rendah",'B.kriteria &amp; R.kecocokan'!$C$72,J603="Sedang",'B.kriteria &amp; R.kecocokan'!$C$73,J603="Tinggi",'B.kriteria &amp; R.kecocokan'!$C$74)</f>
        <v>2.5</v>
      </c>
      <c r="L603" s="8" t="str">
        <f>'B.kriteria &amp; R.kecocokan'!$B$95</f>
        <v>Rendah</v>
      </c>
      <c r="M603" s="8">
        <f>_xlfn.IFS(L603="Rendah",'B.kriteria &amp; R.kecocokan'!$C$95,L603="Tinggi",'B.kriteria &amp; R.kecocokan'!$C$96)</f>
        <v>2.5</v>
      </c>
      <c r="N603" s="8" t="str">
        <f>'B.kriteria &amp; R.kecocokan'!$B$80</f>
        <v>Rendah</v>
      </c>
      <c r="O603" s="8">
        <f>_xlfn.IFS(N603="Rendah",'B.kriteria &amp; R.kecocokan'!$C$80,N603="Tinggi",'B.kriteria &amp; R.kecocokan'!$C$81)</f>
        <v>2.5</v>
      </c>
      <c r="P603" s="9" t="str">
        <f>'B.kriteria &amp; R.kecocokan'!$B$88</f>
        <v>Sedang</v>
      </c>
      <c r="Q603" s="8">
        <f>_xlfn.IFS(P603="Sedikit",'B.kriteria &amp; R.kecocokan'!$C$89,P603="Sedang",'B.kriteria &amp; R.kecocokan'!$C$88,P603="Sangat Sedikit",'B.kriteria &amp; R.kecocokan'!$C$90)</f>
        <v>5</v>
      </c>
      <c r="R603" s="8" t="str">
        <f>'B.kriteria &amp; R.kecocokan'!$B$49</f>
        <v>Rendah</v>
      </c>
      <c r="S603" s="8">
        <f>_xlfn.IFS(R603="Rendah",'B.kriteria &amp; R.kecocokan'!$C$49,R603="Sedang",'B.kriteria &amp; R.kecocokan'!$C$50,R603="Tinggi",'B.kriteria &amp; R.kecocokan'!$C$51)</f>
        <v>2.5</v>
      </c>
      <c r="T603" s="8" t="str">
        <f>'B.kriteria &amp; R.kecocokan'!$B$57</f>
        <v>Rendah</v>
      </c>
      <c r="U603" s="51">
        <f>_xlfn.IFS(T603="Rendah",'B.kriteria &amp; R.kecocokan'!$C$57,T603="Sedang",'B.kriteria &amp; R.kecocokan'!$C$58,T603="Tinggi",'B.kriteria &amp; R.kecocokan'!$C$59)</f>
        <v>2.5</v>
      </c>
      <c r="V603" s="51" t="str">
        <f>'B.kriteria &amp; R.kecocokan'!$B$65</f>
        <v>Rendah</v>
      </c>
      <c r="W603" s="9">
        <f>_xlfn.IFS(V603="Rendah",'B.kriteria &amp; R.kecocokan'!$C$65,V603="Sedang",'B.kriteria &amp; R.kecocokan'!$C$66,V603="Tinggi",'B.kriteria &amp; R.kecocokan'!$C$67)</f>
        <v>1</v>
      </c>
      <c r="X603" s="117">
        <f t="shared" si="58"/>
        <v>7.2623712388640893</v>
      </c>
      <c r="Y603" s="117">
        <f t="shared" si="59"/>
        <v>2.9914340517468223</v>
      </c>
      <c r="Z603" s="119">
        <f t="shared" si="60"/>
        <v>2.9914340517468223</v>
      </c>
      <c r="AA603" s="55" t="str">
        <f t="shared" si="61"/>
        <v>Tidak Layak</v>
      </c>
    </row>
    <row r="604" spans="1:27" x14ac:dyDescent="0.35">
      <c r="A604" s="1">
        <v>71</v>
      </c>
      <c r="B604" s="2" t="s">
        <v>241</v>
      </c>
      <c r="C604" s="11" t="s">
        <v>95</v>
      </c>
      <c r="D604" s="9" t="str">
        <f>'B.kriteria &amp; R.kecocokan'!$B$23</f>
        <v>Banyak</v>
      </c>
      <c r="E604" s="111">
        <f>_xlfn.IFS(D604="Banyak",'B.kriteria &amp; R.kecocokan'!$C$23,D604="Cukup",'B.kriteria &amp; R.kecocokan'!$C$24,D604="Sedikit",'B.kriteria &amp; R.kecocokan'!$C$25)</f>
        <v>2.5</v>
      </c>
      <c r="F604" s="9" t="str">
        <f>'B.kriteria &amp; R.kecocokan'!$B$34</f>
        <v>Tinggi</v>
      </c>
      <c r="G604" s="8">
        <f>_xlfn.IFS(F604="Tinggi",'B.kriteria &amp; R.kecocokan'!$C$34,F604="Sangat Tinggi",'B.kriteria &amp; R.kecocokan'!$C$35)</f>
        <v>7.5</v>
      </c>
      <c r="H604" s="8" t="str">
        <f>'B.kriteria &amp; R.kecocokan'!$B$41</f>
        <v>Rendah</v>
      </c>
      <c r="I604" s="8">
        <f>_xlfn.IFS(H604="Rendah",'B.kriteria &amp; R.kecocokan'!$C$41,H604="Sedang",'B.kriteria &amp; R.kecocokan'!$C$42,H604="Tinggi",'B.kriteria &amp; R.kecocokan'!$C$43)</f>
        <v>2.5</v>
      </c>
      <c r="J604" s="8" t="str">
        <f>'B.kriteria &amp; R.kecocokan'!$B$72</f>
        <v>Rendah</v>
      </c>
      <c r="K604" s="8">
        <f>_xlfn.IFS(J604="Rendah",'B.kriteria &amp; R.kecocokan'!$C$72,J604="Sedang",'B.kriteria &amp; R.kecocokan'!$C$73,J604="Tinggi",'B.kriteria &amp; R.kecocokan'!$C$74)</f>
        <v>2.5</v>
      </c>
      <c r="L604" s="8" t="str">
        <f>'B.kriteria &amp; R.kecocokan'!$B$95</f>
        <v>Rendah</v>
      </c>
      <c r="M604" s="8">
        <f>_xlfn.IFS(L604="Rendah",'B.kriteria &amp; R.kecocokan'!$C$95,L604="Tinggi",'B.kriteria &amp; R.kecocokan'!$C$96)</f>
        <v>2.5</v>
      </c>
      <c r="N604" s="8" t="str">
        <f>'B.kriteria &amp; R.kecocokan'!$B$80</f>
        <v>Rendah</v>
      </c>
      <c r="O604" s="8">
        <f>_xlfn.IFS(N604="Rendah",'B.kriteria &amp; R.kecocokan'!$C$80,N604="Tinggi",'B.kriteria &amp; R.kecocokan'!$C$81)</f>
        <v>2.5</v>
      </c>
      <c r="P604" s="9" t="str">
        <f>'B.kriteria &amp; R.kecocokan'!$B$88</f>
        <v>Sedang</v>
      </c>
      <c r="Q604" s="8">
        <f>_xlfn.IFS(P604="Sedikit",'B.kriteria &amp; R.kecocokan'!$C$89,P604="Sedang",'B.kriteria &amp; R.kecocokan'!$C$88,P604="Sangat Sedikit",'B.kriteria &amp; R.kecocokan'!$C$90)</f>
        <v>5</v>
      </c>
      <c r="R604" s="8" t="str">
        <f>'B.kriteria &amp; R.kecocokan'!$B$49</f>
        <v>Rendah</v>
      </c>
      <c r="S604" s="8">
        <f>_xlfn.IFS(R604="Rendah",'B.kriteria &amp; R.kecocokan'!$C$49,R604="Sedang",'B.kriteria &amp; R.kecocokan'!$C$50,R604="Tinggi",'B.kriteria &amp; R.kecocokan'!$C$51)</f>
        <v>2.5</v>
      </c>
      <c r="T604" s="8" t="str">
        <f>'B.kriteria &amp; R.kecocokan'!$B$57</f>
        <v>Rendah</v>
      </c>
      <c r="U604" s="51">
        <f>_xlfn.IFS(T604="Rendah",'B.kriteria &amp; R.kecocokan'!$C$57,T604="Sedang",'B.kriteria &amp; R.kecocokan'!$C$58,T604="Tinggi",'B.kriteria &amp; R.kecocokan'!$C$59)</f>
        <v>2.5</v>
      </c>
      <c r="V604" s="51" t="str">
        <f>'B.kriteria &amp; R.kecocokan'!$B$65</f>
        <v>Rendah</v>
      </c>
      <c r="W604" s="9">
        <f>_xlfn.IFS(V604="Rendah",'B.kriteria &amp; R.kecocokan'!$C$65,V604="Sedang",'B.kriteria &amp; R.kecocokan'!$C$66,V604="Tinggi",'B.kriteria &amp; R.kecocokan'!$C$67)</f>
        <v>1</v>
      </c>
      <c r="X604" s="117">
        <f t="shared" si="58"/>
        <v>7.2623712388640893</v>
      </c>
      <c r="Y604" s="117">
        <f t="shared" si="59"/>
        <v>2.9914340517468223</v>
      </c>
      <c r="Z604" s="119">
        <f t="shared" si="60"/>
        <v>2.9914340517468223</v>
      </c>
      <c r="AA604" s="55" t="str">
        <f t="shared" si="61"/>
        <v>Tidak Layak</v>
      </c>
    </row>
    <row r="605" spans="1:27" x14ac:dyDescent="0.35">
      <c r="A605" s="5">
        <v>72</v>
      </c>
      <c r="B605" s="2" t="s">
        <v>225</v>
      </c>
      <c r="C605" s="11" t="s">
        <v>95</v>
      </c>
      <c r="D605" s="9" t="str">
        <f>'B.kriteria &amp; R.kecocokan'!$B$23</f>
        <v>Banyak</v>
      </c>
      <c r="E605" s="111">
        <f>_xlfn.IFS(D605="Banyak",'B.kriteria &amp; R.kecocokan'!$C$23,D605="Cukup",'B.kriteria &amp; R.kecocokan'!$C$24,D605="Sedikit",'B.kriteria &amp; R.kecocokan'!$C$25)</f>
        <v>2.5</v>
      </c>
      <c r="F605" s="9" t="str">
        <f>'B.kriteria &amp; R.kecocokan'!$B$34</f>
        <v>Tinggi</v>
      </c>
      <c r="G605" s="8">
        <f>_xlfn.IFS(F605="Tinggi",'B.kriteria &amp; R.kecocokan'!$C$34,F605="Sangat Tinggi",'B.kriteria &amp; R.kecocokan'!$C$35)</f>
        <v>7.5</v>
      </c>
      <c r="H605" s="8" t="str">
        <f>'B.kriteria &amp; R.kecocokan'!$B$41</f>
        <v>Rendah</v>
      </c>
      <c r="I605" s="8">
        <f>_xlfn.IFS(H605="Rendah",'B.kriteria &amp; R.kecocokan'!$C$41,H605="Sedang",'B.kriteria &amp; R.kecocokan'!$C$42,H605="Tinggi",'B.kriteria &amp; R.kecocokan'!$C$43)</f>
        <v>2.5</v>
      </c>
      <c r="J605" s="8" t="str">
        <f>'B.kriteria &amp; R.kecocokan'!$B$72</f>
        <v>Rendah</v>
      </c>
      <c r="K605" s="8">
        <f>_xlfn.IFS(J605="Rendah",'B.kriteria &amp; R.kecocokan'!$C$72,J605="Sedang",'B.kriteria &amp; R.kecocokan'!$C$73,J605="Tinggi",'B.kriteria &amp; R.kecocokan'!$C$74)</f>
        <v>2.5</v>
      </c>
      <c r="L605" s="8" t="str">
        <f>'B.kriteria &amp; R.kecocokan'!$B$95</f>
        <v>Rendah</v>
      </c>
      <c r="M605" s="8">
        <f>_xlfn.IFS(L605="Rendah",'B.kriteria &amp; R.kecocokan'!$C$95,L605="Tinggi",'B.kriteria &amp; R.kecocokan'!$C$96)</f>
        <v>2.5</v>
      </c>
      <c r="N605" s="9" t="str">
        <f>'B.kriteria &amp; R.kecocokan'!$B$81</f>
        <v>Tinggi</v>
      </c>
      <c r="O605" s="8">
        <f>_xlfn.IFS(N605="Rendah",'B.kriteria &amp; R.kecocokan'!$C$80,N605="Tinggi",'B.kriteria &amp; R.kecocokan'!$C$81)</f>
        <v>7.5</v>
      </c>
      <c r="P605" s="9" t="str">
        <f>'B.kriteria &amp; R.kecocokan'!$B$90</f>
        <v>Sangat Sedikit</v>
      </c>
      <c r="Q605" s="8">
        <f>_xlfn.IFS(P605="Sedikit",'B.kriteria &amp; R.kecocokan'!$C$89,P605="Sedang",'B.kriteria &amp; R.kecocokan'!$C$88,P605="Sangat Sedikit",'B.kriteria &amp; R.kecocokan'!$C$90)</f>
        <v>1</v>
      </c>
      <c r="R605" s="8" t="str">
        <f>'B.kriteria &amp; R.kecocokan'!$B$49</f>
        <v>Rendah</v>
      </c>
      <c r="S605" s="8">
        <f>_xlfn.IFS(R605="Rendah",'B.kriteria &amp; R.kecocokan'!$C$49,R605="Sedang",'B.kriteria &amp; R.kecocokan'!$C$50,R605="Tinggi",'B.kriteria &amp; R.kecocokan'!$C$51)</f>
        <v>2.5</v>
      </c>
      <c r="T605" s="8" t="str">
        <f>'B.kriteria &amp; R.kecocokan'!$B$57</f>
        <v>Rendah</v>
      </c>
      <c r="U605" s="51">
        <f>_xlfn.IFS(T605="Rendah",'B.kriteria &amp; R.kecocokan'!$C$57,T605="Sedang",'B.kriteria &amp; R.kecocokan'!$C$58,T605="Tinggi",'B.kriteria &amp; R.kecocokan'!$C$59)</f>
        <v>2.5</v>
      </c>
      <c r="V605" s="51" t="str">
        <f>'B.kriteria &amp; R.kecocokan'!$B$65</f>
        <v>Rendah</v>
      </c>
      <c r="W605" s="9">
        <f>_xlfn.IFS(V605="Rendah",'B.kriteria &amp; R.kecocokan'!$C$65,V605="Sedang",'B.kriteria &amp; R.kecocokan'!$C$66,V605="Tinggi",'B.kriteria &amp; R.kecocokan'!$C$67)</f>
        <v>1</v>
      </c>
      <c r="X605" s="117">
        <f t="shared" si="58"/>
        <v>3.8872171361671977</v>
      </c>
      <c r="Y605" s="117">
        <f t="shared" si="59"/>
        <v>6.089002415274865</v>
      </c>
      <c r="Z605" s="119">
        <f t="shared" si="60"/>
        <v>3.8872171361671977</v>
      </c>
      <c r="AA605" s="55" t="str">
        <f t="shared" si="61"/>
        <v>Layak</v>
      </c>
    </row>
    <row r="606" spans="1:27" x14ac:dyDescent="0.35">
      <c r="A606" s="5">
        <v>73</v>
      </c>
      <c r="B606" s="2" t="s">
        <v>227</v>
      </c>
      <c r="C606" s="11" t="s">
        <v>95</v>
      </c>
      <c r="D606" s="9" t="str">
        <f>'B.kriteria &amp; R.kecocokan'!$B$23</f>
        <v>Banyak</v>
      </c>
      <c r="E606" s="111">
        <f>_xlfn.IFS(D606="Banyak",'B.kriteria &amp; R.kecocokan'!$C$23,D606="Cukup",'B.kriteria &amp; R.kecocokan'!$C$24,D606="Sedikit",'B.kriteria &amp; R.kecocokan'!$C$25)</f>
        <v>2.5</v>
      </c>
      <c r="F606" s="9" t="str">
        <f>'B.kriteria &amp; R.kecocokan'!$B$35</f>
        <v>Sangat Tinggi</v>
      </c>
      <c r="G606" s="8">
        <f>_xlfn.IFS(F606="Tinggi",'B.kriteria &amp; R.kecocokan'!$C$34,F606="Sangat Tinggi",'B.kriteria &amp; R.kecocokan'!$C$35)</f>
        <v>10</v>
      </c>
      <c r="H606" s="8" t="str">
        <f>'B.kriteria &amp; R.kecocokan'!$B$41</f>
        <v>Rendah</v>
      </c>
      <c r="I606" s="8">
        <f>_xlfn.IFS(H606="Rendah",'B.kriteria &amp; R.kecocokan'!$C$41,H606="Sedang",'B.kriteria &amp; R.kecocokan'!$C$42,H606="Tinggi",'B.kriteria &amp; R.kecocokan'!$C$43)</f>
        <v>2.5</v>
      </c>
      <c r="J606" s="8" t="str">
        <f>'B.kriteria &amp; R.kecocokan'!$B$72</f>
        <v>Rendah</v>
      </c>
      <c r="K606" s="8">
        <f>_xlfn.IFS(J606="Rendah",'B.kriteria &amp; R.kecocokan'!$C$72,J606="Sedang",'B.kriteria &amp; R.kecocokan'!$C$73,J606="Tinggi",'B.kriteria &amp; R.kecocokan'!$C$74)</f>
        <v>2.5</v>
      </c>
      <c r="L606" s="8" t="str">
        <f>'B.kriteria &amp; R.kecocokan'!$B$95</f>
        <v>Rendah</v>
      </c>
      <c r="M606" s="8">
        <f>_xlfn.IFS(L606="Rendah",'B.kriteria &amp; R.kecocokan'!$C$95,L606="Tinggi",'B.kriteria &amp; R.kecocokan'!$C$96)</f>
        <v>2.5</v>
      </c>
      <c r="N606" s="8" t="str">
        <f>'B.kriteria &amp; R.kecocokan'!$B$80</f>
        <v>Rendah</v>
      </c>
      <c r="O606" s="8">
        <f>_xlfn.IFS(N606="Rendah",'B.kriteria &amp; R.kecocokan'!$C$80,N606="Tinggi",'B.kriteria &amp; R.kecocokan'!$C$81)</f>
        <v>2.5</v>
      </c>
      <c r="P606" s="9" t="str">
        <f>'B.kriteria &amp; R.kecocokan'!$B$90</f>
        <v>Sangat Sedikit</v>
      </c>
      <c r="Q606" s="8">
        <f>_xlfn.IFS(P606="Sedikit",'B.kriteria &amp; R.kecocokan'!$C$89,P606="Sedang",'B.kriteria &amp; R.kecocokan'!$C$88,P606="Sangat Sedikit",'B.kriteria &amp; R.kecocokan'!$C$90)</f>
        <v>1</v>
      </c>
      <c r="R606" s="9" t="str">
        <f>'B.kriteria &amp; R.kecocokan'!$B$51</f>
        <v>Tinggi</v>
      </c>
      <c r="S606" s="8">
        <f>_xlfn.IFS(R606="Rendah",'B.kriteria &amp; R.kecocokan'!$C$49,R606="Sedang",'B.kriteria &amp; R.kecocokan'!$C$50,R606="Tinggi",'B.kriteria &amp; R.kecocokan'!$C$51)</f>
        <v>7.5</v>
      </c>
      <c r="T606" s="8" t="str">
        <f>'B.kriteria &amp; R.kecocokan'!$B$57</f>
        <v>Rendah</v>
      </c>
      <c r="U606" s="51">
        <f>_xlfn.IFS(T606="Rendah",'B.kriteria &amp; R.kecocokan'!$C$57,T606="Sedang",'B.kriteria &amp; R.kecocokan'!$C$58,T606="Tinggi",'B.kriteria &amp; R.kecocokan'!$C$59)</f>
        <v>2.5</v>
      </c>
      <c r="V606" s="51" t="str">
        <f>'B.kriteria &amp; R.kecocokan'!$B$65</f>
        <v>Rendah</v>
      </c>
      <c r="W606" s="9">
        <f>_xlfn.IFS(V606="Rendah",'B.kriteria &amp; R.kecocokan'!$C$65,V606="Sedang",'B.kriteria &amp; R.kecocokan'!$C$66,V606="Tinggi",'B.kriteria &amp; R.kecocokan'!$C$67)</f>
        <v>1</v>
      </c>
      <c r="X606" s="117">
        <f t="shared" si="58"/>
        <v>7.9043581723213618</v>
      </c>
      <c r="Y606" s="117">
        <f t="shared" si="59"/>
        <v>6.2091241846572744</v>
      </c>
      <c r="Z606" s="119">
        <f t="shared" si="60"/>
        <v>6.2091241846572744</v>
      </c>
      <c r="AA606" s="55" t="str">
        <f t="shared" si="61"/>
        <v>Tidak Layak</v>
      </c>
    </row>
    <row r="607" spans="1:27" x14ac:dyDescent="0.35">
      <c r="A607" s="1">
        <v>74</v>
      </c>
      <c r="B607" s="2" t="s">
        <v>245</v>
      </c>
      <c r="C607" s="11" t="s">
        <v>95</v>
      </c>
      <c r="D607" s="32" t="str">
        <f>'B.kriteria &amp; R.kecocokan'!$B$24</f>
        <v>Cukup</v>
      </c>
      <c r="E607" s="111">
        <f>_xlfn.IFS(D607="Banyak",'B.kriteria &amp; R.kecocokan'!$C$23,D607="Cukup",'B.kriteria &amp; R.kecocokan'!$C$24,D607="Sedikit",'B.kriteria &amp; R.kecocokan'!$C$25)</f>
        <v>5</v>
      </c>
      <c r="F607" s="9" t="str">
        <f>'B.kriteria &amp; R.kecocokan'!$B$34</f>
        <v>Tinggi</v>
      </c>
      <c r="G607" s="8">
        <f>_xlfn.IFS(F607="Tinggi",'B.kriteria &amp; R.kecocokan'!$C$34,F607="Sangat Tinggi",'B.kriteria &amp; R.kecocokan'!$C$35)</f>
        <v>7.5</v>
      </c>
      <c r="H607" s="8" t="str">
        <f>'B.kriteria &amp; R.kecocokan'!$B$41</f>
        <v>Rendah</v>
      </c>
      <c r="I607" s="8">
        <f>_xlfn.IFS(H607="Rendah",'B.kriteria &amp; R.kecocokan'!$C$41,H607="Sedang",'B.kriteria &amp; R.kecocokan'!$C$42,H607="Tinggi",'B.kriteria &amp; R.kecocokan'!$C$43)</f>
        <v>2.5</v>
      </c>
      <c r="J607" s="8" t="str">
        <f>'B.kriteria &amp; R.kecocokan'!$B$72</f>
        <v>Rendah</v>
      </c>
      <c r="K607" s="8">
        <f>_xlfn.IFS(J607="Rendah",'B.kriteria &amp; R.kecocokan'!$C$72,J607="Sedang",'B.kriteria &amp; R.kecocokan'!$C$73,J607="Tinggi",'B.kriteria &amp; R.kecocokan'!$C$74)</f>
        <v>2.5</v>
      </c>
      <c r="L607" s="8" t="str">
        <f>'B.kriteria &amp; R.kecocokan'!$B$95</f>
        <v>Rendah</v>
      </c>
      <c r="M607" s="8">
        <f>_xlfn.IFS(L607="Rendah",'B.kriteria &amp; R.kecocokan'!$C$95,L607="Tinggi",'B.kriteria &amp; R.kecocokan'!$C$96)</f>
        <v>2.5</v>
      </c>
      <c r="N607" s="8" t="str">
        <f>'B.kriteria &amp; R.kecocokan'!$B$80</f>
        <v>Rendah</v>
      </c>
      <c r="O607" s="8">
        <f>_xlfn.IFS(N607="Rendah",'B.kriteria &amp; R.kecocokan'!$C$80,N607="Tinggi",'B.kriteria &amp; R.kecocokan'!$C$81)</f>
        <v>2.5</v>
      </c>
      <c r="P607" s="8" t="str">
        <f>'B.kriteria &amp; R.kecocokan'!$B$89</f>
        <v>Sedikit</v>
      </c>
      <c r="Q607" s="8">
        <f>_xlfn.IFS(P607="Sedikit",'B.kriteria &amp; R.kecocokan'!$C$89,P607="Sedang",'B.kriteria &amp; R.kecocokan'!$C$88,P607="Sangat Sedikit",'B.kriteria &amp; R.kecocokan'!$C$90)</f>
        <v>2.5</v>
      </c>
      <c r="R607" s="8" t="str">
        <f>'B.kriteria &amp; R.kecocokan'!$B$49</f>
        <v>Rendah</v>
      </c>
      <c r="S607" s="8">
        <f>_xlfn.IFS(R607="Rendah",'B.kriteria &amp; R.kecocokan'!$C$49,R607="Sedang",'B.kriteria &amp; R.kecocokan'!$C$50,R607="Tinggi",'B.kriteria &amp; R.kecocokan'!$C$51)</f>
        <v>2.5</v>
      </c>
      <c r="T607" s="8" t="str">
        <f>'B.kriteria &amp; R.kecocokan'!$B$57</f>
        <v>Rendah</v>
      </c>
      <c r="U607" s="51">
        <f>_xlfn.IFS(T607="Rendah",'B.kriteria &amp; R.kecocokan'!$C$57,T607="Sedang",'B.kriteria &amp; R.kecocokan'!$C$58,T607="Tinggi",'B.kriteria &amp; R.kecocokan'!$C$59)</f>
        <v>2.5</v>
      </c>
      <c r="V607" s="51" t="str">
        <f>'B.kriteria &amp; R.kecocokan'!$B$65</f>
        <v>Rendah</v>
      </c>
      <c r="W607" s="9">
        <f>_xlfn.IFS(V607="Rendah",'B.kriteria &amp; R.kecocokan'!$C$65,V607="Sedang",'B.kriteria &amp; R.kecocokan'!$C$66,V607="Tinggi",'B.kriteria &amp; R.kecocokan'!$C$67)</f>
        <v>1</v>
      </c>
      <c r="X607" s="117">
        <f t="shared" si="58"/>
        <v>5.4088070686443581</v>
      </c>
      <c r="Y607" s="117">
        <f t="shared" si="59"/>
        <v>1.428141021348909</v>
      </c>
      <c r="Z607" s="119">
        <f t="shared" si="60"/>
        <v>1.428141021348909</v>
      </c>
      <c r="AA607" s="55" t="str">
        <f t="shared" si="61"/>
        <v>Tidak Layak</v>
      </c>
    </row>
    <row r="608" spans="1:27" x14ac:dyDescent="0.35">
      <c r="A608" s="5">
        <v>75</v>
      </c>
      <c r="B608" s="2" t="s">
        <v>155</v>
      </c>
      <c r="C608" s="11" t="s">
        <v>95</v>
      </c>
      <c r="D608" s="32" t="str">
        <f>'B.kriteria &amp; R.kecocokan'!$B$24</f>
        <v>Cukup</v>
      </c>
      <c r="E608" s="111">
        <f>_xlfn.IFS(D608="Banyak",'B.kriteria &amp; R.kecocokan'!$C$23,D608="Cukup",'B.kriteria &amp; R.kecocokan'!$C$24,D608="Sedikit",'B.kriteria &amp; R.kecocokan'!$C$25)</f>
        <v>5</v>
      </c>
      <c r="F608" s="9" t="str">
        <f>'B.kriteria &amp; R.kecocokan'!$B$34</f>
        <v>Tinggi</v>
      </c>
      <c r="G608" s="8">
        <f>_xlfn.IFS(F608="Tinggi",'B.kriteria &amp; R.kecocokan'!$C$34,F608="Sangat Tinggi",'B.kriteria &amp; R.kecocokan'!$C$35)</f>
        <v>7.5</v>
      </c>
      <c r="H608" s="9" t="str">
        <f>'B.kriteria &amp; R.kecocokan'!$B$43</f>
        <v>Tinggi</v>
      </c>
      <c r="I608" s="8">
        <f>_xlfn.IFS(H608="Rendah",'B.kriteria &amp; R.kecocokan'!$C$41,H608="Sedang",'B.kriteria &amp; R.kecocokan'!$C$42,H608="Tinggi",'B.kriteria &amp; R.kecocokan'!$C$43)</f>
        <v>7.5</v>
      </c>
      <c r="J608" s="8" t="str">
        <f>'B.kriteria &amp; R.kecocokan'!$B$72</f>
        <v>Rendah</v>
      </c>
      <c r="K608" s="8">
        <f>_xlfn.IFS(J608="Rendah",'B.kriteria &amp; R.kecocokan'!$C$72,J608="Sedang",'B.kriteria &amp; R.kecocokan'!$C$73,J608="Tinggi",'B.kriteria &amp; R.kecocokan'!$C$74)</f>
        <v>2.5</v>
      </c>
      <c r="L608" s="8" t="str">
        <f>'B.kriteria &amp; R.kecocokan'!$B$95</f>
        <v>Rendah</v>
      </c>
      <c r="M608" s="8">
        <f>_xlfn.IFS(L608="Rendah",'B.kriteria &amp; R.kecocokan'!$C$95,L608="Tinggi",'B.kriteria &amp; R.kecocokan'!$C$96)</f>
        <v>2.5</v>
      </c>
      <c r="N608" s="8" t="str">
        <f>'B.kriteria &amp; R.kecocokan'!$B$80</f>
        <v>Rendah</v>
      </c>
      <c r="O608" s="8">
        <f>_xlfn.IFS(N608="Rendah",'B.kriteria &amp; R.kecocokan'!$C$80,N608="Tinggi",'B.kriteria &amp; R.kecocokan'!$C$81)</f>
        <v>2.5</v>
      </c>
      <c r="P608" s="9" t="str">
        <f>'B.kriteria &amp; R.kecocokan'!$B$88</f>
        <v>Sedang</v>
      </c>
      <c r="Q608" s="8">
        <f>_xlfn.IFS(P608="Sedikit",'B.kriteria &amp; R.kecocokan'!$C$89,P608="Sedang",'B.kriteria &amp; R.kecocokan'!$C$88,P608="Sangat Sedikit",'B.kriteria &amp; R.kecocokan'!$C$90)</f>
        <v>5</v>
      </c>
      <c r="R608" s="8" t="str">
        <f>'B.kriteria &amp; R.kecocokan'!$B$49</f>
        <v>Rendah</v>
      </c>
      <c r="S608" s="8">
        <f>_xlfn.IFS(R608="Rendah",'B.kriteria &amp; R.kecocokan'!$C$49,R608="Sedang",'B.kriteria &amp; R.kecocokan'!$C$50,R608="Tinggi",'B.kriteria &amp; R.kecocokan'!$C$51)</f>
        <v>2.5</v>
      </c>
      <c r="T608" s="8" t="str">
        <f>'B.kriteria &amp; R.kecocokan'!$B$57</f>
        <v>Rendah</v>
      </c>
      <c r="U608" s="51">
        <f>_xlfn.IFS(T608="Rendah",'B.kriteria &amp; R.kecocokan'!$C$57,T608="Sedang",'B.kriteria &amp; R.kecocokan'!$C$58,T608="Tinggi",'B.kriteria &amp; R.kecocokan'!$C$59)</f>
        <v>2.5</v>
      </c>
      <c r="V608" s="51" t="str">
        <f>'B.kriteria &amp; R.kecocokan'!$B$65</f>
        <v>Rendah</v>
      </c>
      <c r="W608" s="9">
        <f>_xlfn.IFS(V608="Rendah",'B.kriteria &amp; R.kecocokan'!$C$65,V608="Sedang",'B.kriteria &amp; R.kecocokan'!$C$66,V608="Tinggi",'B.kriteria &amp; R.kecocokan'!$C$67)</f>
        <v>1</v>
      </c>
      <c r="X608" s="117">
        <f t="shared" si="58"/>
        <v>7.9541405444305555</v>
      </c>
      <c r="Y608" s="117">
        <f t="shared" si="59"/>
        <v>4.5445817343839101</v>
      </c>
      <c r="Z608" s="119">
        <f t="shared" si="60"/>
        <v>4.5445817343839101</v>
      </c>
      <c r="AA608" s="55" t="str">
        <f t="shared" si="61"/>
        <v>Tidak Layak</v>
      </c>
    </row>
    <row r="609" spans="1:27" x14ac:dyDescent="0.35">
      <c r="A609" s="5">
        <v>76</v>
      </c>
      <c r="B609" s="2" t="s">
        <v>152</v>
      </c>
      <c r="C609" s="11" t="s">
        <v>95</v>
      </c>
      <c r="D609" s="9" t="str">
        <f>'B.kriteria &amp; R.kecocokan'!$B$23</f>
        <v>Banyak</v>
      </c>
      <c r="E609" s="111">
        <f>_xlfn.IFS(D609="Banyak",'B.kriteria &amp; R.kecocokan'!$C$23,D609="Cukup",'B.kriteria &amp; R.kecocokan'!$C$24,D609="Sedikit",'B.kriteria &amp; R.kecocokan'!$C$25)</f>
        <v>2.5</v>
      </c>
      <c r="F609" s="9" t="str">
        <f>'B.kriteria &amp; R.kecocokan'!$B$34</f>
        <v>Tinggi</v>
      </c>
      <c r="G609" s="8">
        <f>_xlfn.IFS(F609="Tinggi",'B.kriteria &amp; R.kecocokan'!$C$34,F609="Sangat Tinggi",'B.kriteria &amp; R.kecocokan'!$C$35)</f>
        <v>7.5</v>
      </c>
      <c r="H609" s="8" t="str">
        <f>'B.kriteria &amp; R.kecocokan'!$B$41</f>
        <v>Rendah</v>
      </c>
      <c r="I609" s="8">
        <f>_xlfn.IFS(H609="Rendah",'B.kriteria &amp; R.kecocokan'!$C$41,H609="Sedang",'B.kriteria &amp; R.kecocokan'!$C$42,H609="Tinggi",'B.kriteria &amp; R.kecocokan'!$C$43)</f>
        <v>2.5</v>
      </c>
      <c r="J609" s="8" t="str">
        <f>'B.kriteria &amp; R.kecocokan'!$B$72</f>
        <v>Rendah</v>
      </c>
      <c r="K609" s="8">
        <f>_xlfn.IFS(J609="Rendah",'B.kriteria &amp; R.kecocokan'!$C$72,J609="Sedang",'B.kriteria &amp; R.kecocokan'!$C$73,J609="Tinggi",'B.kriteria &amp; R.kecocokan'!$C$74)</f>
        <v>2.5</v>
      </c>
      <c r="L609" s="8" t="str">
        <f>'B.kriteria &amp; R.kecocokan'!$B$95</f>
        <v>Rendah</v>
      </c>
      <c r="M609" s="8">
        <f>_xlfn.IFS(L609="Rendah",'B.kriteria &amp; R.kecocokan'!$C$95,L609="Tinggi",'B.kriteria &amp; R.kecocokan'!$C$96)</f>
        <v>2.5</v>
      </c>
      <c r="N609" s="9" t="str">
        <f>'B.kriteria &amp; R.kecocokan'!$B$81</f>
        <v>Tinggi</v>
      </c>
      <c r="O609" s="8">
        <f>_xlfn.IFS(N609="Rendah",'B.kriteria &amp; R.kecocokan'!$C$80,N609="Tinggi",'B.kriteria &amp; R.kecocokan'!$C$81)</f>
        <v>7.5</v>
      </c>
      <c r="P609" s="9" t="str">
        <f>'B.kriteria &amp; R.kecocokan'!$B$88</f>
        <v>Sedang</v>
      </c>
      <c r="Q609" s="8">
        <f>_xlfn.IFS(P609="Sedikit",'B.kriteria &amp; R.kecocokan'!$C$89,P609="Sedang",'B.kriteria &amp; R.kecocokan'!$C$88,P609="Sangat Sedikit",'B.kriteria &amp; R.kecocokan'!$C$90)</f>
        <v>5</v>
      </c>
      <c r="R609" s="8" t="str">
        <f>'B.kriteria &amp; R.kecocokan'!$B$49</f>
        <v>Rendah</v>
      </c>
      <c r="S609" s="8">
        <f>_xlfn.IFS(R609="Rendah",'B.kriteria &amp; R.kecocokan'!$C$49,R609="Sedang",'B.kriteria &amp; R.kecocokan'!$C$50,R609="Tinggi",'B.kriteria &amp; R.kecocokan'!$C$51)</f>
        <v>2.5</v>
      </c>
      <c r="T609" s="8" t="str">
        <f>'B.kriteria &amp; R.kecocokan'!$B$57</f>
        <v>Rendah</v>
      </c>
      <c r="U609" s="51">
        <f>_xlfn.IFS(T609="Rendah",'B.kriteria &amp; R.kecocokan'!$C$57,T609="Sedang",'B.kriteria &amp; R.kecocokan'!$C$58,T609="Tinggi",'B.kriteria &amp; R.kecocokan'!$C$59)</f>
        <v>2.5</v>
      </c>
      <c r="V609" s="51" t="str">
        <f>'B.kriteria &amp; R.kecocokan'!$B$65</f>
        <v>Rendah</v>
      </c>
      <c r="W609" s="9">
        <f>_xlfn.IFS(V609="Rendah",'B.kriteria &amp; R.kecocokan'!$C$65,V609="Sedang",'B.kriteria &amp; R.kecocokan'!$C$66,V609="Tinggi",'B.kriteria &amp; R.kecocokan'!$C$67)</f>
        <v>1</v>
      </c>
      <c r="X609" s="117">
        <f t="shared" si="58"/>
        <v>5.2670709138078191</v>
      </c>
      <c r="Y609" s="117">
        <f t="shared" si="59"/>
        <v>5.8265493807184372</v>
      </c>
      <c r="Z609" s="119">
        <f t="shared" si="60"/>
        <v>5.2670709138078191</v>
      </c>
      <c r="AA609" s="55" t="str">
        <f t="shared" si="61"/>
        <v>Layak</v>
      </c>
    </row>
    <row r="610" spans="1:27" x14ac:dyDescent="0.35">
      <c r="A610" s="1">
        <v>77</v>
      </c>
      <c r="B610" s="2" t="s">
        <v>157</v>
      </c>
      <c r="C610" s="11" t="s">
        <v>95</v>
      </c>
      <c r="D610" s="32" t="str">
        <f>'B.kriteria &amp; R.kecocokan'!$B$24</f>
        <v>Cukup</v>
      </c>
      <c r="E610" s="111">
        <f>_xlfn.IFS(D610="Banyak",'B.kriteria &amp; R.kecocokan'!$C$23,D610="Cukup",'B.kriteria &amp; R.kecocokan'!$C$24,D610="Sedikit",'B.kriteria &amp; R.kecocokan'!$C$25)</f>
        <v>5</v>
      </c>
      <c r="F610" s="9" t="str">
        <f>'B.kriteria &amp; R.kecocokan'!$B$34</f>
        <v>Tinggi</v>
      </c>
      <c r="G610" s="8">
        <f>_xlfn.IFS(F610="Tinggi",'B.kriteria &amp; R.kecocokan'!$C$34,F610="Sangat Tinggi",'B.kriteria &amp; R.kecocokan'!$C$35)</f>
        <v>7.5</v>
      </c>
      <c r="H610" s="8" t="str">
        <f>'B.kriteria &amp; R.kecocokan'!$B$41</f>
        <v>Rendah</v>
      </c>
      <c r="I610" s="8">
        <f>_xlfn.IFS(H610="Rendah",'B.kriteria &amp; R.kecocokan'!$C$41,H610="Sedang",'B.kriteria &amp; R.kecocokan'!$C$42,H610="Tinggi",'B.kriteria &amp; R.kecocokan'!$C$43)</f>
        <v>2.5</v>
      </c>
      <c r="J610" s="8" t="str">
        <f>'B.kriteria &amp; R.kecocokan'!$B$72</f>
        <v>Rendah</v>
      </c>
      <c r="K610" s="8">
        <f>_xlfn.IFS(J610="Rendah",'B.kriteria &amp; R.kecocokan'!$C$72,J610="Sedang",'B.kriteria &amp; R.kecocokan'!$C$73,J610="Tinggi",'B.kriteria &amp; R.kecocokan'!$C$74)</f>
        <v>2.5</v>
      </c>
      <c r="L610" s="8" t="str">
        <f>'B.kriteria &amp; R.kecocokan'!$B$95</f>
        <v>Rendah</v>
      </c>
      <c r="M610" s="8">
        <f>_xlfn.IFS(L610="Rendah",'B.kriteria &amp; R.kecocokan'!$C$95,L610="Tinggi",'B.kriteria &amp; R.kecocokan'!$C$96)</f>
        <v>2.5</v>
      </c>
      <c r="N610" s="9" t="str">
        <f>'B.kriteria &amp; R.kecocokan'!$B$81</f>
        <v>Tinggi</v>
      </c>
      <c r="O610" s="8">
        <f>_xlfn.IFS(N610="Rendah",'B.kriteria &amp; R.kecocokan'!$C$80,N610="Tinggi",'B.kriteria &amp; R.kecocokan'!$C$81)</f>
        <v>7.5</v>
      </c>
      <c r="P610" s="9" t="str">
        <f>'B.kriteria &amp; R.kecocokan'!$B$90</f>
        <v>Sangat Sedikit</v>
      </c>
      <c r="Q610" s="8">
        <f>_xlfn.IFS(P610="Sedikit",'B.kriteria &amp; R.kecocokan'!$C$89,P610="Sedang",'B.kriteria &amp; R.kecocokan'!$C$88,P610="Sangat Sedikit",'B.kriteria &amp; R.kecocokan'!$C$90)</f>
        <v>1</v>
      </c>
      <c r="R610" s="8" t="str">
        <f>'B.kriteria &amp; R.kecocokan'!$B$49</f>
        <v>Rendah</v>
      </c>
      <c r="S610" s="8">
        <f>_xlfn.IFS(R610="Rendah",'B.kriteria &amp; R.kecocokan'!$C$49,R610="Sedang",'B.kriteria &amp; R.kecocokan'!$C$50,R610="Tinggi",'B.kriteria &amp; R.kecocokan'!$C$51)</f>
        <v>2.5</v>
      </c>
      <c r="T610" s="8" t="str">
        <f>'B.kriteria &amp; R.kecocokan'!$B$57</f>
        <v>Rendah</v>
      </c>
      <c r="U610" s="51">
        <f>_xlfn.IFS(T610="Rendah",'B.kriteria &amp; R.kecocokan'!$C$57,T610="Sedang",'B.kriteria &amp; R.kecocokan'!$C$58,T610="Tinggi",'B.kriteria &amp; R.kecocokan'!$C$59)</f>
        <v>2.5</v>
      </c>
      <c r="V610" s="51" t="str">
        <f>'B.kriteria &amp; R.kecocokan'!$B$65</f>
        <v>Rendah</v>
      </c>
      <c r="W610" s="9">
        <f>_xlfn.IFS(V610="Rendah",'B.kriteria &amp; R.kecocokan'!$C$65,V610="Sedang",'B.kriteria &amp; R.kecocokan'!$C$66,V610="Tinggi",'B.kriteria &amp; R.kecocokan'!$C$67)</f>
        <v>1</v>
      </c>
      <c r="X610" s="117">
        <f t="shared" si="58"/>
        <v>1.8078583463739675</v>
      </c>
      <c r="Y610" s="117">
        <f t="shared" si="59"/>
        <v>5.6535222693102378</v>
      </c>
      <c r="Z610" s="119">
        <f t="shared" si="60"/>
        <v>1.8078583463739675</v>
      </c>
      <c r="AA610" s="55" t="str">
        <f t="shared" si="61"/>
        <v>Layak</v>
      </c>
    </row>
    <row r="611" spans="1:27" x14ac:dyDescent="0.35">
      <c r="A611" s="5">
        <v>78</v>
      </c>
      <c r="B611" s="2" t="s">
        <v>146</v>
      </c>
      <c r="C611" s="11" t="s">
        <v>235</v>
      </c>
      <c r="D611" s="32" t="str">
        <f>'B.kriteria &amp; R.kecocokan'!$B$24</f>
        <v>Cukup</v>
      </c>
      <c r="E611" s="111">
        <f>_xlfn.IFS(D611="Banyak",'B.kriteria &amp; R.kecocokan'!$C$23,D611="Cukup",'B.kriteria &amp; R.kecocokan'!$C$24,D611="Sedikit",'B.kriteria &amp; R.kecocokan'!$C$25)</f>
        <v>5</v>
      </c>
      <c r="F611" s="9" t="str">
        <f>'B.kriteria &amp; R.kecocokan'!$B$34</f>
        <v>Tinggi</v>
      </c>
      <c r="G611" s="8">
        <f>_xlfn.IFS(F611="Tinggi",'B.kriteria &amp; R.kecocokan'!$C$34,F611="Sangat Tinggi",'B.kriteria &amp; R.kecocokan'!$C$35)</f>
        <v>7.5</v>
      </c>
      <c r="H611" s="9" t="str">
        <f>'B.kriteria &amp; R.kecocokan'!$B$43</f>
        <v>Tinggi</v>
      </c>
      <c r="I611" s="8">
        <f>_xlfn.IFS(H611="Rendah",'B.kriteria &amp; R.kecocokan'!$C$41,H611="Sedang",'B.kriteria &amp; R.kecocokan'!$C$42,H611="Tinggi",'B.kriteria &amp; R.kecocokan'!$C$43)</f>
        <v>7.5</v>
      </c>
      <c r="J611" s="8" t="str">
        <f>'B.kriteria &amp; R.kecocokan'!$B$72</f>
        <v>Rendah</v>
      </c>
      <c r="K611" s="8">
        <f>_xlfn.IFS(J611="Rendah",'B.kriteria &amp; R.kecocokan'!$C$72,J611="Sedang",'B.kriteria &amp; R.kecocokan'!$C$73,J611="Tinggi",'B.kriteria &amp; R.kecocokan'!$C$74)</f>
        <v>2.5</v>
      </c>
      <c r="L611" s="8" t="str">
        <f>'B.kriteria &amp; R.kecocokan'!$B$95</f>
        <v>Rendah</v>
      </c>
      <c r="M611" s="8">
        <f>_xlfn.IFS(L611="Rendah",'B.kriteria &amp; R.kecocokan'!$C$95,L611="Tinggi",'B.kriteria &amp; R.kecocokan'!$C$96)</f>
        <v>2.5</v>
      </c>
      <c r="N611" s="8" t="str">
        <f>'B.kriteria &amp; R.kecocokan'!$B$80</f>
        <v>Rendah</v>
      </c>
      <c r="O611" s="8">
        <f>_xlfn.IFS(N611="Rendah",'B.kriteria &amp; R.kecocokan'!$C$80,N611="Tinggi",'B.kriteria &amp; R.kecocokan'!$C$81)</f>
        <v>2.5</v>
      </c>
      <c r="P611" s="9" t="str">
        <f>'B.kriteria &amp; R.kecocokan'!$B$90</f>
        <v>Sangat Sedikit</v>
      </c>
      <c r="Q611" s="8">
        <f>_xlfn.IFS(P611="Sedikit",'B.kriteria &amp; R.kecocokan'!$C$89,P611="Sedang",'B.kriteria &amp; R.kecocokan'!$C$88,P611="Sangat Sedikit",'B.kriteria &amp; R.kecocokan'!$C$90)</f>
        <v>1</v>
      </c>
      <c r="R611" s="8" t="str">
        <f>'B.kriteria &amp; R.kecocokan'!$B$49</f>
        <v>Rendah</v>
      </c>
      <c r="S611" s="8">
        <f>_xlfn.IFS(R611="Rendah",'B.kriteria &amp; R.kecocokan'!$C$49,R611="Sedang",'B.kriteria &amp; R.kecocokan'!$C$50,R611="Tinggi",'B.kriteria &amp; R.kecocokan'!$C$51)</f>
        <v>2.5</v>
      </c>
      <c r="T611" s="8" t="str">
        <f>'B.kriteria &amp; R.kecocokan'!$B$57</f>
        <v>Rendah</v>
      </c>
      <c r="U611" s="51">
        <f>_xlfn.IFS(T611="Rendah",'B.kriteria &amp; R.kecocokan'!$C$57,T611="Sedang",'B.kriteria &amp; R.kecocokan'!$C$58,T611="Tinggi",'B.kriteria &amp; R.kecocokan'!$C$59)</f>
        <v>2.5</v>
      </c>
      <c r="V611" s="51" t="str">
        <f>'B.kriteria &amp; R.kecocokan'!$B$65</f>
        <v>Rendah</v>
      </c>
      <c r="W611" s="9">
        <f>_xlfn.IFS(V611="Rendah",'B.kriteria &amp; R.kecocokan'!$C$65,V611="Sedang",'B.kriteria &amp; R.kecocokan'!$C$66,V611="Tinggi",'B.kriteria &amp; R.kecocokan'!$C$67)</f>
        <v>1</v>
      </c>
      <c r="X611" s="117">
        <f t="shared" si="58"/>
        <v>7.1159519990782396</v>
      </c>
      <c r="Y611" s="117">
        <f t="shared" si="59"/>
        <v>4.8765249786880611</v>
      </c>
      <c r="Z611" s="119">
        <f t="shared" si="60"/>
        <v>4.8765249786880611</v>
      </c>
      <c r="AA611" s="55" t="str">
        <f t="shared" si="61"/>
        <v>Tidak Layak</v>
      </c>
    </row>
    <row r="612" spans="1:27" x14ac:dyDescent="0.35">
      <c r="A612" s="5">
        <v>79</v>
      </c>
      <c r="B612" s="2" t="s">
        <v>173</v>
      </c>
      <c r="C612" s="11" t="s">
        <v>95</v>
      </c>
      <c r="D612" s="28" t="str">
        <f>'B.kriteria &amp; R.kecocokan'!$B$25</f>
        <v>Sedikit</v>
      </c>
      <c r="E612" s="111">
        <f>_xlfn.IFS(D612="Banyak",'B.kriteria &amp; R.kecocokan'!$C$23,D612="Cukup",'B.kriteria &amp; R.kecocokan'!$C$24,D612="Sedikit",'B.kriteria &amp; R.kecocokan'!$C$25)</f>
        <v>7.5</v>
      </c>
      <c r="F612" s="9" t="str">
        <f>'B.kriteria &amp; R.kecocokan'!$B$34</f>
        <v>Tinggi</v>
      </c>
      <c r="G612" s="8">
        <f>_xlfn.IFS(F612="Tinggi",'B.kriteria &amp; R.kecocokan'!$C$34,F612="Sangat Tinggi",'B.kriteria &amp; R.kecocokan'!$C$35)</f>
        <v>7.5</v>
      </c>
      <c r="H612" s="8" t="str">
        <f>'B.kriteria &amp; R.kecocokan'!$B$41</f>
        <v>Rendah</v>
      </c>
      <c r="I612" s="8">
        <f>_xlfn.IFS(H612="Rendah",'B.kriteria &amp; R.kecocokan'!$C$41,H612="Sedang",'B.kriteria &amp; R.kecocokan'!$C$42,H612="Tinggi",'B.kriteria &amp; R.kecocokan'!$C$43)</f>
        <v>2.5</v>
      </c>
      <c r="J612" s="8" t="str">
        <f>'B.kriteria &amp; R.kecocokan'!$B$72</f>
        <v>Rendah</v>
      </c>
      <c r="K612" s="8">
        <f>_xlfn.IFS(J612="Rendah",'B.kriteria &amp; R.kecocokan'!$C$72,J612="Sedang",'B.kriteria &amp; R.kecocokan'!$C$73,J612="Tinggi",'B.kriteria &amp; R.kecocokan'!$C$74)</f>
        <v>2.5</v>
      </c>
      <c r="L612" s="8" t="str">
        <f>'B.kriteria &amp; R.kecocokan'!$B$95</f>
        <v>Rendah</v>
      </c>
      <c r="M612" s="8">
        <f>_xlfn.IFS(L612="Rendah",'B.kriteria &amp; R.kecocokan'!$C$95,L612="Tinggi",'B.kriteria &amp; R.kecocokan'!$C$96)</f>
        <v>2.5</v>
      </c>
      <c r="N612" s="9" t="str">
        <f>'B.kriteria &amp; R.kecocokan'!$B$81</f>
        <v>Tinggi</v>
      </c>
      <c r="O612" s="8">
        <f>_xlfn.IFS(N612="Rendah",'B.kriteria &amp; R.kecocokan'!$C$80,N612="Tinggi",'B.kriteria &amp; R.kecocokan'!$C$81)</f>
        <v>7.5</v>
      </c>
      <c r="P612" s="9" t="str">
        <f>'B.kriteria &amp; R.kecocokan'!$B$90</f>
        <v>Sangat Sedikit</v>
      </c>
      <c r="Q612" s="8">
        <f>_xlfn.IFS(P612="Sedikit",'B.kriteria &amp; R.kecocokan'!$C$89,P612="Sedang",'B.kriteria &amp; R.kecocokan'!$C$88,P612="Sangat Sedikit",'B.kriteria &amp; R.kecocokan'!$C$90)</f>
        <v>1</v>
      </c>
      <c r="R612" s="8" t="str">
        <f>'B.kriteria &amp; R.kecocokan'!$B$49</f>
        <v>Rendah</v>
      </c>
      <c r="S612" s="8">
        <f>_xlfn.IFS(R612="Rendah",'B.kriteria &amp; R.kecocokan'!$C$49,R612="Sedang",'B.kriteria &amp; R.kecocokan'!$C$50,R612="Tinggi",'B.kriteria &amp; R.kecocokan'!$C$51)</f>
        <v>2.5</v>
      </c>
      <c r="T612" s="9" t="str">
        <f>'B.kriteria &amp; R.kecocokan'!$B$58</f>
        <v>Sedang</v>
      </c>
      <c r="U612" s="51">
        <f>_xlfn.IFS(T612="Rendah",'B.kriteria &amp; R.kecocokan'!$C$57,T612="Sedang",'B.kriteria &amp; R.kecocokan'!$C$58,T612="Tinggi",'B.kriteria &amp; R.kecocokan'!$C$59)</f>
        <v>5</v>
      </c>
      <c r="V612" s="51" t="str">
        <f>'B.kriteria &amp; R.kecocokan'!$B$65</f>
        <v>Rendah</v>
      </c>
      <c r="W612" s="9">
        <f>_xlfn.IFS(V612="Rendah",'B.kriteria &amp; R.kecocokan'!$C$65,V612="Sedang",'B.kriteria &amp; R.kecocokan'!$C$66,V612="Tinggi",'B.kriteria &amp; R.kecocokan'!$C$67)</f>
        <v>1</v>
      </c>
      <c r="X612" s="117">
        <f t="shared" si="58"/>
        <v>2.2165488135069982</v>
      </c>
      <c r="Y612" s="117">
        <f t="shared" si="59"/>
        <v>6.5649583156293092</v>
      </c>
      <c r="Z612" s="119">
        <f t="shared" si="60"/>
        <v>2.2165488135069982</v>
      </c>
      <c r="AA612" s="55" t="str">
        <f t="shared" si="61"/>
        <v>Layak</v>
      </c>
    </row>
    <row r="613" spans="1:27" x14ac:dyDescent="0.35">
      <c r="A613" s="1">
        <v>80</v>
      </c>
      <c r="B613" s="2" t="s">
        <v>150</v>
      </c>
      <c r="C613" s="11" t="s">
        <v>95</v>
      </c>
      <c r="D613" s="28" t="str">
        <f>'B.kriteria &amp; R.kecocokan'!$B$25</f>
        <v>Sedikit</v>
      </c>
      <c r="E613" s="111">
        <f>_xlfn.IFS(D613="Banyak",'B.kriteria &amp; R.kecocokan'!$C$23,D613="Cukup",'B.kriteria &amp; R.kecocokan'!$C$24,D613="Sedikit",'B.kriteria &amp; R.kecocokan'!$C$25)</f>
        <v>7.5</v>
      </c>
      <c r="F613" s="9" t="str">
        <f>'B.kriteria &amp; R.kecocokan'!$B$34</f>
        <v>Tinggi</v>
      </c>
      <c r="G613" s="8">
        <f>_xlfn.IFS(F613="Tinggi",'B.kriteria &amp; R.kecocokan'!$C$34,F613="Sangat Tinggi",'B.kriteria &amp; R.kecocokan'!$C$35)</f>
        <v>7.5</v>
      </c>
      <c r="H613" s="9" t="str">
        <f>'B.kriteria &amp; R.kecocokan'!$B$43</f>
        <v>Tinggi</v>
      </c>
      <c r="I613" s="8">
        <f>_xlfn.IFS(H613="Rendah",'B.kriteria &amp; R.kecocokan'!$C$41,H613="Sedang",'B.kriteria &amp; R.kecocokan'!$C$42,H613="Tinggi",'B.kriteria &amp; R.kecocokan'!$C$43)</f>
        <v>7.5</v>
      </c>
      <c r="J613" s="8" t="str">
        <f>'B.kriteria &amp; R.kecocokan'!$B$72</f>
        <v>Rendah</v>
      </c>
      <c r="K613" s="8">
        <f>_xlfn.IFS(J613="Rendah",'B.kriteria &amp; R.kecocokan'!$C$72,J613="Sedang",'B.kriteria &amp; R.kecocokan'!$C$73,J613="Tinggi",'B.kriteria &amp; R.kecocokan'!$C$74)</f>
        <v>2.5</v>
      </c>
      <c r="L613" s="9" t="str">
        <f>'B.kriteria &amp; R.kecocokan'!$B$96</f>
        <v>Tinggi</v>
      </c>
      <c r="M613" s="8">
        <f>_xlfn.IFS(L613="Rendah",'B.kriteria &amp; R.kecocokan'!$C$95,L613="Tinggi",'B.kriteria &amp; R.kecocokan'!$C$96)</f>
        <v>7.5</v>
      </c>
      <c r="N613" s="8" t="str">
        <f>'B.kriteria &amp; R.kecocokan'!$B$80</f>
        <v>Rendah</v>
      </c>
      <c r="O613" s="8">
        <f>_xlfn.IFS(N613="Rendah",'B.kriteria &amp; R.kecocokan'!$C$80,N613="Tinggi",'B.kriteria &amp; R.kecocokan'!$C$81)</f>
        <v>2.5</v>
      </c>
      <c r="P613" s="8" t="str">
        <f>'B.kriteria &amp; R.kecocokan'!$B$89</f>
        <v>Sedikit</v>
      </c>
      <c r="Q613" s="8">
        <f>_xlfn.IFS(P613="Sedikit",'B.kriteria &amp; R.kecocokan'!$C$89,P613="Sedang",'B.kriteria &amp; R.kecocokan'!$C$88,P613="Sangat Sedikit",'B.kriteria &amp; R.kecocokan'!$C$90)</f>
        <v>2.5</v>
      </c>
      <c r="R613" s="8" t="str">
        <f>'B.kriteria &amp; R.kecocokan'!$B$49</f>
        <v>Rendah</v>
      </c>
      <c r="S613" s="8">
        <f>_xlfn.IFS(R613="Rendah",'B.kriteria &amp; R.kecocokan'!$C$49,R613="Sedang",'B.kriteria &amp; R.kecocokan'!$C$50,R613="Tinggi",'B.kriteria &amp; R.kecocokan'!$C$51)</f>
        <v>2.5</v>
      </c>
      <c r="T613" s="8" t="str">
        <f>'B.kriteria &amp; R.kecocokan'!$B$57</f>
        <v>Rendah</v>
      </c>
      <c r="U613" s="51">
        <f>_xlfn.IFS(T613="Rendah",'B.kriteria &amp; R.kecocokan'!$C$57,T613="Sedang",'B.kriteria &amp; R.kecocokan'!$C$58,T613="Tinggi",'B.kriteria &amp; R.kecocokan'!$C$59)</f>
        <v>2.5</v>
      </c>
      <c r="V613" s="51" t="str">
        <f>'B.kriteria &amp; R.kecocokan'!$B$65</f>
        <v>Rendah</v>
      </c>
      <c r="W613" s="9">
        <f>_xlfn.IFS(V613="Rendah",'B.kriteria &amp; R.kecocokan'!$C$65,V613="Sedang",'B.kriteria &amp; R.kecocokan'!$C$66,V613="Tinggi",'B.kriteria &amp; R.kecocokan'!$C$67)</f>
        <v>1</v>
      </c>
      <c r="X613" s="117">
        <f t="shared" si="58"/>
        <v>8.7909902568078682</v>
      </c>
      <c r="Y613" s="117">
        <f t="shared" si="59"/>
        <v>7.0303591951779492</v>
      </c>
      <c r="Z613" s="119">
        <f t="shared" si="60"/>
        <v>7.0303591951779492</v>
      </c>
      <c r="AA613" s="55" t="str">
        <f t="shared" si="61"/>
        <v>Tidak Layak</v>
      </c>
    </row>
    <row r="614" spans="1:27" x14ac:dyDescent="0.35">
      <c r="A614" s="5">
        <v>81</v>
      </c>
      <c r="B614" s="2" t="s">
        <v>147</v>
      </c>
      <c r="C614" s="11" t="s">
        <v>95</v>
      </c>
      <c r="D614" s="28" t="str">
        <f>'B.kriteria &amp; R.kecocokan'!$B$25</f>
        <v>Sedikit</v>
      </c>
      <c r="E614" s="111">
        <f>_xlfn.IFS(D614="Banyak",'B.kriteria &amp; R.kecocokan'!$C$23,D614="Cukup",'B.kriteria &amp; R.kecocokan'!$C$24,D614="Sedikit",'B.kriteria &amp; R.kecocokan'!$C$25)</f>
        <v>7.5</v>
      </c>
      <c r="F614" s="9" t="str">
        <f>'B.kriteria &amp; R.kecocokan'!$B$34</f>
        <v>Tinggi</v>
      </c>
      <c r="G614" s="8">
        <f>_xlfn.IFS(F614="Tinggi",'B.kriteria &amp; R.kecocokan'!$C$34,F614="Sangat Tinggi",'B.kriteria &amp; R.kecocokan'!$C$35)</f>
        <v>7.5</v>
      </c>
      <c r="H614" s="8" t="str">
        <f>'B.kriteria &amp; R.kecocokan'!$B$41</f>
        <v>Rendah</v>
      </c>
      <c r="I614" s="8">
        <f>_xlfn.IFS(H614="Rendah",'B.kriteria &amp; R.kecocokan'!$C$41,H614="Sedang",'B.kriteria &amp; R.kecocokan'!$C$42,H614="Tinggi",'B.kriteria &amp; R.kecocokan'!$C$43)</f>
        <v>2.5</v>
      </c>
      <c r="J614" s="8" t="str">
        <f>'B.kriteria &amp; R.kecocokan'!$B$72</f>
        <v>Rendah</v>
      </c>
      <c r="K614" s="8">
        <f>_xlfn.IFS(J614="Rendah",'B.kriteria &amp; R.kecocokan'!$C$72,J614="Sedang",'B.kriteria &amp; R.kecocokan'!$C$73,J614="Tinggi",'B.kriteria &amp; R.kecocokan'!$C$74)</f>
        <v>2.5</v>
      </c>
      <c r="L614" s="8" t="str">
        <f>'B.kriteria &amp; R.kecocokan'!$B$95</f>
        <v>Rendah</v>
      </c>
      <c r="M614" s="8">
        <f>_xlfn.IFS(L614="Rendah",'B.kriteria &amp; R.kecocokan'!$C$95,L614="Tinggi",'B.kriteria &amp; R.kecocokan'!$C$96)</f>
        <v>2.5</v>
      </c>
      <c r="N614" s="9" t="str">
        <f>'B.kriteria &amp; R.kecocokan'!$B$81</f>
        <v>Tinggi</v>
      </c>
      <c r="O614" s="8">
        <f>_xlfn.IFS(N614="Rendah",'B.kriteria &amp; R.kecocokan'!$C$80,N614="Tinggi",'B.kriteria &amp; R.kecocokan'!$C$81)</f>
        <v>7.5</v>
      </c>
      <c r="P614" s="9" t="str">
        <f>'B.kriteria &amp; R.kecocokan'!$B$90</f>
        <v>Sangat Sedikit</v>
      </c>
      <c r="Q614" s="8">
        <f>_xlfn.IFS(P614="Sedikit",'B.kriteria &amp; R.kecocokan'!$C$89,P614="Sedang",'B.kriteria &amp; R.kecocokan'!$C$88,P614="Sangat Sedikit",'B.kriteria &amp; R.kecocokan'!$C$90)</f>
        <v>1</v>
      </c>
      <c r="R614" s="8" t="str">
        <f>'B.kriteria &amp; R.kecocokan'!$B$49</f>
        <v>Rendah</v>
      </c>
      <c r="S614" s="8">
        <f>_xlfn.IFS(R614="Rendah",'B.kriteria &amp; R.kecocokan'!$C$49,R614="Sedang",'B.kriteria &amp; R.kecocokan'!$C$50,R614="Tinggi",'B.kriteria &amp; R.kecocokan'!$C$51)</f>
        <v>2.5</v>
      </c>
      <c r="T614" s="8" t="str">
        <f>'B.kriteria &amp; R.kecocokan'!$B$57</f>
        <v>Rendah</v>
      </c>
      <c r="U614" s="51">
        <f>_xlfn.IFS(T614="Rendah",'B.kriteria &amp; R.kecocokan'!$C$57,T614="Sedang",'B.kriteria &amp; R.kecocokan'!$C$58,T614="Tinggi",'B.kriteria &amp; R.kecocokan'!$C$59)</f>
        <v>2.5</v>
      </c>
      <c r="V614" s="51" t="str">
        <f>'B.kriteria &amp; R.kecocokan'!$B$65</f>
        <v>Rendah</v>
      </c>
      <c r="W614" s="9">
        <f>_xlfn.IFS(V614="Rendah",'B.kriteria &amp; R.kecocokan'!$C$65,V614="Sedang",'B.kriteria &amp; R.kecocokan'!$C$66,V614="Tinggi",'B.kriteria &amp; R.kecocokan'!$C$67)</f>
        <v>1</v>
      </c>
      <c r="X614" s="117">
        <f t="shared" si="58"/>
        <v>1.9814758482999792</v>
      </c>
      <c r="Y614" s="117">
        <f t="shared" si="59"/>
        <v>6.2728524361689244</v>
      </c>
      <c r="Z614" s="119">
        <f t="shared" si="60"/>
        <v>1.9814758482999792</v>
      </c>
      <c r="AA614" s="55" t="str">
        <f t="shared" si="61"/>
        <v>Layak</v>
      </c>
    </row>
    <row r="615" spans="1:27" x14ac:dyDescent="0.35">
      <c r="A615" s="5">
        <v>82</v>
      </c>
      <c r="B615" s="2" t="s">
        <v>126</v>
      </c>
      <c r="C615" s="11" t="s">
        <v>95</v>
      </c>
      <c r="D615" s="28" t="str">
        <f>'B.kriteria &amp; R.kecocokan'!$B$25</f>
        <v>Sedikit</v>
      </c>
      <c r="E615" s="111">
        <f>_xlfn.IFS(D615="Banyak",'B.kriteria &amp; R.kecocokan'!$C$23,D615="Cukup",'B.kriteria &amp; R.kecocokan'!$C$24,D615="Sedikit",'B.kriteria &amp; R.kecocokan'!$C$25)</f>
        <v>7.5</v>
      </c>
      <c r="F615" s="9" t="str">
        <f>'B.kriteria &amp; R.kecocokan'!$B$34</f>
        <v>Tinggi</v>
      </c>
      <c r="G615" s="8">
        <f>_xlfn.IFS(F615="Tinggi",'B.kriteria &amp; R.kecocokan'!$C$34,F615="Sangat Tinggi",'B.kriteria &amp; R.kecocokan'!$C$35)</f>
        <v>7.5</v>
      </c>
      <c r="H615" s="8" t="str">
        <f>'B.kriteria &amp; R.kecocokan'!$B$41</f>
        <v>Rendah</v>
      </c>
      <c r="I615" s="8">
        <f>_xlfn.IFS(H615="Rendah",'B.kriteria &amp; R.kecocokan'!$C$41,H615="Sedang",'B.kriteria &amp; R.kecocokan'!$C$42,H615="Tinggi",'B.kriteria &amp; R.kecocokan'!$C$43)</f>
        <v>2.5</v>
      </c>
      <c r="J615" s="8" t="str">
        <f>'B.kriteria &amp; R.kecocokan'!$B$72</f>
        <v>Rendah</v>
      </c>
      <c r="K615" s="8">
        <f>_xlfn.IFS(J615="Rendah",'B.kriteria &amp; R.kecocokan'!$C$72,J615="Sedang",'B.kriteria &amp; R.kecocokan'!$C$73,J615="Tinggi",'B.kriteria &amp; R.kecocokan'!$C$74)</f>
        <v>2.5</v>
      </c>
      <c r="L615" s="8" t="str">
        <f>'B.kriteria &amp; R.kecocokan'!$B$95</f>
        <v>Rendah</v>
      </c>
      <c r="M615" s="8">
        <f>_xlfn.IFS(L615="Rendah",'B.kriteria &amp; R.kecocokan'!$C$95,L615="Tinggi",'B.kriteria &amp; R.kecocokan'!$C$96)</f>
        <v>2.5</v>
      </c>
      <c r="N615" s="8" t="str">
        <f>'B.kriteria &amp; R.kecocokan'!$B$80</f>
        <v>Rendah</v>
      </c>
      <c r="O615" s="8">
        <f>_xlfn.IFS(N615="Rendah",'B.kriteria &amp; R.kecocokan'!$C$80,N615="Tinggi",'B.kriteria &amp; R.kecocokan'!$C$81)</f>
        <v>2.5</v>
      </c>
      <c r="P615" s="9" t="str">
        <f>'B.kriteria &amp; R.kecocokan'!$B$88</f>
        <v>Sedang</v>
      </c>
      <c r="Q615" s="8">
        <f>_xlfn.IFS(P615="Sedikit",'B.kriteria &amp; R.kecocokan'!$C$89,P615="Sedang",'B.kriteria &amp; R.kecocokan'!$C$88,P615="Sangat Sedikit",'B.kriteria &amp; R.kecocokan'!$C$90)</f>
        <v>5</v>
      </c>
      <c r="R615" s="8" t="str">
        <f>'B.kriteria &amp; R.kecocokan'!$B$49</f>
        <v>Rendah</v>
      </c>
      <c r="S615" s="8">
        <f>_xlfn.IFS(R615="Rendah",'B.kriteria &amp; R.kecocokan'!$C$49,R615="Sedang",'B.kriteria &amp; R.kecocokan'!$C$50,R615="Tinggi",'B.kriteria &amp; R.kecocokan'!$C$51)</f>
        <v>2.5</v>
      </c>
      <c r="T615" s="8" t="str">
        <f>'B.kriteria &amp; R.kecocokan'!$B$57</f>
        <v>Rendah</v>
      </c>
      <c r="U615" s="51">
        <f>_xlfn.IFS(T615="Rendah",'B.kriteria &amp; R.kecocokan'!$C$57,T615="Sedang",'B.kriteria &amp; R.kecocokan'!$C$58,T615="Tinggi",'B.kriteria &amp; R.kecocokan'!$C$59)</f>
        <v>2.5</v>
      </c>
      <c r="V615" s="51" t="str">
        <f>'B.kriteria &amp; R.kecocokan'!$B$65</f>
        <v>Rendah</v>
      </c>
      <c r="W615" s="9">
        <f>_xlfn.IFS(V615="Rendah",'B.kriteria &amp; R.kecocokan'!$C$65,V615="Sedang",'B.kriteria &amp; R.kecocokan'!$C$66,V615="Tinggi",'B.kriteria &amp; R.kecocokan'!$C$67)</f>
        <v>1</v>
      </c>
      <c r="X615" s="117">
        <f t="shared" si="58"/>
        <v>6.446535929067994</v>
      </c>
      <c r="Y615" s="117">
        <f t="shared" si="59"/>
        <v>3.3498365570095636</v>
      </c>
      <c r="Z615" s="119">
        <f t="shared" si="60"/>
        <v>3.3498365570095636</v>
      </c>
      <c r="AA615" s="55" t="str">
        <f t="shared" si="61"/>
        <v>Tidak Layak</v>
      </c>
    </row>
    <row r="616" spans="1:27" x14ac:dyDescent="0.35">
      <c r="A616" s="1">
        <v>83</v>
      </c>
      <c r="B616" s="2" t="s">
        <v>178</v>
      </c>
      <c r="C616" s="11" t="s">
        <v>95</v>
      </c>
      <c r="D616" s="32" t="str">
        <f>'B.kriteria &amp; R.kecocokan'!$B$24</f>
        <v>Cukup</v>
      </c>
      <c r="E616" s="111">
        <f>_xlfn.IFS(D616="Banyak",'B.kriteria &amp; R.kecocokan'!$C$23,D616="Cukup",'B.kriteria &amp; R.kecocokan'!$C$24,D616="Sedikit",'B.kriteria &amp; R.kecocokan'!$C$25)</f>
        <v>5</v>
      </c>
      <c r="F616" s="9" t="str">
        <f>'B.kriteria &amp; R.kecocokan'!$B$34</f>
        <v>Tinggi</v>
      </c>
      <c r="G616" s="8">
        <f>_xlfn.IFS(F616="Tinggi",'B.kriteria &amp; R.kecocokan'!$C$34,F616="Sangat Tinggi",'B.kriteria &amp; R.kecocokan'!$C$35)</f>
        <v>7.5</v>
      </c>
      <c r="H616" s="8" t="str">
        <f>'B.kriteria &amp; R.kecocokan'!$B$41</f>
        <v>Rendah</v>
      </c>
      <c r="I616" s="8">
        <f>_xlfn.IFS(H616="Rendah",'B.kriteria &amp; R.kecocokan'!$C$41,H616="Sedang",'B.kriteria &amp; R.kecocokan'!$C$42,H616="Tinggi",'B.kriteria &amp; R.kecocokan'!$C$43)</f>
        <v>2.5</v>
      </c>
      <c r="J616" s="8" t="str">
        <f>'B.kriteria &amp; R.kecocokan'!$B$72</f>
        <v>Rendah</v>
      </c>
      <c r="K616" s="8">
        <f>_xlfn.IFS(J616="Rendah",'B.kriteria &amp; R.kecocokan'!$C$72,J616="Sedang",'B.kriteria &amp; R.kecocokan'!$C$73,J616="Tinggi",'B.kriteria &amp; R.kecocokan'!$C$74)</f>
        <v>2.5</v>
      </c>
      <c r="L616" s="8" t="str">
        <f>'B.kriteria &amp; R.kecocokan'!$B$95</f>
        <v>Rendah</v>
      </c>
      <c r="M616" s="8">
        <f>_xlfn.IFS(L616="Rendah",'B.kriteria &amp; R.kecocokan'!$C$95,L616="Tinggi",'B.kriteria &amp; R.kecocokan'!$C$96)</f>
        <v>2.5</v>
      </c>
      <c r="N616" s="8" t="str">
        <f>'B.kriteria &amp; R.kecocokan'!$B$80</f>
        <v>Rendah</v>
      </c>
      <c r="O616" s="8">
        <f>_xlfn.IFS(N616="Rendah",'B.kriteria &amp; R.kecocokan'!$C$80,N616="Tinggi",'B.kriteria &amp; R.kecocokan'!$C$81)</f>
        <v>2.5</v>
      </c>
      <c r="P616" s="8" t="str">
        <f>'B.kriteria &amp; R.kecocokan'!$B$89</f>
        <v>Sedikit</v>
      </c>
      <c r="Q616" s="8">
        <f>_xlfn.IFS(P616="Sedikit",'B.kriteria &amp; R.kecocokan'!$C$89,P616="Sedang",'B.kriteria &amp; R.kecocokan'!$C$88,P616="Sangat Sedikit",'B.kriteria &amp; R.kecocokan'!$C$90)</f>
        <v>2.5</v>
      </c>
      <c r="R616" s="8" t="str">
        <f>'B.kriteria &amp; R.kecocokan'!$B$49</f>
        <v>Rendah</v>
      </c>
      <c r="S616" s="8">
        <f>_xlfn.IFS(R616="Rendah",'B.kriteria &amp; R.kecocokan'!$C$49,R616="Sedang",'B.kriteria &amp; R.kecocokan'!$C$50,R616="Tinggi",'B.kriteria &amp; R.kecocokan'!$C$51)</f>
        <v>2.5</v>
      </c>
      <c r="T616" s="9" t="str">
        <f>'B.kriteria &amp; R.kecocokan'!$B$58</f>
        <v>Sedang</v>
      </c>
      <c r="U616" s="51">
        <f>_xlfn.IFS(T616="Rendah",'B.kriteria &amp; R.kecocokan'!$C$57,T616="Sedang",'B.kriteria &amp; R.kecocokan'!$C$58,T616="Tinggi",'B.kriteria &amp; R.kecocokan'!$C$59)</f>
        <v>5</v>
      </c>
      <c r="V616" s="51" t="str">
        <f>'B.kriteria &amp; R.kecocokan'!$B$65</f>
        <v>Rendah</v>
      </c>
      <c r="W616" s="9">
        <f>_xlfn.IFS(V616="Rendah",'B.kriteria &amp; R.kecocokan'!$C$65,V616="Sedang",'B.kriteria &amp; R.kecocokan'!$C$66,V616="Tinggi",'B.kriteria &amp; R.kecocokan'!$C$67)</f>
        <v>1</v>
      </c>
      <c r="X616" s="117">
        <f t="shared" si="58"/>
        <v>5.499275953348798</v>
      </c>
      <c r="Y616" s="117">
        <f t="shared" si="59"/>
        <v>2.4061560167328104</v>
      </c>
      <c r="Z616" s="119">
        <f t="shared" si="60"/>
        <v>2.4061560167328104</v>
      </c>
      <c r="AA616" s="55" t="str">
        <f t="shared" si="61"/>
        <v>Tidak Layak</v>
      </c>
    </row>
    <row r="617" spans="1:27" x14ac:dyDescent="0.35">
      <c r="A617" s="5">
        <v>84</v>
      </c>
      <c r="B617" s="2" t="s">
        <v>133</v>
      </c>
      <c r="C617" s="11" t="s">
        <v>95</v>
      </c>
      <c r="D617" s="32" t="str">
        <f>'B.kriteria &amp; R.kecocokan'!$B$24</f>
        <v>Cukup</v>
      </c>
      <c r="E617" s="111">
        <f>_xlfn.IFS(D617="Banyak",'B.kriteria &amp; R.kecocokan'!$C$23,D617="Cukup",'B.kriteria &amp; R.kecocokan'!$C$24,D617="Sedikit",'B.kriteria &amp; R.kecocokan'!$C$25)</f>
        <v>5</v>
      </c>
      <c r="F617" s="9" t="str">
        <f>'B.kriteria &amp; R.kecocokan'!$B$34</f>
        <v>Tinggi</v>
      </c>
      <c r="G617" s="8">
        <f>_xlfn.IFS(F617="Tinggi",'B.kriteria &amp; R.kecocokan'!$C$34,F617="Sangat Tinggi",'B.kriteria &amp; R.kecocokan'!$C$35)</f>
        <v>7.5</v>
      </c>
      <c r="H617" s="8" t="str">
        <f>'B.kriteria &amp; R.kecocokan'!$B$41</f>
        <v>Rendah</v>
      </c>
      <c r="I617" s="8">
        <f>_xlfn.IFS(H617="Rendah",'B.kriteria &amp; R.kecocokan'!$C$41,H617="Sedang",'B.kriteria &amp; R.kecocokan'!$C$42,H617="Tinggi",'B.kriteria &amp; R.kecocokan'!$C$43)</f>
        <v>2.5</v>
      </c>
      <c r="J617" s="8" t="str">
        <f>'B.kriteria &amp; R.kecocokan'!$B$72</f>
        <v>Rendah</v>
      </c>
      <c r="K617" s="8">
        <f>_xlfn.IFS(J617="Rendah",'B.kriteria &amp; R.kecocokan'!$C$72,J617="Sedang",'B.kriteria &amp; R.kecocokan'!$C$73,J617="Tinggi",'B.kriteria &amp; R.kecocokan'!$C$74)</f>
        <v>2.5</v>
      </c>
      <c r="L617" s="8" t="str">
        <f>'B.kriteria &amp; R.kecocokan'!$B$95</f>
        <v>Rendah</v>
      </c>
      <c r="M617" s="8">
        <f>_xlfn.IFS(L617="Rendah",'B.kriteria &amp; R.kecocokan'!$C$95,L617="Tinggi",'B.kriteria &amp; R.kecocokan'!$C$96)</f>
        <v>2.5</v>
      </c>
      <c r="N617" s="8" t="str">
        <f>'B.kriteria &amp; R.kecocokan'!$B$80</f>
        <v>Rendah</v>
      </c>
      <c r="O617" s="8">
        <f>_xlfn.IFS(N617="Rendah",'B.kriteria &amp; R.kecocokan'!$C$80,N617="Tinggi",'B.kriteria &amp; R.kecocokan'!$C$81)</f>
        <v>2.5</v>
      </c>
      <c r="P617" s="9" t="str">
        <f>'B.kriteria &amp; R.kecocokan'!$B$90</f>
        <v>Sangat Sedikit</v>
      </c>
      <c r="Q617" s="8">
        <f>_xlfn.IFS(P617="Sedikit",'B.kriteria &amp; R.kecocokan'!$C$89,P617="Sedang",'B.kriteria &amp; R.kecocokan'!$C$88,P617="Sangat Sedikit",'B.kriteria &amp; R.kecocokan'!$C$90)</f>
        <v>1</v>
      </c>
      <c r="R617" s="8" t="str">
        <f>'B.kriteria &amp; R.kecocokan'!$B$49</f>
        <v>Rendah</v>
      </c>
      <c r="S617" s="8">
        <f>_xlfn.IFS(R617="Rendah",'B.kriteria &amp; R.kecocokan'!$C$49,R617="Sedang",'B.kriteria &amp; R.kecocokan'!$C$50,R617="Tinggi",'B.kriteria &amp; R.kecocokan'!$C$51)</f>
        <v>2.5</v>
      </c>
      <c r="T617" s="8" t="str">
        <f>'B.kriteria &amp; R.kecocokan'!$B$57</f>
        <v>Rendah</v>
      </c>
      <c r="U617" s="51">
        <f>_xlfn.IFS(T617="Rendah",'B.kriteria &amp; R.kecocokan'!$C$57,T617="Sedang",'B.kriteria &amp; R.kecocokan'!$C$58,T617="Tinggi",'B.kriteria &amp; R.kecocokan'!$C$59)</f>
        <v>2.5</v>
      </c>
      <c r="V617" s="51" t="str">
        <f>'B.kriteria &amp; R.kecocokan'!$B$65</f>
        <v>Rendah</v>
      </c>
      <c r="W617" s="9">
        <f>_xlfn.IFS(V617="Rendah",'B.kriteria &amp; R.kecocokan'!$C$65,V617="Sedang",'B.kriteria &amp; R.kecocokan'!$C$66,V617="Tinggi",'B.kriteria &amp; R.kecocokan'!$C$67)</f>
        <v>1</v>
      </c>
      <c r="X617" s="117">
        <f t="shared" si="58"/>
        <v>5.3167990182584495</v>
      </c>
      <c r="Y617" s="117">
        <f t="shared" si="59"/>
        <v>2.6386197243230747</v>
      </c>
      <c r="Z617" s="119">
        <f t="shared" si="60"/>
        <v>2.6386197243230747</v>
      </c>
      <c r="AA617" s="55" t="str">
        <f t="shared" si="61"/>
        <v>Tidak Layak</v>
      </c>
    </row>
    <row r="618" spans="1:27" x14ac:dyDescent="0.35">
      <c r="A618" s="5">
        <v>85</v>
      </c>
      <c r="B618" s="2" t="s">
        <v>159</v>
      </c>
      <c r="C618" s="11" t="s">
        <v>95</v>
      </c>
      <c r="D618" s="9" t="str">
        <f>'B.kriteria &amp; R.kecocokan'!$B$23</f>
        <v>Banyak</v>
      </c>
      <c r="E618" s="111">
        <f>_xlfn.IFS(D618="Banyak",'B.kriteria &amp; R.kecocokan'!$C$23,D618="Cukup",'B.kriteria &amp; R.kecocokan'!$C$24,D618="Sedikit",'B.kriteria &amp; R.kecocokan'!$C$25)</f>
        <v>2.5</v>
      </c>
      <c r="F618" s="9" t="str">
        <f>'B.kriteria &amp; R.kecocokan'!$B$34</f>
        <v>Tinggi</v>
      </c>
      <c r="G618" s="8">
        <f>_xlfn.IFS(F618="Tinggi",'B.kriteria &amp; R.kecocokan'!$C$34,F618="Sangat Tinggi",'B.kriteria &amp; R.kecocokan'!$C$35)</f>
        <v>7.5</v>
      </c>
      <c r="H618" s="8" t="str">
        <f>'B.kriteria &amp; R.kecocokan'!$B$41</f>
        <v>Rendah</v>
      </c>
      <c r="I618" s="8">
        <f>_xlfn.IFS(H618="Rendah",'B.kriteria &amp; R.kecocokan'!$C$41,H618="Sedang",'B.kriteria &amp; R.kecocokan'!$C$42,H618="Tinggi",'B.kriteria &amp; R.kecocokan'!$C$43)</f>
        <v>2.5</v>
      </c>
      <c r="J618" s="8" t="str">
        <f>'B.kriteria &amp; R.kecocokan'!$B$72</f>
        <v>Rendah</v>
      </c>
      <c r="K618" s="8">
        <f>_xlfn.IFS(J618="Rendah",'B.kriteria &amp; R.kecocokan'!$C$72,J618="Sedang",'B.kriteria &amp; R.kecocokan'!$C$73,J618="Tinggi",'B.kriteria &amp; R.kecocokan'!$C$74)</f>
        <v>2.5</v>
      </c>
      <c r="L618" s="9" t="str">
        <f>'B.kriteria &amp; R.kecocokan'!$B$96</f>
        <v>Tinggi</v>
      </c>
      <c r="M618" s="8">
        <f>_xlfn.IFS(L618="Rendah",'B.kriteria &amp; R.kecocokan'!$C$95,L618="Tinggi",'B.kriteria &amp; R.kecocokan'!$C$96)</f>
        <v>7.5</v>
      </c>
      <c r="N618" s="8" t="str">
        <f>'B.kriteria &amp; R.kecocokan'!$B$80</f>
        <v>Rendah</v>
      </c>
      <c r="O618" s="8">
        <f>_xlfn.IFS(N618="Rendah",'B.kriteria &amp; R.kecocokan'!$C$80,N618="Tinggi",'B.kriteria &amp; R.kecocokan'!$C$81)</f>
        <v>2.5</v>
      </c>
      <c r="P618" s="9" t="str">
        <f>'B.kriteria &amp; R.kecocokan'!$B$90</f>
        <v>Sangat Sedikit</v>
      </c>
      <c r="Q618" s="8">
        <f>_xlfn.IFS(P618="Sedikit",'B.kriteria &amp; R.kecocokan'!$C$89,P618="Sedang",'B.kriteria &amp; R.kecocokan'!$C$88,P618="Sangat Sedikit",'B.kriteria &amp; R.kecocokan'!$C$90)</f>
        <v>1</v>
      </c>
      <c r="R618" s="8" t="str">
        <f>'B.kriteria &amp; R.kecocokan'!$B$49</f>
        <v>Rendah</v>
      </c>
      <c r="S618" s="8">
        <f>_xlfn.IFS(R618="Rendah",'B.kriteria &amp; R.kecocokan'!$C$49,R618="Sedang",'B.kriteria &amp; R.kecocokan'!$C$50,R618="Tinggi",'B.kriteria &amp; R.kecocokan'!$C$51)</f>
        <v>2.5</v>
      </c>
      <c r="T618" s="8" t="str">
        <f>'B.kriteria &amp; R.kecocokan'!$B$57</f>
        <v>Rendah</v>
      </c>
      <c r="U618" s="51">
        <f>_xlfn.IFS(T618="Rendah",'B.kriteria &amp; R.kecocokan'!$C$57,T618="Sedang",'B.kriteria &amp; R.kecocokan'!$C$58,T618="Tinggi",'B.kriteria &amp; R.kecocokan'!$C$59)</f>
        <v>2.5</v>
      </c>
      <c r="V618" s="51" t="str">
        <f>'B.kriteria &amp; R.kecocokan'!$B$65</f>
        <v>Rendah</v>
      </c>
      <c r="W618" s="9">
        <f>_xlfn.IFS(V618="Rendah",'B.kriteria &amp; R.kecocokan'!$C$65,V618="Sedang",'B.kriteria &amp; R.kecocokan'!$C$66,V618="Tinggi",'B.kriteria &amp; R.kecocokan'!$C$67)</f>
        <v>1</v>
      </c>
      <c r="X618" s="117">
        <f t="shared" si="58"/>
        <v>8.069105096831489</v>
      </c>
      <c r="Y618" s="117">
        <f t="shared" si="59"/>
        <v>5.9378252412007981</v>
      </c>
      <c r="Z618" s="119">
        <f t="shared" si="60"/>
        <v>5.9378252412007981</v>
      </c>
      <c r="AA618" s="55" t="str">
        <f t="shared" si="61"/>
        <v>Tidak Layak</v>
      </c>
    </row>
    <row r="619" spans="1:27" x14ac:dyDescent="0.35">
      <c r="A619" s="1">
        <v>86</v>
      </c>
      <c r="B619" s="2" t="s">
        <v>165</v>
      </c>
      <c r="C619" s="11" t="s">
        <v>95</v>
      </c>
      <c r="D619" s="28" t="str">
        <f>'B.kriteria &amp; R.kecocokan'!$B$25</f>
        <v>Sedikit</v>
      </c>
      <c r="E619" s="111">
        <f>_xlfn.IFS(D619="Banyak",'B.kriteria &amp; R.kecocokan'!$C$23,D619="Cukup",'B.kriteria &amp; R.kecocokan'!$C$24,D619="Sedikit",'B.kriteria &amp; R.kecocokan'!$C$25)</f>
        <v>7.5</v>
      </c>
      <c r="F619" s="9" t="str">
        <f>'B.kriteria &amp; R.kecocokan'!$B$34</f>
        <v>Tinggi</v>
      </c>
      <c r="G619" s="8">
        <f>_xlfn.IFS(F619="Tinggi",'B.kriteria &amp; R.kecocokan'!$C$34,F619="Sangat Tinggi",'B.kriteria &amp; R.kecocokan'!$C$35)</f>
        <v>7.5</v>
      </c>
      <c r="H619" s="8" t="str">
        <f>'B.kriteria &amp; R.kecocokan'!$B$41</f>
        <v>Rendah</v>
      </c>
      <c r="I619" s="8">
        <f>_xlfn.IFS(H619="Rendah",'B.kriteria &amp; R.kecocokan'!$C$41,H619="Sedang",'B.kriteria &amp; R.kecocokan'!$C$42,H619="Tinggi",'B.kriteria &amp; R.kecocokan'!$C$43)</f>
        <v>2.5</v>
      </c>
      <c r="J619" s="8" t="str">
        <f>'B.kriteria &amp; R.kecocokan'!$B$72</f>
        <v>Rendah</v>
      </c>
      <c r="K619" s="8">
        <f>_xlfn.IFS(J619="Rendah",'B.kriteria &amp; R.kecocokan'!$C$72,J619="Sedang",'B.kriteria &amp; R.kecocokan'!$C$73,J619="Tinggi",'B.kriteria &amp; R.kecocokan'!$C$74)</f>
        <v>2.5</v>
      </c>
      <c r="L619" s="8" t="str">
        <f>'B.kriteria &amp; R.kecocokan'!$B$95</f>
        <v>Rendah</v>
      </c>
      <c r="M619" s="8">
        <f>_xlfn.IFS(L619="Rendah",'B.kriteria &amp; R.kecocokan'!$C$95,L619="Tinggi",'B.kriteria &amp; R.kecocokan'!$C$96)</f>
        <v>2.5</v>
      </c>
      <c r="N619" s="9" t="str">
        <f>'B.kriteria &amp; R.kecocokan'!$B$81</f>
        <v>Tinggi</v>
      </c>
      <c r="O619" s="8">
        <f>_xlfn.IFS(N619="Rendah",'B.kriteria &amp; R.kecocokan'!$C$80,N619="Tinggi",'B.kriteria &amp; R.kecocokan'!$C$81)</f>
        <v>7.5</v>
      </c>
      <c r="P619" s="9" t="str">
        <f>'B.kriteria &amp; R.kecocokan'!$B$90</f>
        <v>Sangat Sedikit</v>
      </c>
      <c r="Q619" s="8">
        <f>_xlfn.IFS(P619="Sedikit",'B.kriteria &amp; R.kecocokan'!$C$89,P619="Sedang",'B.kriteria &amp; R.kecocokan'!$C$88,P619="Sangat Sedikit",'B.kriteria &amp; R.kecocokan'!$C$90)</f>
        <v>1</v>
      </c>
      <c r="R619" s="8" t="str">
        <f>'B.kriteria &amp; R.kecocokan'!$B$49</f>
        <v>Rendah</v>
      </c>
      <c r="S619" s="8">
        <f>_xlfn.IFS(R619="Rendah",'B.kriteria &amp; R.kecocokan'!$C$49,R619="Sedang",'B.kriteria &amp; R.kecocokan'!$C$50,R619="Tinggi",'B.kriteria &amp; R.kecocokan'!$C$51)</f>
        <v>2.5</v>
      </c>
      <c r="T619" s="8" t="str">
        <f>'B.kriteria &amp; R.kecocokan'!$B$57</f>
        <v>Rendah</v>
      </c>
      <c r="U619" s="51">
        <f>_xlfn.IFS(T619="Rendah",'B.kriteria &amp; R.kecocokan'!$C$57,T619="Sedang",'B.kriteria &amp; R.kecocokan'!$C$58,T619="Tinggi",'B.kriteria &amp; R.kecocokan'!$C$59)</f>
        <v>2.5</v>
      </c>
      <c r="V619" s="51" t="str">
        <f>'B.kriteria &amp; R.kecocokan'!$B$65</f>
        <v>Rendah</v>
      </c>
      <c r="W619" s="9">
        <f>_xlfn.IFS(V619="Rendah",'B.kriteria &amp; R.kecocokan'!$C$65,V619="Sedang",'B.kriteria &amp; R.kecocokan'!$C$66,V619="Tinggi",'B.kriteria &amp; R.kecocokan'!$C$67)</f>
        <v>1</v>
      </c>
      <c r="X619" s="117">
        <f t="shared" si="58"/>
        <v>1.9814758482999792</v>
      </c>
      <c r="Y619" s="117">
        <f t="shared" si="59"/>
        <v>6.2728524361689244</v>
      </c>
      <c r="Z619" s="119">
        <f t="shared" si="60"/>
        <v>1.9814758482999792</v>
      </c>
      <c r="AA619" s="55" t="str">
        <f t="shared" si="61"/>
        <v>Layak</v>
      </c>
    </row>
    <row r="620" spans="1:27" x14ac:dyDescent="0.35">
      <c r="A620" s="5">
        <v>87</v>
      </c>
      <c r="B620" s="2" t="s">
        <v>163</v>
      </c>
      <c r="C620" s="11" t="s">
        <v>248</v>
      </c>
      <c r="D620" s="28" t="str">
        <f>'B.kriteria &amp; R.kecocokan'!$B$25</f>
        <v>Sedikit</v>
      </c>
      <c r="E620" s="111">
        <f>_xlfn.IFS(D620="Banyak",'B.kriteria &amp; R.kecocokan'!$C$23,D620="Cukup",'B.kriteria &amp; R.kecocokan'!$C$24,D620="Sedikit",'B.kriteria &amp; R.kecocokan'!$C$25)</f>
        <v>7.5</v>
      </c>
      <c r="F620" s="9" t="str">
        <f>'B.kriteria &amp; R.kecocokan'!$B$35</f>
        <v>Sangat Tinggi</v>
      </c>
      <c r="G620" s="8">
        <f>_xlfn.IFS(F620="Tinggi",'B.kriteria &amp; R.kecocokan'!$C$34,F620="Sangat Tinggi",'B.kriteria &amp; R.kecocokan'!$C$35)</f>
        <v>10</v>
      </c>
      <c r="H620" s="9" t="str">
        <f>'B.kriteria &amp; R.kecocokan'!$B$43</f>
        <v>Tinggi</v>
      </c>
      <c r="I620" s="8">
        <f>_xlfn.IFS(H620="Rendah",'B.kriteria &amp; R.kecocokan'!$C$41,H620="Sedang",'B.kriteria &amp; R.kecocokan'!$C$42,H620="Tinggi",'B.kriteria &amp; R.kecocokan'!$C$43)</f>
        <v>7.5</v>
      </c>
      <c r="J620" s="8" t="str">
        <f>'B.kriteria &amp; R.kecocokan'!$B$72</f>
        <v>Rendah</v>
      </c>
      <c r="K620" s="8">
        <f>_xlfn.IFS(J620="Rendah",'B.kriteria &amp; R.kecocokan'!$C$72,J620="Sedang",'B.kriteria &amp; R.kecocokan'!$C$73,J620="Tinggi",'B.kriteria &amp; R.kecocokan'!$C$74)</f>
        <v>2.5</v>
      </c>
      <c r="L620" s="8" t="str">
        <f>'B.kriteria &amp; R.kecocokan'!$B$95</f>
        <v>Rendah</v>
      </c>
      <c r="M620" s="8">
        <f>_xlfn.IFS(L620="Rendah",'B.kriteria &amp; R.kecocokan'!$C$95,L620="Tinggi",'B.kriteria &amp; R.kecocokan'!$C$96)</f>
        <v>2.5</v>
      </c>
      <c r="N620" s="8" t="str">
        <f>'B.kriteria &amp; R.kecocokan'!$B$80</f>
        <v>Rendah</v>
      </c>
      <c r="O620" s="8">
        <f>_xlfn.IFS(N620="Rendah",'B.kriteria &amp; R.kecocokan'!$C$80,N620="Tinggi",'B.kriteria &amp; R.kecocokan'!$C$81)</f>
        <v>2.5</v>
      </c>
      <c r="P620" s="8" t="str">
        <f>'B.kriteria &amp; R.kecocokan'!$B$89</f>
        <v>Sedikit</v>
      </c>
      <c r="Q620" s="8">
        <f>_xlfn.IFS(P620="Sedikit",'B.kriteria &amp; R.kecocokan'!$C$89,P620="Sedang",'B.kriteria &amp; R.kecocokan'!$C$88,P620="Sangat Sedikit",'B.kriteria &amp; R.kecocokan'!$C$90)</f>
        <v>2.5</v>
      </c>
      <c r="R620" s="8" t="str">
        <f>'B.kriteria &amp; R.kecocokan'!$B$49</f>
        <v>Rendah</v>
      </c>
      <c r="S620" s="8">
        <f>_xlfn.IFS(R620="Rendah",'B.kriteria &amp; R.kecocokan'!$C$49,R620="Sedang",'B.kriteria &amp; R.kecocokan'!$C$50,R620="Tinggi",'B.kriteria &amp; R.kecocokan'!$C$51)</f>
        <v>2.5</v>
      </c>
      <c r="T620" s="8" t="str">
        <f>'B.kriteria &amp; R.kecocokan'!$B$57</f>
        <v>Rendah</v>
      </c>
      <c r="U620" s="51">
        <f>_xlfn.IFS(T620="Rendah",'B.kriteria &amp; R.kecocokan'!$C$57,T620="Sedang",'B.kriteria &amp; R.kecocokan'!$C$58,T620="Tinggi",'B.kriteria &amp; R.kecocokan'!$C$59)</f>
        <v>2.5</v>
      </c>
      <c r="V620" s="51" t="str">
        <f>'B.kriteria &amp; R.kecocokan'!$B$65</f>
        <v>Rendah</v>
      </c>
      <c r="W620" s="9">
        <f>_xlfn.IFS(V620="Rendah",'B.kriteria &amp; R.kecocokan'!$C$65,V620="Sedang",'B.kriteria &amp; R.kecocokan'!$C$66,V620="Tinggi",'B.kriteria &amp; R.kecocokan'!$C$67)</f>
        <v>1</v>
      </c>
      <c r="X620" s="117">
        <f t="shared" si="58"/>
        <v>7.4985917422102322</v>
      </c>
      <c r="Y620" s="117">
        <f t="shared" si="59"/>
        <v>5.5180320482895358</v>
      </c>
      <c r="Z620" s="119">
        <f t="shared" si="60"/>
        <v>5.5180320482895358</v>
      </c>
      <c r="AA620" s="55" t="str">
        <f t="shared" si="61"/>
        <v>Tidak Layak</v>
      </c>
    </row>
    <row r="621" spans="1:27" x14ac:dyDescent="0.35">
      <c r="A621" s="5">
        <v>88</v>
      </c>
      <c r="B621" s="30" t="s">
        <v>24</v>
      </c>
      <c r="C621" s="11" t="s">
        <v>248</v>
      </c>
      <c r="D621" s="28" t="str">
        <f>'B.kriteria &amp; R.kecocokan'!$B$25</f>
        <v>Sedikit</v>
      </c>
      <c r="E621" s="111">
        <f>_xlfn.IFS(D621="Banyak",'B.kriteria &amp; R.kecocokan'!$C$23,D621="Cukup",'B.kriteria &amp; R.kecocokan'!$C$24,D621="Sedikit",'B.kriteria &amp; R.kecocokan'!$C$25)</f>
        <v>7.5</v>
      </c>
      <c r="F621" s="9" t="str">
        <f>'B.kriteria &amp; R.kecocokan'!$B$35</f>
        <v>Sangat Tinggi</v>
      </c>
      <c r="G621" s="8">
        <f>_xlfn.IFS(F621="Tinggi",'B.kriteria &amp; R.kecocokan'!$C$34,F621="Sangat Tinggi",'B.kriteria &amp; R.kecocokan'!$C$35)</f>
        <v>10</v>
      </c>
      <c r="H621" s="8" t="str">
        <f>'B.kriteria &amp; R.kecocokan'!$B$41</f>
        <v>Rendah</v>
      </c>
      <c r="I621" s="8">
        <f>_xlfn.IFS(H621="Rendah",'B.kriteria &amp; R.kecocokan'!$C$41,H621="Sedang",'B.kriteria &amp; R.kecocokan'!$C$42,H621="Tinggi",'B.kriteria &amp; R.kecocokan'!$C$43)</f>
        <v>2.5</v>
      </c>
      <c r="J621" s="8" t="str">
        <f>'B.kriteria &amp; R.kecocokan'!$B$72</f>
        <v>Rendah</v>
      </c>
      <c r="K621" s="8">
        <f>_xlfn.IFS(J621="Rendah",'B.kriteria &amp; R.kecocokan'!$C$72,J621="Sedang",'B.kriteria &amp; R.kecocokan'!$C$73,J621="Tinggi",'B.kriteria &amp; R.kecocokan'!$C$74)</f>
        <v>2.5</v>
      </c>
      <c r="L621" s="8" t="str">
        <f>'B.kriteria &amp; R.kecocokan'!$B$95</f>
        <v>Rendah</v>
      </c>
      <c r="M621" s="8">
        <f>_xlfn.IFS(L621="Rendah",'B.kriteria &amp; R.kecocokan'!$C$95,L621="Tinggi",'B.kriteria &amp; R.kecocokan'!$C$96)</f>
        <v>2.5</v>
      </c>
      <c r="N621" s="9" t="str">
        <f>'B.kriteria &amp; R.kecocokan'!$B$81</f>
        <v>Tinggi</v>
      </c>
      <c r="O621" s="8">
        <f>_xlfn.IFS(N621="Rendah",'B.kriteria &amp; R.kecocokan'!$C$80,N621="Tinggi",'B.kriteria &amp; R.kecocokan'!$C$81)</f>
        <v>7.5</v>
      </c>
      <c r="P621" s="9" t="str">
        <f>'B.kriteria &amp; R.kecocokan'!$B$90</f>
        <v>Sangat Sedikit</v>
      </c>
      <c r="Q621" s="8">
        <f>_xlfn.IFS(P621="Sedikit",'B.kriteria &amp; R.kecocokan'!$C$89,P621="Sedang",'B.kriteria &amp; R.kecocokan'!$C$88,P621="Sangat Sedikit",'B.kriteria &amp; R.kecocokan'!$C$90)</f>
        <v>1</v>
      </c>
      <c r="R621" s="9" t="str">
        <f>'B.kriteria &amp; R.kecocokan'!$B$51</f>
        <v>Tinggi</v>
      </c>
      <c r="S621" s="8">
        <f>_xlfn.IFS(R621="Rendah",'B.kriteria &amp; R.kecocokan'!$C$49,R621="Sedang",'B.kriteria &amp; R.kecocokan'!$C$50,R621="Tinggi",'B.kriteria &amp; R.kecocokan'!$C$51)</f>
        <v>7.5</v>
      </c>
      <c r="T621" s="9" t="str">
        <f>'B.kriteria &amp; R.kecocokan'!$B$59</f>
        <v>Tinggi</v>
      </c>
      <c r="U621" s="51">
        <f>_xlfn.IFS(T621="Rendah",'B.kriteria &amp; R.kecocokan'!$C$57,T621="Sedang",'B.kriteria &amp; R.kecocokan'!$C$58,T621="Tinggi",'B.kriteria &amp; R.kecocokan'!$C$59)</f>
        <v>7.5</v>
      </c>
      <c r="V621" s="51" t="str">
        <f>'B.kriteria &amp; R.kecocokan'!$B$65</f>
        <v>Rendah</v>
      </c>
      <c r="W621" s="9">
        <f>_xlfn.IFS(V621="Rendah",'B.kriteria &amp; R.kecocokan'!$C$65,V621="Sedang",'B.kriteria &amp; R.kecocokan'!$C$66,V621="Tinggi",'B.kriteria &amp; R.kecocokan'!$C$67)</f>
        <v>1</v>
      </c>
      <c r="X621" s="117">
        <f t="shared" si="58"/>
        <v>6.3850099295579819</v>
      </c>
      <c r="Y621" s="117">
        <f t="shared" si="59"/>
        <v>9.2642296179025667</v>
      </c>
      <c r="Z621" s="119">
        <f t="shared" si="60"/>
        <v>6.3850099295579819</v>
      </c>
      <c r="AA621" s="55" t="str">
        <f t="shared" si="61"/>
        <v>Layak</v>
      </c>
    </row>
    <row r="622" spans="1:27" x14ac:dyDescent="0.35">
      <c r="A622" s="1">
        <v>89</v>
      </c>
      <c r="B622" s="2" t="s">
        <v>128</v>
      </c>
      <c r="C622" s="11" t="s">
        <v>95</v>
      </c>
      <c r="D622" s="32" t="str">
        <f>'B.kriteria &amp; R.kecocokan'!$B$24</f>
        <v>Cukup</v>
      </c>
      <c r="E622" s="111">
        <f>_xlfn.IFS(D622="Banyak",'B.kriteria &amp; R.kecocokan'!$C$23,D622="Cukup",'B.kriteria &amp; R.kecocokan'!$C$24,D622="Sedikit",'B.kriteria &amp; R.kecocokan'!$C$25)</f>
        <v>5</v>
      </c>
      <c r="F622" s="9" t="str">
        <f>'B.kriteria &amp; R.kecocokan'!$B$34</f>
        <v>Tinggi</v>
      </c>
      <c r="G622" s="8">
        <f>_xlfn.IFS(F622="Tinggi",'B.kriteria &amp; R.kecocokan'!$C$34,F622="Sangat Tinggi",'B.kriteria &amp; R.kecocokan'!$C$35)</f>
        <v>7.5</v>
      </c>
      <c r="H622" s="8" t="str">
        <f>'B.kriteria &amp; R.kecocokan'!$B$41</f>
        <v>Rendah</v>
      </c>
      <c r="I622" s="8">
        <f>_xlfn.IFS(H622="Rendah",'B.kriteria &amp; R.kecocokan'!$C$41,H622="Sedang",'B.kriteria &amp; R.kecocokan'!$C$42,H622="Tinggi",'B.kriteria &amp; R.kecocokan'!$C$43)</f>
        <v>2.5</v>
      </c>
      <c r="J622" s="8" t="str">
        <f>'B.kriteria &amp; R.kecocokan'!$B$72</f>
        <v>Rendah</v>
      </c>
      <c r="K622" s="8">
        <f>_xlfn.IFS(J622="Rendah",'B.kriteria &amp; R.kecocokan'!$C$72,J622="Sedang",'B.kriteria &amp; R.kecocokan'!$C$73,J622="Tinggi",'B.kriteria &amp; R.kecocokan'!$C$74)</f>
        <v>2.5</v>
      </c>
      <c r="L622" s="8" t="str">
        <f>'B.kriteria &amp; R.kecocokan'!$B$95</f>
        <v>Rendah</v>
      </c>
      <c r="M622" s="8">
        <f>_xlfn.IFS(L622="Rendah",'B.kriteria &amp; R.kecocokan'!$C$95,L622="Tinggi",'B.kriteria &amp; R.kecocokan'!$C$96)</f>
        <v>2.5</v>
      </c>
      <c r="N622" s="9" t="str">
        <f>'B.kriteria &amp; R.kecocokan'!$B$81</f>
        <v>Tinggi</v>
      </c>
      <c r="O622" s="8">
        <f>_xlfn.IFS(N622="Rendah",'B.kriteria &amp; R.kecocokan'!$C$80,N622="Tinggi",'B.kriteria &amp; R.kecocokan'!$C$81)</f>
        <v>7.5</v>
      </c>
      <c r="P622" s="9" t="str">
        <f>'B.kriteria &amp; R.kecocokan'!$B$90</f>
        <v>Sangat Sedikit</v>
      </c>
      <c r="Q622" s="8">
        <f>_xlfn.IFS(P622="Sedikit",'B.kriteria &amp; R.kecocokan'!$C$89,P622="Sedang",'B.kriteria &amp; R.kecocokan'!$C$88,P622="Sangat Sedikit",'B.kriteria &amp; R.kecocokan'!$C$90)</f>
        <v>1</v>
      </c>
      <c r="R622" s="8" t="str">
        <f>'B.kriteria &amp; R.kecocokan'!$B$49</f>
        <v>Rendah</v>
      </c>
      <c r="S622" s="8">
        <f>_xlfn.IFS(R622="Rendah",'B.kriteria &amp; R.kecocokan'!$C$49,R622="Sedang",'B.kriteria &amp; R.kecocokan'!$C$50,R622="Tinggi",'B.kriteria &amp; R.kecocokan'!$C$51)</f>
        <v>2.5</v>
      </c>
      <c r="T622" s="8" t="str">
        <f>'B.kriteria &amp; R.kecocokan'!$B$57</f>
        <v>Rendah</v>
      </c>
      <c r="U622" s="51">
        <f>_xlfn.IFS(T622="Rendah",'B.kriteria &amp; R.kecocokan'!$C$57,T622="Sedang",'B.kriteria &amp; R.kecocokan'!$C$58,T622="Tinggi",'B.kriteria &amp; R.kecocokan'!$C$59)</f>
        <v>2.5</v>
      </c>
      <c r="V622" s="51" t="str">
        <f>'B.kriteria &amp; R.kecocokan'!$B$65</f>
        <v>Rendah</v>
      </c>
      <c r="W622" s="9">
        <f>_xlfn.IFS(V622="Rendah",'B.kriteria &amp; R.kecocokan'!$C$65,V622="Sedang",'B.kriteria &amp; R.kecocokan'!$C$66,V622="Tinggi",'B.kriteria &amp; R.kecocokan'!$C$67)</f>
        <v>1</v>
      </c>
      <c r="X622" s="117">
        <f t="shared" si="58"/>
        <v>1.8078583463739675</v>
      </c>
      <c r="Y622" s="117">
        <f t="shared" si="59"/>
        <v>5.6535222693102378</v>
      </c>
      <c r="Z622" s="119">
        <f t="shared" si="60"/>
        <v>1.8078583463739675</v>
      </c>
      <c r="AA622" s="55" t="str">
        <f t="shared" si="61"/>
        <v>Layak</v>
      </c>
    </row>
    <row r="623" spans="1:27" x14ac:dyDescent="0.35">
      <c r="A623" s="5">
        <v>90</v>
      </c>
      <c r="B623" s="30" t="s">
        <v>136</v>
      </c>
      <c r="C623" s="11" t="s">
        <v>95</v>
      </c>
      <c r="D623" s="28" t="str">
        <f>'B.kriteria &amp; R.kecocokan'!$B$25</f>
        <v>Sedikit</v>
      </c>
      <c r="E623" s="111">
        <f>_xlfn.IFS(D623="Banyak",'B.kriteria &amp; R.kecocokan'!$C$23,D623="Cukup",'B.kriteria &amp; R.kecocokan'!$C$24,D623="Sedikit",'B.kriteria &amp; R.kecocokan'!$C$25)</f>
        <v>7.5</v>
      </c>
      <c r="F623" s="9" t="str">
        <f>'B.kriteria &amp; R.kecocokan'!$B$35</f>
        <v>Sangat Tinggi</v>
      </c>
      <c r="G623" s="8">
        <f>_xlfn.IFS(F623="Tinggi",'B.kriteria &amp; R.kecocokan'!$C$34,F623="Sangat Tinggi",'B.kriteria &amp; R.kecocokan'!$C$35)</f>
        <v>10</v>
      </c>
      <c r="H623" s="8" t="str">
        <f>'B.kriteria &amp; R.kecocokan'!$B$41</f>
        <v>Rendah</v>
      </c>
      <c r="I623" s="8">
        <f>_xlfn.IFS(H623="Rendah",'B.kriteria &amp; R.kecocokan'!$C$41,H623="Sedang",'B.kriteria &amp; R.kecocokan'!$C$42,H623="Tinggi",'B.kriteria &amp; R.kecocokan'!$C$43)</f>
        <v>2.5</v>
      </c>
      <c r="J623" s="8" t="str">
        <f>'B.kriteria &amp; R.kecocokan'!$B$72</f>
        <v>Rendah</v>
      </c>
      <c r="K623" s="8">
        <f>_xlfn.IFS(J623="Rendah",'B.kriteria &amp; R.kecocokan'!$C$72,J623="Sedang",'B.kriteria &amp; R.kecocokan'!$C$73,J623="Tinggi",'B.kriteria &amp; R.kecocokan'!$C$74)</f>
        <v>2.5</v>
      </c>
      <c r="L623" s="8" t="str">
        <f>'B.kriteria &amp; R.kecocokan'!$B$95</f>
        <v>Rendah</v>
      </c>
      <c r="M623" s="8">
        <f>_xlfn.IFS(L623="Rendah",'B.kriteria &amp; R.kecocokan'!$C$95,L623="Tinggi",'B.kriteria &amp; R.kecocokan'!$C$96)</f>
        <v>2.5</v>
      </c>
      <c r="N623" s="9" t="str">
        <f>'B.kriteria &amp; R.kecocokan'!$B$81</f>
        <v>Tinggi</v>
      </c>
      <c r="O623" s="8">
        <f>_xlfn.IFS(N623="Rendah",'B.kriteria &amp; R.kecocokan'!$C$80,N623="Tinggi",'B.kriteria &amp; R.kecocokan'!$C$81)</f>
        <v>7.5</v>
      </c>
      <c r="P623" s="9" t="str">
        <f>'B.kriteria &amp; R.kecocokan'!$B$90</f>
        <v>Sangat Sedikit</v>
      </c>
      <c r="Q623" s="8">
        <f>_xlfn.IFS(P623="Sedikit",'B.kriteria &amp; R.kecocokan'!$C$89,P623="Sedang",'B.kriteria &amp; R.kecocokan'!$C$88,P623="Sangat Sedikit",'B.kriteria &amp; R.kecocokan'!$C$90)</f>
        <v>1</v>
      </c>
      <c r="R623" s="9" t="str">
        <f>'B.kriteria &amp; R.kecocokan'!$B$51</f>
        <v>Tinggi</v>
      </c>
      <c r="S623" s="8">
        <f>_xlfn.IFS(R623="Rendah",'B.kriteria &amp; R.kecocokan'!$C$49,R623="Sedang",'B.kriteria &amp; R.kecocokan'!$C$50,R623="Tinggi",'B.kriteria &amp; R.kecocokan'!$C$51)</f>
        <v>7.5</v>
      </c>
      <c r="T623" s="9" t="str">
        <f>'B.kriteria &amp; R.kecocokan'!$B$59</f>
        <v>Tinggi</v>
      </c>
      <c r="U623" s="51">
        <f>_xlfn.IFS(T623="Rendah",'B.kriteria &amp; R.kecocokan'!$C$57,T623="Sedang",'B.kriteria &amp; R.kecocokan'!$C$58,T623="Tinggi",'B.kriteria &amp; R.kecocokan'!$C$59)</f>
        <v>7.5</v>
      </c>
      <c r="V623" s="51" t="str">
        <f>'B.kriteria &amp; R.kecocokan'!$B$65</f>
        <v>Rendah</v>
      </c>
      <c r="W623" s="9">
        <f>_xlfn.IFS(V623="Rendah",'B.kriteria &amp; R.kecocokan'!$C$65,V623="Sedang",'B.kriteria &amp; R.kecocokan'!$C$66,V623="Tinggi",'B.kriteria &amp; R.kecocokan'!$C$67)</f>
        <v>1</v>
      </c>
      <c r="X623" s="117">
        <f t="shared" si="58"/>
        <v>6.3850099295579819</v>
      </c>
      <c r="Y623" s="117">
        <f t="shared" si="59"/>
        <v>9.2642296179025667</v>
      </c>
      <c r="Z623" s="119">
        <f t="shared" si="60"/>
        <v>6.3850099295579819</v>
      </c>
      <c r="AA623" s="55" t="str">
        <f t="shared" si="61"/>
        <v>Layak</v>
      </c>
    </row>
    <row r="624" spans="1:27" x14ac:dyDescent="0.35">
      <c r="A624" s="5">
        <v>91</v>
      </c>
      <c r="B624" s="2" t="s">
        <v>140</v>
      </c>
      <c r="C624" s="11" t="s">
        <v>95</v>
      </c>
      <c r="D624" s="28" t="str">
        <f>'B.kriteria &amp; R.kecocokan'!$B$25</f>
        <v>Sedikit</v>
      </c>
      <c r="E624" s="111">
        <f>_xlfn.IFS(D624="Banyak",'B.kriteria &amp; R.kecocokan'!$C$23,D624="Cukup",'B.kriteria &amp; R.kecocokan'!$C$24,D624="Sedikit",'B.kriteria &amp; R.kecocokan'!$C$25)</f>
        <v>7.5</v>
      </c>
      <c r="F624" s="9" t="str">
        <f>'B.kriteria &amp; R.kecocokan'!$B$34</f>
        <v>Tinggi</v>
      </c>
      <c r="G624" s="8">
        <f>_xlfn.IFS(F624="Tinggi",'B.kriteria &amp; R.kecocokan'!$C$34,F624="Sangat Tinggi",'B.kriteria &amp; R.kecocokan'!$C$35)</f>
        <v>7.5</v>
      </c>
      <c r="H624" s="8" t="str">
        <f>'B.kriteria &amp; R.kecocokan'!$B$41</f>
        <v>Rendah</v>
      </c>
      <c r="I624" s="8">
        <f>_xlfn.IFS(H624="Rendah",'B.kriteria &amp; R.kecocokan'!$C$41,H624="Sedang",'B.kriteria &amp; R.kecocokan'!$C$42,H624="Tinggi",'B.kriteria &amp; R.kecocokan'!$C$43)</f>
        <v>2.5</v>
      </c>
      <c r="J624" s="8" t="str">
        <f>'B.kriteria &amp; R.kecocokan'!$B$72</f>
        <v>Rendah</v>
      </c>
      <c r="K624" s="8">
        <f>_xlfn.IFS(J624="Rendah",'B.kriteria &amp; R.kecocokan'!$C$72,J624="Sedang",'B.kriteria &amp; R.kecocokan'!$C$73,J624="Tinggi",'B.kriteria &amp; R.kecocokan'!$C$74)</f>
        <v>2.5</v>
      </c>
      <c r="L624" s="8" t="str">
        <f>'B.kriteria &amp; R.kecocokan'!$B$95</f>
        <v>Rendah</v>
      </c>
      <c r="M624" s="8">
        <f>_xlfn.IFS(L624="Rendah",'B.kriteria &amp; R.kecocokan'!$C$95,L624="Tinggi",'B.kriteria &amp; R.kecocokan'!$C$96)</f>
        <v>2.5</v>
      </c>
      <c r="N624" s="9" t="str">
        <f>'B.kriteria &amp; R.kecocokan'!$B$81</f>
        <v>Tinggi</v>
      </c>
      <c r="O624" s="8">
        <f>_xlfn.IFS(N624="Rendah",'B.kriteria &amp; R.kecocokan'!$C$80,N624="Tinggi",'B.kriteria &amp; R.kecocokan'!$C$81)</f>
        <v>7.5</v>
      </c>
      <c r="P624" s="9" t="str">
        <f>'B.kriteria &amp; R.kecocokan'!$B$90</f>
        <v>Sangat Sedikit</v>
      </c>
      <c r="Q624" s="8">
        <f>_xlfn.IFS(P624="Sedikit",'B.kriteria &amp; R.kecocokan'!$C$89,P624="Sedang",'B.kriteria &amp; R.kecocokan'!$C$88,P624="Sangat Sedikit",'B.kriteria &amp; R.kecocokan'!$C$90)</f>
        <v>1</v>
      </c>
      <c r="R624" s="8" t="str">
        <f>'B.kriteria &amp; R.kecocokan'!$B$49</f>
        <v>Rendah</v>
      </c>
      <c r="S624" s="8">
        <f>_xlfn.IFS(R624="Rendah",'B.kriteria &amp; R.kecocokan'!$C$49,R624="Sedang",'B.kriteria &amp; R.kecocokan'!$C$50,R624="Tinggi",'B.kriteria &amp; R.kecocokan'!$C$51)</f>
        <v>2.5</v>
      </c>
      <c r="T624" s="9" t="str">
        <f>'B.kriteria &amp; R.kecocokan'!$B$58</f>
        <v>Sedang</v>
      </c>
      <c r="U624" s="51">
        <f>_xlfn.IFS(T624="Rendah",'B.kriteria &amp; R.kecocokan'!$C$57,T624="Sedang",'B.kriteria &amp; R.kecocokan'!$C$58,T624="Tinggi",'B.kriteria &amp; R.kecocokan'!$C$59)</f>
        <v>5</v>
      </c>
      <c r="V624" s="51" t="str">
        <f>'B.kriteria &amp; R.kecocokan'!$B$65</f>
        <v>Rendah</v>
      </c>
      <c r="W624" s="9">
        <f>_xlfn.IFS(V624="Rendah",'B.kriteria &amp; R.kecocokan'!$C$65,V624="Sedang",'B.kriteria &amp; R.kecocokan'!$C$66,V624="Tinggi",'B.kriteria &amp; R.kecocokan'!$C$67)</f>
        <v>1</v>
      </c>
      <c r="X624" s="117">
        <f t="shared" si="58"/>
        <v>2.2165488135069982</v>
      </c>
      <c r="Y624" s="117">
        <f t="shared" si="59"/>
        <v>6.5649583156293092</v>
      </c>
      <c r="Z624" s="119">
        <f t="shared" si="60"/>
        <v>2.2165488135069982</v>
      </c>
      <c r="AA624" s="55" t="str">
        <f t="shared" si="61"/>
        <v>Layak</v>
      </c>
    </row>
    <row r="625" spans="1:27" x14ac:dyDescent="0.35">
      <c r="A625" s="1">
        <v>92</v>
      </c>
      <c r="B625" s="2" t="s">
        <v>251</v>
      </c>
      <c r="C625" s="11" t="s">
        <v>95</v>
      </c>
      <c r="D625" s="28" t="str">
        <f>'B.kriteria &amp; R.kecocokan'!$B$25</f>
        <v>Sedikit</v>
      </c>
      <c r="E625" s="111">
        <f>_xlfn.IFS(D625="Banyak",'B.kriteria &amp; R.kecocokan'!$C$23,D625="Cukup",'B.kriteria &amp; R.kecocokan'!$C$24,D625="Sedikit",'B.kriteria &amp; R.kecocokan'!$C$25)</f>
        <v>7.5</v>
      </c>
      <c r="F625" s="9" t="str">
        <f>'B.kriteria &amp; R.kecocokan'!$B$34</f>
        <v>Tinggi</v>
      </c>
      <c r="G625" s="8">
        <f>_xlfn.IFS(F625="Tinggi",'B.kriteria &amp; R.kecocokan'!$C$34,F625="Sangat Tinggi",'B.kriteria &amp; R.kecocokan'!$C$35)</f>
        <v>7.5</v>
      </c>
      <c r="H625" s="8" t="str">
        <f>'B.kriteria &amp; R.kecocokan'!$B$41</f>
        <v>Rendah</v>
      </c>
      <c r="I625" s="8">
        <f>_xlfn.IFS(H625="Rendah",'B.kriteria &amp; R.kecocokan'!$C$41,H625="Sedang",'B.kriteria &amp; R.kecocokan'!$C$42,H625="Tinggi",'B.kriteria &amp; R.kecocokan'!$C$43)</f>
        <v>2.5</v>
      </c>
      <c r="J625" s="8" t="str">
        <f>'B.kriteria &amp; R.kecocokan'!$B$72</f>
        <v>Rendah</v>
      </c>
      <c r="K625" s="8">
        <f>_xlfn.IFS(J625="Rendah",'B.kriteria &amp; R.kecocokan'!$C$72,J625="Sedang",'B.kriteria &amp; R.kecocokan'!$C$73,J625="Tinggi",'B.kriteria &amp; R.kecocokan'!$C$74)</f>
        <v>2.5</v>
      </c>
      <c r="L625" s="8" t="str">
        <f>'B.kriteria &amp; R.kecocokan'!$B$95</f>
        <v>Rendah</v>
      </c>
      <c r="M625" s="8">
        <f>_xlfn.IFS(L625="Rendah",'B.kriteria &amp; R.kecocokan'!$C$95,L625="Tinggi",'B.kriteria &amp; R.kecocokan'!$C$96)</f>
        <v>2.5</v>
      </c>
      <c r="N625" s="8" t="str">
        <f>'B.kriteria &amp; R.kecocokan'!$B$80</f>
        <v>Rendah</v>
      </c>
      <c r="O625" s="8">
        <f>_xlfn.IFS(N625="Rendah",'B.kriteria &amp; R.kecocokan'!$C$80,N625="Tinggi",'B.kriteria &amp; R.kecocokan'!$C$81)</f>
        <v>2.5</v>
      </c>
      <c r="P625" s="9" t="str">
        <f>'B.kriteria &amp; R.kecocokan'!$B$88</f>
        <v>Sedang</v>
      </c>
      <c r="Q625" s="8">
        <f>_xlfn.IFS(P625="Sedikit",'B.kriteria &amp; R.kecocokan'!$C$89,P625="Sedang",'B.kriteria &amp; R.kecocokan'!$C$88,P625="Sangat Sedikit",'B.kriteria &amp; R.kecocokan'!$C$90)</f>
        <v>5</v>
      </c>
      <c r="R625" s="8" t="str">
        <f>'B.kriteria &amp; R.kecocokan'!$B$49</f>
        <v>Rendah</v>
      </c>
      <c r="S625" s="8">
        <f>_xlfn.IFS(R625="Rendah",'B.kriteria &amp; R.kecocokan'!$C$49,R625="Sedang",'B.kriteria &amp; R.kecocokan'!$C$50,R625="Tinggi",'B.kriteria &amp; R.kecocokan'!$C$51)</f>
        <v>2.5</v>
      </c>
      <c r="T625" s="9" t="str">
        <f>'B.kriteria &amp; R.kecocokan'!$B$58</f>
        <v>Sedang</v>
      </c>
      <c r="U625" s="51">
        <f>_xlfn.IFS(T625="Rendah",'B.kriteria &amp; R.kecocokan'!$C$57,T625="Sedang",'B.kriteria &amp; R.kecocokan'!$C$58,T625="Tinggi",'B.kriteria &amp; R.kecocokan'!$C$59)</f>
        <v>5</v>
      </c>
      <c r="V625" s="51" t="str">
        <f>'B.kriteria &amp; R.kecocokan'!$B$65</f>
        <v>Rendah</v>
      </c>
      <c r="W625" s="9">
        <f>_xlfn.IFS(V625="Rendah",'B.kriteria &amp; R.kecocokan'!$C$65,V625="Sedang",'B.kriteria &amp; R.kecocokan'!$C$66,V625="Tinggi",'B.kriteria &amp; R.kecocokan'!$C$67)</f>
        <v>1</v>
      </c>
      <c r="X625" s="117">
        <f t="shared" si="58"/>
        <v>6.5226273533007921</v>
      </c>
      <c r="Y625" s="117">
        <f t="shared" si="59"/>
        <v>3.8692899812081398</v>
      </c>
      <c r="Z625" s="119">
        <f t="shared" si="60"/>
        <v>3.8692899812081398</v>
      </c>
      <c r="AA625" s="55" t="str">
        <f t="shared" si="61"/>
        <v>Tidak Layak</v>
      </c>
    </row>
    <row r="626" spans="1:27" x14ac:dyDescent="0.35">
      <c r="A626" s="5">
        <v>93</v>
      </c>
      <c r="B626" s="2" t="s">
        <v>252</v>
      </c>
      <c r="C626" s="11" t="s">
        <v>95</v>
      </c>
      <c r="D626" s="9" t="str">
        <f>'B.kriteria &amp; R.kecocokan'!$B$23</f>
        <v>Banyak</v>
      </c>
      <c r="E626" s="111">
        <f>_xlfn.IFS(D626="Banyak",'B.kriteria &amp; R.kecocokan'!$C$23,D626="Cukup",'B.kriteria &amp; R.kecocokan'!$C$24,D626="Sedikit",'B.kriteria &amp; R.kecocokan'!$C$25)</f>
        <v>2.5</v>
      </c>
      <c r="F626" s="9" t="str">
        <f>'B.kriteria &amp; R.kecocokan'!$B$34</f>
        <v>Tinggi</v>
      </c>
      <c r="G626" s="8">
        <f>_xlfn.IFS(F626="Tinggi",'B.kriteria &amp; R.kecocokan'!$C$34,F626="Sangat Tinggi",'B.kriteria &amp; R.kecocokan'!$C$35)</f>
        <v>7.5</v>
      </c>
      <c r="H626" s="8" t="str">
        <f>'B.kriteria &amp; R.kecocokan'!$B$41</f>
        <v>Rendah</v>
      </c>
      <c r="I626" s="8">
        <f>_xlfn.IFS(H626="Rendah",'B.kriteria &amp; R.kecocokan'!$C$41,H626="Sedang",'B.kriteria &amp; R.kecocokan'!$C$42,H626="Tinggi",'B.kriteria &amp; R.kecocokan'!$C$43)</f>
        <v>2.5</v>
      </c>
      <c r="J626" s="8" t="str">
        <f>'B.kriteria &amp; R.kecocokan'!$B$72</f>
        <v>Rendah</v>
      </c>
      <c r="K626" s="8">
        <f>_xlfn.IFS(J626="Rendah",'B.kriteria &amp; R.kecocokan'!$C$72,J626="Sedang",'B.kriteria &amp; R.kecocokan'!$C$73,J626="Tinggi",'B.kriteria &amp; R.kecocokan'!$C$74)</f>
        <v>2.5</v>
      </c>
      <c r="L626" s="8" t="str">
        <f>'B.kriteria &amp; R.kecocokan'!$B$95</f>
        <v>Rendah</v>
      </c>
      <c r="M626" s="8">
        <f>_xlfn.IFS(L626="Rendah",'B.kriteria &amp; R.kecocokan'!$C$95,L626="Tinggi",'B.kriteria &amp; R.kecocokan'!$C$96)</f>
        <v>2.5</v>
      </c>
      <c r="N626" s="8" t="str">
        <f>'B.kriteria &amp; R.kecocokan'!$B$80</f>
        <v>Rendah</v>
      </c>
      <c r="O626" s="8">
        <f>_xlfn.IFS(N626="Rendah",'B.kriteria &amp; R.kecocokan'!$C$80,N626="Tinggi",'B.kriteria &amp; R.kecocokan'!$C$81)</f>
        <v>2.5</v>
      </c>
      <c r="P626" s="9" t="str">
        <f>'B.kriteria &amp; R.kecocokan'!$B$88</f>
        <v>Sedang</v>
      </c>
      <c r="Q626" s="8">
        <f>_xlfn.IFS(P626="Sedikit",'B.kriteria &amp; R.kecocokan'!$C$89,P626="Sedang",'B.kriteria &amp; R.kecocokan'!$C$88,P626="Sangat Sedikit",'B.kriteria &amp; R.kecocokan'!$C$90)</f>
        <v>5</v>
      </c>
      <c r="R626" s="8" t="str">
        <f>'B.kriteria &amp; R.kecocokan'!$B$49</f>
        <v>Rendah</v>
      </c>
      <c r="S626" s="8">
        <f>_xlfn.IFS(R626="Rendah",'B.kriteria &amp; R.kecocokan'!$C$49,R626="Sedang",'B.kriteria &amp; R.kecocokan'!$C$50,R626="Tinggi",'B.kriteria &amp; R.kecocokan'!$C$51)</f>
        <v>2.5</v>
      </c>
      <c r="T626" s="8" t="str">
        <f>'B.kriteria &amp; R.kecocokan'!$B$57</f>
        <v>Rendah</v>
      </c>
      <c r="U626" s="51">
        <f>_xlfn.IFS(T626="Rendah",'B.kriteria &amp; R.kecocokan'!$C$57,T626="Sedang",'B.kriteria &amp; R.kecocokan'!$C$58,T626="Tinggi",'B.kriteria &amp; R.kecocokan'!$C$59)</f>
        <v>2.5</v>
      </c>
      <c r="V626" s="51" t="str">
        <f>'B.kriteria &amp; R.kecocokan'!$B$65</f>
        <v>Rendah</v>
      </c>
      <c r="W626" s="9">
        <f>_xlfn.IFS(V626="Rendah",'B.kriteria &amp; R.kecocokan'!$C$65,V626="Sedang",'B.kriteria &amp; R.kecocokan'!$C$66,V626="Tinggi",'B.kriteria &amp; R.kecocokan'!$C$67)</f>
        <v>1</v>
      </c>
      <c r="X626" s="117">
        <f t="shared" si="58"/>
        <v>7.2623712388640893</v>
      </c>
      <c r="Y626" s="117">
        <f t="shared" si="59"/>
        <v>2.9914340517468223</v>
      </c>
      <c r="Z626" s="119">
        <f t="shared" si="60"/>
        <v>2.9914340517468223</v>
      </c>
      <c r="AA626" s="55" t="str">
        <f t="shared" si="61"/>
        <v>Tidak Layak</v>
      </c>
    </row>
    <row r="628" spans="1:27" x14ac:dyDescent="0.35">
      <c r="AA628" s="148">
        <f>COUNTIF(AA534:AA626,AA623)</f>
        <v>38</v>
      </c>
    </row>
    <row r="629" spans="1:27" x14ac:dyDescent="0.35">
      <c r="AA629">
        <f>COUNTIF(AA534:AA626,AA626)</f>
        <v>55</v>
      </c>
    </row>
    <row r="631" spans="1:27" x14ac:dyDescent="0.35">
      <c r="E631" t="s">
        <v>439</v>
      </c>
    </row>
    <row r="632" spans="1:27" x14ac:dyDescent="0.35">
      <c r="E632" s="232" t="s">
        <v>440</v>
      </c>
      <c r="F632" s="2"/>
      <c r="G632" s="231" t="s">
        <v>431</v>
      </c>
      <c r="H632" s="231"/>
      <c r="I632" s="231"/>
    </row>
    <row r="633" spans="1:27" x14ac:dyDescent="0.35">
      <c r="E633" s="232"/>
      <c r="F633" s="2"/>
      <c r="G633" s="2" t="s">
        <v>349</v>
      </c>
      <c r="H633" s="2"/>
      <c r="I633" s="2" t="s">
        <v>347</v>
      </c>
    </row>
    <row r="634" spans="1:27" x14ac:dyDescent="0.35">
      <c r="E634" s="2" t="s">
        <v>349</v>
      </c>
      <c r="F634" s="2"/>
      <c r="G634" s="2">
        <v>16</v>
      </c>
      <c r="H634" s="2"/>
      <c r="I634" s="2">
        <v>6</v>
      </c>
    </row>
    <row r="635" spans="1:27" x14ac:dyDescent="0.35">
      <c r="E635" s="2" t="s">
        <v>347</v>
      </c>
      <c r="F635" s="2"/>
      <c r="G635" s="2">
        <v>22</v>
      </c>
      <c r="H635" s="2"/>
      <c r="I635" s="2">
        <v>49</v>
      </c>
    </row>
    <row r="637" spans="1:27" x14ac:dyDescent="0.35">
      <c r="E637" s="181" t="s">
        <v>423</v>
      </c>
      <c r="F637" s="181"/>
      <c r="G637" s="214">
        <f>(G634+I635)/(G634+I635+I634+G635)*100</f>
        <v>69.892473118279568</v>
      </c>
      <c r="H637" s="181"/>
      <c r="I637" s="181" t="s">
        <v>441</v>
      </c>
    </row>
    <row r="638" spans="1:27" x14ac:dyDescent="0.35">
      <c r="E638" s="215" t="s">
        <v>442</v>
      </c>
      <c r="F638" s="215"/>
      <c r="G638" s="216">
        <f>(I634+G635)/(I634+G635+G634+I635)*100</f>
        <v>30.107526881720432</v>
      </c>
      <c r="H638" s="215"/>
      <c r="I638" s="215" t="s">
        <v>441</v>
      </c>
    </row>
  </sheetData>
  <autoFilter ref="A325:AB418" xr:uid="{10526B6C-A6DB-4898-8EEF-C5B7FF13553F}"/>
  <mergeCells count="3">
    <mergeCell ref="A1:AA1"/>
    <mergeCell ref="E632:E633"/>
    <mergeCell ref="G632:I6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dataset</vt:lpstr>
      <vt:lpstr>Penghasilan</vt:lpstr>
      <vt:lpstr>B.kriteria &amp; R.kecocokan</vt:lpstr>
      <vt:lpstr>t data &amp;hitung c4.5</vt:lpstr>
      <vt:lpstr>hitung c4.5 2</vt:lpstr>
      <vt:lpstr>data uji</vt:lpstr>
      <vt:lpstr>t.data &amp; p. k - means</vt:lpstr>
      <vt:lpstr>dataset!Print_Area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2022-01-02T15:28:43Z</cp:lastPrinted>
  <dcterms:created xsi:type="dcterms:W3CDTF">2021-12-29T07:10:44Z</dcterms:created>
  <dcterms:modified xsi:type="dcterms:W3CDTF">2022-02-23T04:55:44Z</dcterms:modified>
</cp:coreProperties>
</file>