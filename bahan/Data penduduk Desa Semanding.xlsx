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kripsiku\bahan\"/>
    </mc:Choice>
  </mc:AlternateContent>
  <xr:revisionPtr revIDLastSave="0" documentId="13_ncr:1_{35A1F57D-E7A9-4B1B-B8FE-36E002DA6383}" xr6:coauthVersionLast="47" xr6:coauthVersionMax="47" xr10:uidLastSave="{00000000-0000-0000-0000-000000000000}"/>
  <bookViews>
    <workbookView xWindow="-110" yWindow="-110" windowWidth="19420" windowHeight="10300" xr2:uid="{67D50CDA-FFCB-4CFB-980E-EB1C34F99548}"/>
  </bookViews>
  <sheets>
    <sheet name="Sheet1" sheetId="1" r:id="rId1"/>
    <sheet name="Sheet2" sheetId="3" r:id="rId2"/>
    <sheet name="kriteri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1" i="3" l="1"/>
  <c r="D60" i="3"/>
  <c r="D59" i="3"/>
  <c r="D58" i="3"/>
  <c r="D57" i="3"/>
  <c r="D56" i="3"/>
  <c r="D54" i="3"/>
  <c r="D53" i="3"/>
  <c r="D52" i="3"/>
  <c r="D51" i="3"/>
  <c r="D50" i="3"/>
  <c r="D49" i="3"/>
  <c r="D48" i="3"/>
  <c r="D47" i="3"/>
  <c r="D45" i="3"/>
  <c r="D44" i="3"/>
  <c r="D43" i="3"/>
  <c r="D42" i="3"/>
  <c r="D41" i="3"/>
  <c r="D40" i="3"/>
  <c r="D38" i="3"/>
  <c r="D35" i="3"/>
  <c r="D34" i="3"/>
  <c r="D33" i="3"/>
  <c r="D32" i="3"/>
  <c r="D31" i="3"/>
  <c r="D29" i="3"/>
  <c r="D28" i="3"/>
  <c r="D24" i="3"/>
  <c r="D26" i="3"/>
  <c r="D25" i="3"/>
  <c r="D22" i="3"/>
  <c r="D21" i="3"/>
  <c r="D20" i="3"/>
  <c r="D19" i="3"/>
  <c r="D18" i="3"/>
  <c r="J8" i="3"/>
  <c r="H8" i="3"/>
  <c r="D17" i="3"/>
  <c r="D16" i="3"/>
  <c r="D15" i="3"/>
  <c r="D14" i="3"/>
  <c r="D13" i="3"/>
  <c r="J7" i="3"/>
  <c r="H7" i="3"/>
  <c r="D12" i="3"/>
  <c r="D10" i="3"/>
  <c r="J6" i="3"/>
  <c r="H6" i="3"/>
  <c r="D8" i="3"/>
  <c r="D7" i="3"/>
  <c r="D6" i="3"/>
</calcChain>
</file>

<file path=xl/sharedStrings.xml><?xml version="1.0" encoding="utf-8"?>
<sst xmlns="http://schemas.openxmlformats.org/spreadsheetml/2006/main" count="858" uniqueCount="243">
  <si>
    <t xml:space="preserve">DAFTAR NAMA KEPALA KELUARGA DESA SEMANDING </t>
  </si>
  <si>
    <t xml:space="preserve">No. </t>
  </si>
  <si>
    <t xml:space="preserve">No KK </t>
  </si>
  <si>
    <t xml:space="preserve">Nama Kepala Keluarga </t>
  </si>
  <si>
    <t>RT / RW</t>
  </si>
  <si>
    <t xml:space="preserve">Penghasilan </t>
  </si>
  <si>
    <t>Luas Rumah</t>
  </si>
  <si>
    <t xml:space="preserve">Status Kepemilikan Rumah </t>
  </si>
  <si>
    <t>ibu Hamil / menyusui</t>
  </si>
  <si>
    <t>lansia</t>
  </si>
  <si>
    <t>jenis dinding</t>
  </si>
  <si>
    <t xml:space="preserve">jenis lantai </t>
  </si>
  <si>
    <t>jenis atap</t>
  </si>
  <si>
    <t>MUHAMMAD ABIDIN</t>
  </si>
  <si>
    <t>01 / 05</t>
  </si>
  <si>
    <t>72 M2</t>
  </si>
  <si>
    <t>Milik Sendiri</t>
  </si>
  <si>
    <t xml:space="preserve">Tidak Ada </t>
  </si>
  <si>
    <t>Tidak Ada</t>
  </si>
  <si>
    <t>Tembok</t>
  </si>
  <si>
    <t>Keramik</t>
  </si>
  <si>
    <t>Genteng</t>
  </si>
  <si>
    <t>Sumber Air</t>
  </si>
  <si>
    <t>PDAM</t>
  </si>
  <si>
    <t>54 M2</t>
  </si>
  <si>
    <t>MULYONO</t>
  </si>
  <si>
    <t>jumlah tanggungan (Anak)</t>
  </si>
  <si>
    <t>CAMPUN</t>
  </si>
  <si>
    <t>SUNTONO</t>
  </si>
  <si>
    <t>55 M2</t>
  </si>
  <si>
    <t>56 M2</t>
  </si>
  <si>
    <t>Tidak ada</t>
  </si>
  <si>
    <t xml:space="preserve">DEDDY MUDHIATAMA </t>
  </si>
  <si>
    <t>IWAN SUGIYANTO</t>
  </si>
  <si>
    <t>90 M2</t>
  </si>
  <si>
    <t>MUNIR MUSTAQIM</t>
  </si>
  <si>
    <t>KASMINI</t>
  </si>
  <si>
    <t>MOKH YUSUF</t>
  </si>
  <si>
    <t>80 M2</t>
  </si>
  <si>
    <t>Menumpang</t>
  </si>
  <si>
    <t>TARNO</t>
  </si>
  <si>
    <t>MURSID</t>
  </si>
  <si>
    <t>Asbes / Seng</t>
  </si>
  <si>
    <t>Papan/ Kayu</t>
  </si>
  <si>
    <t>Semen</t>
  </si>
  <si>
    <t>ABDUL MAJID</t>
  </si>
  <si>
    <t>SUGENG WAHONO</t>
  </si>
  <si>
    <t>TAMIN</t>
  </si>
  <si>
    <t>48 M2</t>
  </si>
  <si>
    <t xml:space="preserve">ABDUH NAHLIAN </t>
  </si>
  <si>
    <t>TARMUDJI</t>
  </si>
  <si>
    <t>SUWANTHO</t>
  </si>
  <si>
    <t>32 M2</t>
  </si>
  <si>
    <t>Papan/Bambu</t>
  </si>
  <si>
    <t>KASIMO</t>
  </si>
  <si>
    <t>45 M2</t>
  </si>
  <si>
    <t>Papan / kayu</t>
  </si>
  <si>
    <t>KASMINAH</t>
  </si>
  <si>
    <t>DIDIK PRIANTO</t>
  </si>
  <si>
    <t>DASMIATI</t>
  </si>
  <si>
    <t>42 M2</t>
  </si>
  <si>
    <t>IMAM KHOIRI</t>
  </si>
  <si>
    <t>54M2</t>
  </si>
  <si>
    <t>LAMARI</t>
  </si>
  <si>
    <t>IMAM TOKO</t>
  </si>
  <si>
    <t>TUTIK</t>
  </si>
  <si>
    <t>40 M2</t>
  </si>
  <si>
    <t>RAKIJAH</t>
  </si>
  <si>
    <t>35 M2</t>
  </si>
  <si>
    <t>SARDI</t>
  </si>
  <si>
    <t>60 M2</t>
  </si>
  <si>
    <t>KASLIK</t>
  </si>
  <si>
    <t>TOTOK AGUSTARI</t>
  </si>
  <si>
    <t>WASIR</t>
  </si>
  <si>
    <t xml:space="preserve">SUDIRO </t>
  </si>
  <si>
    <t>Bambu</t>
  </si>
  <si>
    <t>Tanah</t>
  </si>
  <si>
    <t>SUYANTO</t>
  </si>
  <si>
    <t>24 M2</t>
  </si>
  <si>
    <t>SUWANDI</t>
  </si>
  <si>
    <t>52 M2</t>
  </si>
  <si>
    <t>Beton</t>
  </si>
  <si>
    <t>LIK DJOYO</t>
  </si>
  <si>
    <t>53 M2</t>
  </si>
  <si>
    <t>KARMADI</t>
  </si>
  <si>
    <t>50 M2</t>
  </si>
  <si>
    <t>WIBOWO SLAMET</t>
  </si>
  <si>
    <t>WINARTO</t>
  </si>
  <si>
    <t>HADI</t>
  </si>
  <si>
    <t>NGATOLAN</t>
  </si>
  <si>
    <t>KARSIYAH</t>
  </si>
  <si>
    <t>KARDIYONO</t>
  </si>
  <si>
    <t>LILIK</t>
  </si>
  <si>
    <t>81 M2</t>
  </si>
  <si>
    <t>LASRUN</t>
  </si>
  <si>
    <t xml:space="preserve">Kontrak </t>
  </si>
  <si>
    <t xml:space="preserve">M. NUR KHOLIS </t>
  </si>
  <si>
    <t>WARIYANTO</t>
  </si>
  <si>
    <t xml:space="preserve">02 / 05 </t>
  </si>
  <si>
    <t>Sumur</t>
  </si>
  <si>
    <t>SUJONO</t>
  </si>
  <si>
    <t>02 / 05</t>
  </si>
  <si>
    <t>SUMIJAH</t>
  </si>
  <si>
    <t>12 M2</t>
  </si>
  <si>
    <t>SUPRAPTO</t>
  </si>
  <si>
    <t>08 M2</t>
  </si>
  <si>
    <t>SUHARTONO</t>
  </si>
  <si>
    <t>SUGIYONO</t>
  </si>
  <si>
    <t>MARSILAN</t>
  </si>
  <si>
    <t>EDI PRIYO HADI K</t>
  </si>
  <si>
    <t xml:space="preserve">NURHAMID </t>
  </si>
  <si>
    <t>63 M2</t>
  </si>
  <si>
    <t>SUKARNO</t>
  </si>
  <si>
    <t>SAMIDAH</t>
  </si>
  <si>
    <t>MUNASIR</t>
  </si>
  <si>
    <t>PURWANTO</t>
  </si>
  <si>
    <t>PANLIK</t>
  </si>
  <si>
    <t>84 M2</t>
  </si>
  <si>
    <t>MACTIUS RICKY LEONALDO</t>
  </si>
  <si>
    <t>RT. 1 &amp; RT. 2 RW.05 KEC SEMANDING KAB TUBAN 2021</t>
  </si>
  <si>
    <t>PUJI PRASETYO</t>
  </si>
  <si>
    <t>100 M2</t>
  </si>
  <si>
    <t>TRI ABDUL AZIZ</t>
  </si>
  <si>
    <t>TOTOK PUJI WALUYO</t>
  </si>
  <si>
    <t>98 M2</t>
  </si>
  <si>
    <t>DEBBY TARUNA VIRGO</t>
  </si>
  <si>
    <t>120 M2</t>
  </si>
  <si>
    <t>YUDI WAHYU ARI</t>
  </si>
  <si>
    <t>DARMUJI</t>
  </si>
  <si>
    <t>BHAYU AJI LAKSMANA P.</t>
  </si>
  <si>
    <t xml:space="preserve">Keramik </t>
  </si>
  <si>
    <t>DAFTAR NO KK DESA SEMANDING RT 02 RW5</t>
  </si>
  <si>
    <t>No</t>
  </si>
  <si>
    <t>No KK</t>
  </si>
  <si>
    <t>3523151309090184</t>
  </si>
  <si>
    <t>JUATMUN</t>
  </si>
  <si>
    <t>Penghasilan</t>
  </si>
  <si>
    <t>3523152906120006</t>
  </si>
  <si>
    <t>YONO</t>
  </si>
  <si>
    <t>3523151403061499</t>
  </si>
  <si>
    <t>KARNADI</t>
  </si>
  <si>
    <t>Nama</t>
  </si>
  <si>
    <t>TARMUDO</t>
  </si>
  <si>
    <t xml:space="preserve">Daftar Nama yang berkerja lebih dari 1 orang dalam 1 KK </t>
  </si>
  <si>
    <t>3523151403061502</t>
  </si>
  <si>
    <t>SAKRUN</t>
  </si>
  <si>
    <t>3523151403061500</t>
  </si>
  <si>
    <t>3523151403061497</t>
  </si>
  <si>
    <t>SUKARDI</t>
  </si>
  <si>
    <t xml:space="preserve"> 2 / 5</t>
  </si>
  <si>
    <t>2 / 5</t>
  </si>
  <si>
    <t>3523151403061490</t>
  </si>
  <si>
    <t>WARJANI</t>
  </si>
  <si>
    <t>2/ 5</t>
  </si>
  <si>
    <t>SETYAWAN</t>
  </si>
  <si>
    <t>3523151008120009</t>
  </si>
  <si>
    <t>MOCHMMAD ISWANDI</t>
  </si>
  <si>
    <t>3523152110200008</t>
  </si>
  <si>
    <t>RUJU ALIP</t>
  </si>
  <si>
    <t>SUTARTI</t>
  </si>
  <si>
    <t>3523151403060759</t>
  </si>
  <si>
    <t>3523150508150003</t>
  </si>
  <si>
    <t>DIDIK PURNOMO</t>
  </si>
  <si>
    <t>3523151403060761</t>
  </si>
  <si>
    <t>GENDUT HARIYANTO</t>
  </si>
  <si>
    <t>M. INDRA SAPUTRA</t>
  </si>
  <si>
    <t>3523152007120012</t>
  </si>
  <si>
    <t>DHIQ PRIHADI</t>
  </si>
  <si>
    <t>3523152901190003</t>
  </si>
  <si>
    <t>SUTARSIH</t>
  </si>
  <si>
    <t>3523151409180003</t>
  </si>
  <si>
    <t>DWI PURWANTO</t>
  </si>
  <si>
    <t>3523151309090186</t>
  </si>
  <si>
    <t>DEDY MUDHIATAMA</t>
  </si>
  <si>
    <t>3523151309090178</t>
  </si>
  <si>
    <t>MAMPUANTO</t>
  </si>
  <si>
    <t>3523151503061503</t>
  </si>
  <si>
    <t>ASTRO DJOYO WARAS</t>
  </si>
  <si>
    <t>3523151403061467</t>
  </si>
  <si>
    <t>3523150311160031</t>
  </si>
  <si>
    <t>HENDRA PRAMANA TEGUH</t>
  </si>
  <si>
    <t>3523151309090126</t>
  </si>
  <si>
    <t>MOH. MAHKIN NAUFAL</t>
  </si>
  <si>
    <t xml:space="preserve">2 / 5 </t>
  </si>
  <si>
    <t>3523151403060779</t>
  </si>
  <si>
    <t>PATMI</t>
  </si>
  <si>
    <t>Tidak bekerja</t>
  </si>
  <si>
    <t>3523152111210007</t>
  </si>
  <si>
    <t>ARIF SULISTIONO</t>
  </si>
  <si>
    <t>3523153112090187</t>
  </si>
  <si>
    <t>SAMSI</t>
  </si>
  <si>
    <t>3523151403061463</t>
  </si>
  <si>
    <t>3523151403060769</t>
  </si>
  <si>
    <t>PUJI PRASTYO</t>
  </si>
  <si>
    <t>3523151005110001</t>
  </si>
  <si>
    <t>3523151403060778</t>
  </si>
  <si>
    <t>3523151403061462</t>
  </si>
  <si>
    <t xml:space="preserve"> 2/ 5</t>
  </si>
  <si>
    <t>3523151303180005</t>
  </si>
  <si>
    <t>MACTIUS RICKY L.</t>
  </si>
  <si>
    <t>3523151309090180</t>
  </si>
  <si>
    <t>3523151403061466</t>
  </si>
  <si>
    <t>3523151403061468</t>
  </si>
  <si>
    <t>3523151403060780</t>
  </si>
  <si>
    <t>3523150209200001</t>
  </si>
  <si>
    <t>NURHAMID</t>
  </si>
  <si>
    <t>3523153004190006</t>
  </si>
  <si>
    <t>3523151309090188</t>
  </si>
  <si>
    <t>3523152405190001</t>
  </si>
  <si>
    <t>3523151403060777</t>
  </si>
  <si>
    <t>3523151309090177</t>
  </si>
  <si>
    <t>DEBY TARUNA VIRGO</t>
  </si>
  <si>
    <t>'3523151403060771</t>
  </si>
  <si>
    <t>TITIK MUJIATI</t>
  </si>
  <si>
    <t>3523151309090182</t>
  </si>
  <si>
    <t>3523151403060776</t>
  </si>
  <si>
    <t>DASRIK</t>
  </si>
  <si>
    <t>3523152101140003</t>
  </si>
  <si>
    <t>WITAWIK NINGSIH</t>
  </si>
  <si>
    <t>3523152212160003</t>
  </si>
  <si>
    <t>SARTI</t>
  </si>
  <si>
    <t>3523151403063105</t>
  </si>
  <si>
    <t>SUMADI</t>
  </si>
  <si>
    <t>3523152207170003</t>
  </si>
  <si>
    <t>SOEWITO</t>
  </si>
  <si>
    <t>3523151403060757</t>
  </si>
  <si>
    <t>SUTARTO</t>
  </si>
  <si>
    <t>3523151403064641</t>
  </si>
  <si>
    <t>TARMUJI</t>
  </si>
  <si>
    <t>3523151309090179</t>
  </si>
  <si>
    <t>ADENAN</t>
  </si>
  <si>
    <t>3523151309090183</t>
  </si>
  <si>
    <t>JUNAEDI</t>
  </si>
  <si>
    <t>3523152310180005</t>
  </si>
  <si>
    <t>MARSINAH</t>
  </si>
  <si>
    <t>3523151403060766</t>
  </si>
  <si>
    <t>ANTON WAHYUDI</t>
  </si>
  <si>
    <t>3523151403060765</t>
  </si>
  <si>
    <t>SAMAD</t>
  </si>
  <si>
    <t>3523151403060763</t>
  </si>
  <si>
    <t>DARKUN</t>
  </si>
  <si>
    <t>3523151403060762</t>
  </si>
  <si>
    <t>M. SUEB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</si>
</sst>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&quot;Rp&quot;#,##0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8" xfId="0" quotePrefix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16" fontId="0" fillId="0" borderId="2" xfId="0" quotePrefix="1" applyNumberFormat="1" applyBorder="1" applyAlignment="1">
      <alignment horizontal="center" vertical="center"/>
    </xf>
    <xf numFmtId="3" fontId="0" fillId="0" borderId="8" xfId="0" applyNumberFormat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2" xfId="0" quotePrefix="1" applyBorder="1"/>
    <xf numFmtId="0" fontId="0" fillId="0" borderId="3" xfId="0" applyBorder="1"/>
    <xf numFmtId="0" fontId="0" fillId="0" borderId="6" xfId="0" applyBorder="1"/>
    <xf numFmtId="1" fontId="0" fillId="0" borderId="3" xfId="0" applyNumberFormat="1" applyBorder="1"/>
    <xf numFmtId="166" fontId="0" fillId="0" borderId="0" xfId="0" applyNumberFormat="1"/>
    <xf numFmtId="1" fontId="0" fillId="0" borderId="17" xfId="0" applyNumberFormat="1" applyBorder="1"/>
    <xf numFmtId="1" fontId="0" fillId="0" borderId="17" xfId="0" applyNumberFormat="1" applyBorder="1" applyAlignment="1">
      <alignment horizontal="right"/>
    </xf>
    <xf numFmtId="0" fontId="0" fillId="0" borderId="17" xfId="0" applyNumberFormat="1" applyBorder="1"/>
    <xf numFmtId="1" fontId="0" fillId="0" borderId="18" xfId="0" applyNumberFormat="1" applyBorder="1"/>
    <xf numFmtId="16" fontId="0" fillId="0" borderId="3" xfId="0" quotePrefix="1" applyNumberFormat="1" applyBorder="1"/>
    <xf numFmtId="0" fontId="0" fillId="0" borderId="3" xfId="0" quotePrefix="1" applyBorder="1"/>
    <xf numFmtId="0" fontId="0" fillId="0" borderId="5" xfId="0" quotePrefix="1" applyBorder="1"/>
    <xf numFmtId="0" fontId="0" fillId="0" borderId="6" xfId="0" quotePrefix="1" applyBorder="1"/>
    <xf numFmtId="0" fontId="0" fillId="3" borderId="13" xfId="0" applyFill="1" applyBorder="1"/>
    <xf numFmtId="0" fontId="0" fillId="3" borderId="14" xfId="0" applyFill="1" applyBorder="1"/>
    <xf numFmtId="0" fontId="0" fillId="3" borderId="16" xfId="0" applyFill="1" applyBorder="1"/>
    <xf numFmtId="0" fontId="0" fillId="3" borderId="15" xfId="0" applyFill="1" applyBorder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5D4C2-47A7-4A5E-8CDE-666C9EAA4666}">
  <dimension ref="A2:N116"/>
  <sheetViews>
    <sheetView tabSelected="1" topLeftCell="A13" workbookViewId="0">
      <selection activeCell="E22" sqref="E22"/>
    </sheetView>
  </sheetViews>
  <sheetFormatPr defaultRowHeight="14.5" x14ac:dyDescent="0.35"/>
  <cols>
    <col min="1" max="1" width="5.54296875" customWidth="1"/>
    <col min="2" max="2" width="5.1796875" customWidth="1"/>
    <col min="3" max="3" width="24.36328125" customWidth="1"/>
    <col min="4" max="4" width="11.81640625" customWidth="1"/>
    <col min="5" max="5" width="15.7265625" customWidth="1"/>
    <col min="6" max="14" width="12.1796875" customWidth="1"/>
  </cols>
  <sheetData>
    <row r="2" spans="1:14" ht="15.5" x14ac:dyDescent="0.35">
      <c r="A2" s="21" t="s">
        <v>0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</row>
    <row r="3" spans="1:14" ht="15.5" x14ac:dyDescent="0.35">
      <c r="A3" s="21" t="s">
        <v>119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</row>
    <row r="4" spans="1:14" ht="15" thickBot="1" x14ac:dyDescent="0.4"/>
    <row r="5" spans="1:14" ht="42" customHeight="1" thickTop="1" thickBot="1" x14ac:dyDescent="0.4">
      <c r="A5" s="17" t="s">
        <v>1</v>
      </c>
      <c r="B5" s="18" t="s">
        <v>2</v>
      </c>
      <c r="C5" s="19" t="s">
        <v>3</v>
      </c>
      <c r="D5" s="18" t="s">
        <v>4</v>
      </c>
      <c r="E5" s="18" t="s">
        <v>5</v>
      </c>
      <c r="F5" s="19" t="s">
        <v>6</v>
      </c>
      <c r="G5" s="19" t="s">
        <v>7</v>
      </c>
      <c r="H5" s="19" t="s">
        <v>22</v>
      </c>
      <c r="I5" s="19" t="s">
        <v>8</v>
      </c>
      <c r="J5" s="19" t="s">
        <v>9</v>
      </c>
      <c r="K5" s="19" t="s">
        <v>26</v>
      </c>
      <c r="L5" s="19" t="s">
        <v>10</v>
      </c>
      <c r="M5" s="19" t="s">
        <v>11</v>
      </c>
      <c r="N5" s="20" t="s">
        <v>12</v>
      </c>
    </row>
    <row r="6" spans="1:14" ht="16" customHeight="1" thickTop="1" x14ac:dyDescent="0.35">
      <c r="A6" s="5">
        <v>1</v>
      </c>
      <c r="B6" s="6"/>
      <c r="C6" s="6" t="s">
        <v>13</v>
      </c>
      <c r="D6" s="7" t="s">
        <v>14</v>
      </c>
      <c r="E6" s="16"/>
      <c r="F6" s="8" t="s">
        <v>15</v>
      </c>
      <c r="G6" s="8" t="s">
        <v>16</v>
      </c>
      <c r="H6" s="8" t="s">
        <v>23</v>
      </c>
      <c r="I6" s="8" t="s">
        <v>17</v>
      </c>
      <c r="J6" s="8" t="s">
        <v>18</v>
      </c>
      <c r="K6" s="8">
        <v>1</v>
      </c>
      <c r="L6" s="8" t="s">
        <v>19</v>
      </c>
      <c r="M6" s="8" t="s">
        <v>20</v>
      </c>
      <c r="N6" s="9" t="s">
        <v>21</v>
      </c>
    </row>
    <row r="7" spans="1:14" ht="16" customHeight="1" x14ac:dyDescent="0.35">
      <c r="A7" s="1">
        <v>2</v>
      </c>
      <c r="B7" s="2"/>
      <c r="C7" s="2" t="s">
        <v>25</v>
      </c>
      <c r="D7" s="14" t="s">
        <v>14</v>
      </c>
      <c r="E7" s="10"/>
      <c r="F7" s="10" t="s">
        <v>24</v>
      </c>
      <c r="G7" s="10" t="s">
        <v>16</v>
      </c>
      <c r="H7" s="10" t="s">
        <v>23</v>
      </c>
      <c r="I7" s="10" t="s">
        <v>17</v>
      </c>
      <c r="J7" s="10">
        <v>1</v>
      </c>
      <c r="K7" s="10" t="s">
        <v>18</v>
      </c>
      <c r="L7" s="10" t="s">
        <v>19</v>
      </c>
      <c r="M7" s="10" t="s">
        <v>20</v>
      </c>
      <c r="N7" s="11" t="s">
        <v>21</v>
      </c>
    </row>
    <row r="8" spans="1:14" ht="16" customHeight="1" x14ac:dyDescent="0.35">
      <c r="A8" s="5">
        <v>3</v>
      </c>
      <c r="B8" s="2"/>
      <c r="C8" s="2" t="s">
        <v>27</v>
      </c>
      <c r="D8" s="14" t="s">
        <v>14</v>
      </c>
      <c r="E8" s="10"/>
      <c r="F8" s="10" t="s">
        <v>24</v>
      </c>
      <c r="G8" s="10" t="s">
        <v>16</v>
      </c>
      <c r="H8" s="10" t="s">
        <v>23</v>
      </c>
      <c r="I8" s="10" t="s">
        <v>17</v>
      </c>
      <c r="J8" s="10" t="s">
        <v>18</v>
      </c>
      <c r="K8" s="10" t="s">
        <v>18</v>
      </c>
      <c r="L8" s="10" t="s">
        <v>19</v>
      </c>
      <c r="M8" s="10" t="s">
        <v>20</v>
      </c>
      <c r="N8" s="11" t="s">
        <v>21</v>
      </c>
    </row>
    <row r="9" spans="1:14" ht="16" customHeight="1" x14ac:dyDescent="0.35">
      <c r="A9" s="1">
        <v>4</v>
      </c>
      <c r="B9" s="2"/>
      <c r="C9" s="2" t="s">
        <v>28</v>
      </c>
      <c r="D9" s="14" t="s">
        <v>14</v>
      </c>
      <c r="E9" s="10"/>
      <c r="F9" s="10" t="s">
        <v>24</v>
      </c>
      <c r="G9" s="10" t="s">
        <v>16</v>
      </c>
      <c r="H9" s="10" t="s">
        <v>23</v>
      </c>
      <c r="I9" s="10" t="s">
        <v>17</v>
      </c>
      <c r="J9" s="10" t="s">
        <v>31</v>
      </c>
      <c r="K9" s="10">
        <v>1</v>
      </c>
      <c r="L9" s="10" t="s">
        <v>19</v>
      </c>
      <c r="M9" s="10" t="s">
        <v>20</v>
      </c>
      <c r="N9" s="11" t="s">
        <v>21</v>
      </c>
    </row>
    <row r="10" spans="1:14" ht="16" customHeight="1" x14ac:dyDescent="0.35">
      <c r="A10" s="5">
        <v>5</v>
      </c>
      <c r="B10" s="2"/>
      <c r="C10" s="2" t="s">
        <v>32</v>
      </c>
      <c r="D10" s="14" t="s">
        <v>14</v>
      </c>
      <c r="E10" s="10"/>
      <c r="F10" s="10" t="s">
        <v>34</v>
      </c>
      <c r="G10" s="10" t="s">
        <v>16</v>
      </c>
      <c r="H10" s="10" t="s">
        <v>23</v>
      </c>
      <c r="I10" s="10" t="s">
        <v>17</v>
      </c>
      <c r="J10" s="10" t="s">
        <v>18</v>
      </c>
      <c r="K10" s="10">
        <v>2</v>
      </c>
      <c r="L10" s="10" t="s">
        <v>19</v>
      </c>
      <c r="M10" s="10" t="s">
        <v>20</v>
      </c>
      <c r="N10" s="11" t="s">
        <v>21</v>
      </c>
    </row>
    <row r="11" spans="1:14" ht="16" customHeight="1" x14ac:dyDescent="0.35">
      <c r="A11" s="1">
        <v>6</v>
      </c>
      <c r="B11" s="2"/>
      <c r="C11" s="2" t="s">
        <v>33</v>
      </c>
      <c r="D11" s="14" t="s">
        <v>14</v>
      </c>
      <c r="E11" s="10"/>
      <c r="F11" s="10" t="s">
        <v>34</v>
      </c>
      <c r="G11" s="10" t="s">
        <v>16</v>
      </c>
      <c r="H11" s="10" t="s">
        <v>23</v>
      </c>
      <c r="I11" s="10" t="s">
        <v>18</v>
      </c>
      <c r="J11" s="10" t="s">
        <v>18</v>
      </c>
      <c r="K11" s="10">
        <v>1</v>
      </c>
      <c r="L11" s="10" t="s">
        <v>19</v>
      </c>
      <c r="M11" s="10" t="s">
        <v>20</v>
      </c>
      <c r="N11" s="11" t="s">
        <v>21</v>
      </c>
    </row>
    <row r="12" spans="1:14" ht="16" customHeight="1" x14ac:dyDescent="0.35">
      <c r="A12" s="5">
        <v>7</v>
      </c>
      <c r="B12" s="2"/>
      <c r="C12" s="2" t="s">
        <v>35</v>
      </c>
      <c r="D12" s="14" t="s">
        <v>14</v>
      </c>
      <c r="E12" s="10"/>
      <c r="F12" s="10" t="s">
        <v>34</v>
      </c>
      <c r="G12" s="10" t="s">
        <v>16</v>
      </c>
      <c r="H12" s="10" t="s">
        <v>23</v>
      </c>
      <c r="I12" s="10" t="s">
        <v>18</v>
      </c>
      <c r="J12" s="10">
        <v>1</v>
      </c>
      <c r="K12" s="10">
        <v>2</v>
      </c>
      <c r="L12" s="10" t="s">
        <v>19</v>
      </c>
      <c r="M12" s="10" t="s">
        <v>20</v>
      </c>
      <c r="N12" s="11" t="s">
        <v>21</v>
      </c>
    </row>
    <row r="13" spans="1:14" ht="16" customHeight="1" x14ac:dyDescent="0.35">
      <c r="A13" s="1">
        <v>8</v>
      </c>
      <c r="B13" s="2"/>
      <c r="C13" s="2" t="s">
        <v>36</v>
      </c>
      <c r="D13" s="15" t="s">
        <v>14</v>
      </c>
      <c r="E13" s="10"/>
      <c r="F13" s="10" t="s">
        <v>15</v>
      </c>
      <c r="G13" s="10" t="s">
        <v>16</v>
      </c>
      <c r="H13" s="10" t="s">
        <v>23</v>
      </c>
      <c r="I13" s="10" t="s">
        <v>18</v>
      </c>
      <c r="J13" s="10" t="s">
        <v>18</v>
      </c>
      <c r="K13" s="10">
        <v>1</v>
      </c>
      <c r="L13" s="10" t="s">
        <v>19</v>
      </c>
      <c r="M13" s="10" t="s">
        <v>20</v>
      </c>
      <c r="N13" s="11" t="s">
        <v>21</v>
      </c>
    </row>
    <row r="14" spans="1:14" ht="16" customHeight="1" x14ac:dyDescent="0.35">
      <c r="A14" s="1">
        <v>9</v>
      </c>
      <c r="B14" s="2"/>
      <c r="C14" s="2" t="s">
        <v>37</v>
      </c>
      <c r="D14" s="14" t="s">
        <v>14</v>
      </c>
      <c r="E14" s="10"/>
      <c r="F14" s="10" t="s">
        <v>38</v>
      </c>
      <c r="G14" s="10" t="s">
        <v>39</v>
      </c>
      <c r="H14" s="10" t="s">
        <v>23</v>
      </c>
      <c r="I14" s="10" t="s">
        <v>18</v>
      </c>
      <c r="J14" s="10" t="s">
        <v>18</v>
      </c>
      <c r="K14" s="10">
        <v>2</v>
      </c>
      <c r="L14" s="10" t="s">
        <v>19</v>
      </c>
      <c r="M14" s="10" t="s">
        <v>20</v>
      </c>
      <c r="N14" s="11" t="s">
        <v>21</v>
      </c>
    </row>
    <row r="15" spans="1:14" ht="16" customHeight="1" x14ac:dyDescent="0.35">
      <c r="A15" s="1">
        <v>10</v>
      </c>
      <c r="B15" s="2"/>
      <c r="C15" s="2" t="s">
        <v>40</v>
      </c>
      <c r="D15" s="15" t="s">
        <v>14</v>
      </c>
      <c r="E15" s="10"/>
      <c r="F15" s="10" t="s">
        <v>34</v>
      </c>
      <c r="G15" s="10" t="s">
        <v>16</v>
      </c>
      <c r="H15" s="10" t="s">
        <v>23</v>
      </c>
      <c r="I15" s="10" t="s">
        <v>18</v>
      </c>
      <c r="J15" s="10">
        <v>2</v>
      </c>
      <c r="K15" s="10">
        <v>1</v>
      </c>
      <c r="L15" s="10" t="s">
        <v>19</v>
      </c>
      <c r="M15" s="10" t="s">
        <v>20</v>
      </c>
      <c r="N15" s="11" t="s">
        <v>21</v>
      </c>
    </row>
    <row r="16" spans="1:14" ht="16" customHeight="1" x14ac:dyDescent="0.35">
      <c r="A16" s="1">
        <v>11</v>
      </c>
      <c r="B16" s="2"/>
      <c r="C16" s="2" t="s">
        <v>41</v>
      </c>
      <c r="D16" s="14" t="s">
        <v>14</v>
      </c>
      <c r="E16" s="10"/>
      <c r="F16" s="10" t="s">
        <v>30</v>
      </c>
      <c r="G16" s="10" t="s">
        <v>16</v>
      </c>
      <c r="H16" s="10" t="s">
        <v>23</v>
      </c>
      <c r="I16" s="10" t="s">
        <v>18</v>
      </c>
      <c r="J16" s="10">
        <v>2</v>
      </c>
      <c r="K16" s="10" t="s">
        <v>18</v>
      </c>
      <c r="L16" s="10" t="s">
        <v>43</v>
      </c>
      <c r="M16" s="10" t="s">
        <v>44</v>
      </c>
      <c r="N16" s="11" t="s">
        <v>42</v>
      </c>
    </row>
    <row r="17" spans="1:14" ht="16" customHeight="1" x14ac:dyDescent="0.35">
      <c r="A17" s="1">
        <v>12</v>
      </c>
      <c r="B17" s="2"/>
      <c r="C17" s="2" t="s">
        <v>45</v>
      </c>
      <c r="D17" s="14" t="s">
        <v>14</v>
      </c>
      <c r="E17" s="10"/>
      <c r="F17" s="10" t="s">
        <v>34</v>
      </c>
      <c r="G17" s="10" t="s">
        <v>16</v>
      </c>
      <c r="H17" s="10" t="s">
        <v>23</v>
      </c>
      <c r="I17" s="10" t="s">
        <v>18</v>
      </c>
      <c r="J17" s="10">
        <v>2</v>
      </c>
      <c r="K17" s="10" t="s">
        <v>18</v>
      </c>
      <c r="L17" s="10" t="s">
        <v>19</v>
      </c>
      <c r="M17" s="10" t="s">
        <v>20</v>
      </c>
      <c r="N17" s="11" t="s">
        <v>21</v>
      </c>
    </row>
    <row r="18" spans="1:14" ht="16" customHeight="1" x14ac:dyDescent="0.35">
      <c r="A18" s="1">
        <v>13</v>
      </c>
      <c r="B18" s="2"/>
      <c r="C18" s="2" t="s">
        <v>46</v>
      </c>
      <c r="D18" s="14" t="s">
        <v>14</v>
      </c>
      <c r="E18" s="10"/>
      <c r="F18" s="10" t="s">
        <v>34</v>
      </c>
      <c r="G18" s="10" t="s">
        <v>39</v>
      </c>
      <c r="H18" s="10" t="s">
        <v>23</v>
      </c>
      <c r="I18" s="10" t="s">
        <v>18</v>
      </c>
      <c r="J18" s="10" t="s">
        <v>18</v>
      </c>
      <c r="K18" s="10">
        <v>2</v>
      </c>
      <c r="L18" s="10" t="s">
        <v>19</v>
      </c>
      <c r="M18" s="10" t="s">
        <v>20</v>
      </c>
      <c r="N18" s="11" t="s">
        <v>21</v>
      </c>
    </row>
    <row r="19" spans="1:14" ht="16" customHeight="1" x14ac:dyDescent="0.35">
      <c r="A19" s="1">
        <v>14</v>
      </c>
      <c r="B19" s="2"/>
      <c r="C19" s="2" t="s">
        <v>47</v>
      </c>
      <c r="D19" s="14" t="s">
        <v>14</v>
      </c>
      <c r="E19" s="10"/>
      <c r="F19" s="10" t="s">
        <v>48</v>
      </c>
      <c r="G19" s="10" t="s">
        <v>16</v>
      </c>
      <c r="H19" s="10" t="s">
        <v>23</v>
      </c>
      <c r="I19" s="10" t="s">
        <v>18</v>
      </c>
      <c r="J19" s="10" t="s">
        <v>18</v>
      </c>
      <c r="K19" s="10">
        <v>1</v>
      </c>
      <c r="L19" s="10" t="s">
        <v>19</v>
      </c>
      <c r="M19" s="10" t="s">
        <v>44</v>
      </c>
      <c r="N19" s="11" t="s">
        <v>21</v>
      </c>
    </row>
    <row r="20" spans="1:14" ht="16" customHeight="1" x14ac:dyDescent="0.35">
      <c r="A20" s="1">
        <v>15</v>
      </c>
      <c r="B20" s="2"/>
      <c r="C20" s="2" t="s">
        <v>49</v>
      </c>
      <c r="D20" s="14" t="s">
        <v>14</v>
      </c>
      <c r="E20" s="10"/>
      <c r="F20" s="10" t="s">
        <v>48</v>
      </c>
      <c r="G20" s="10" t="s">
        <v>16</v>
      </c>
      <c r="H20" s="10" t="s">
        <v>23</v>
      </c>
      <c r="I20" s="10" t="s">
        <v>18</v>
      </c>
      <c r="J20" s="10" t="s">
        <v>18</v>
      </c>
      <c r="K20" s="10">
        <v>2</v>
      </c>
      <c r="L20" s="10" t="s">
        <v>19</v>
      </c>
      <c r="M20" s="10" t="s">
        <v>20</v>
      </c>
      <c r="N20" s="11" t="s">
        <v>21</v>
      </c>
    </row>
    <row r="21" spans="1:14" ht="16" customHeight="1" x14ac:dyDescent="0.35">
      <c r="A21" s="1">
        <v>16</v>
      </c>
      <c r="B21" s="2"/>
      <c r="C21" s="2" t="s">
        <v>50</v>
      </c>
      <c r="D21" s="14" t="s">
        <v>14</v>
      </c>
      <c r="E21" s="10"/>
      <c r="F21" s="10" t="s">
        <v>24</v>
      </c>
      <c r="G21" s="10" t="s">
        <v>16</v>
      </c>
      <c r="H21" s="10" t="s">
        <v>23</v>
      </c>
      <c r="I21" s="10" t="s">
        <v>18</v>
      </c>
      <c r="J21" s="10">
        <v>2</v>
      </c>
      <c r="K21" s="10" t="s">
        <v>18</v>
      </c>
      <c r="L21" s="10" t="s">
        <v>19</v>
      </c>
      <c r="M21" s="10" t="s">
        <v>20</v>
      </c>
      <c r="N21" s="11" t="s">
        <v>21</v>
      </c>
    </row>
    <row r="22" spans="1:14" ht="16" customHeight="1" x14ac:dyDescent="0.35">
      <c r="A22" s="1">
        <v>17</v>
      </c>
      <c r="B22" s="2"/>
      <c r="C22" s="2" t="s">
        <v>51</v>
      </c>
      <c r="D22" s="14" t="s">
        <v>14</v>
      </c>
      <c r="E22" s="10"/>
      <c r="F22" s="10" t="s">
        <v>52</v>
      </c>
      <c r="G22" s="10" t="s">
        <v>16</v>
      </c>
      <c r="H22" s="10" t="s">
        <v>23</v>
      </c>
      <c r="I22" s="10" t="s">
        <v>18</v>
      </c>
      <c r="J22" s="10" t="s">
        <v>18</v>
      </c>
      <c r="K22" s="10">
        <v>2</v>
      </c>
      <c r="L22" s="10" t="s">
        <v>53</v>
      </c>
      <c r="M22" s="10" t="s">
        <v>44</v>
      </c>
      <c r="N22" s="11" t="s">
        <v>21</v>
      </c>
    </row>
    <row r="23" spans="1:14" ht="16" customHeight="1" x14ac:dyDescent="0.35">
      <c r="A23" s="1">
        <v>18</v>
      </c>
      <c r="B23" s="2"/>
      <c r="C23" s="2" t="s">
        <v>54</v>
      </c>
      <c r="D23" s="14" t="s">
        <v>14</v>
      </c>
      <c r="E23" s="10"/>
      <c r="F23" s="10" t="s">
        <v>55</v>
      </c>
      <c r="G23" s="10" t="s">
        <v>16</v>
      </c>
      <c r="H23" s="10" t="s">
        <v>23</v>
      </c>
      <c r="I23" s="10" t="s">
        <v>18</v>
      </c>
      <c r="J23" s="10" t="s">
        <v>18</v>
      </c>
      <c r="K23" s="10">
        <v>2</v>
      </c>
      <c r="L23" s="10" t="s">
        <v>56</v>
      </c>
      <c r="M23" s="10" t="s">
        <v>44</v>
      </c>
      <c r="N23" s="11" t="s">
        <v>21</v>
      </c>
    </row>
    <row r="24" spans="1:14" ht="16" customHeight="1" x14ac:dyDescent="0.35">
      <c r="A24" s="1">
        <v>19</v>
      </c>
      <c r="B24" s="2"/>
      <c r="C24" s="2" t="s">
        <v>57</v>
      </c>
      <c r="D24" s="14" t="s">
        <v>14</v>
      </c>
      <c r="E24" s="10"/>
      <c r="F24" s="10" t="s">
        <v>30</v>
      </c>
      <c r="G24" s="10" t="s">
        <v>16</v>
      </c>
      <c r="H24" s="10" t="s">
        <v>23</v>
      </c>
      <c r="I24" s="10" t="s">
        <v>18</v>
      </c>
      <c r="J24" s="10">
        <v>1</v>
      </c>
      <c r="K24" s="10">
        <v>1</v>
      </c>
      <c r="L24" s="10" t="s">
        <v>19</v>
      </c>
      <c r="M24" s="10" t="s">
        <v>44</v>
      </c>
      <c r="N24" s="11" t="s">
        <v>21</v>
      </c>
    </row>
    <row r="25" spans="1:14" ht="16" customHeight="1" x14ac:dyDescent="0.35">
      <c r="A25" s="1">
        <v>20</v>
      </c>
      <c r="B25" s="2"/>
      <c r="C25" s="2" t="s">
        <v>58</v>
      </c>
      <c r="D25" s="14" t="s">
        <v>14</v>
      </c>
      <c r="E25" s="10"/>
      <c r="F25" s="10" t="s">
        <v>24</v>
      </c>
      <c r="G25" s="10" t="s">
        <v>16</v>
      </c>
      <c r="H25" s="10" t="s">
        <v>23</v>
      </c>
      <c r="I25" s="10" t="s">
        <v>18</v>
      </c>
      <c r="J25" s="10" t="s">
        <v>18</v>
      </c>
      <c r="K25" s="10">
        <v>1</v>
      </c>
      <c r="L25" s="10" t="s">
        <v>19</v>
      </c>
      <c r="M25" s="10" t="s">
        <v>44</v>
      </c>
      <c r="N25" s="11" t="s">
        <v>21</v>
      </c>
    </row>
    <row r="26" spans="1:14" ht="16" customHeight="1" x14ac:dyDescent="0.35">
      <c r="A26" s="1">
        <v>21</v>
      </c>
      <c r="B26" s="2"/>
      <c r="C26" s="2" t="s">
        <v>59</v>
      </c>
      <c r="D26" s="14" t="s">
        <v>14</v>
      </c>
      <c r="E26" s="10"/>
      <c r="F26" s="10" t="s">
        <v>60</v>
      </c>
      <c r="G26" s="10" t="s">
        <v>16</v>
      </c>
      <c r="H26" s="10" t="s">
        <v>23</v>
      </c>
      <c r="I26" s="10" t="s">
        <v>18</v>
      </c>
      <c r="J26" s="10">
        <v>1</v>
      </c>
      <c r="K26" s="10" t="s">
        <v>18</v>
      </c>
      <c r="L26" s="10" t="s">
        <v>19</v>
      </c>
      <c r="M26" s="10" t="s">
        <v>44</v>
      </c>
      <c r="N26" s="11" t="s">
        <v>21</v>
      </c>
    </row>
    <row r="27" spans="1:14" ht="16" customHeight="1" x14ac:dyDescent="0.35">
      <c r="A27" s="1">
        <v>22</v>
      </c>
      <c r="B27" s="2"/>
      <c r="C27" s="2" t="s">
        <v>61</v>
      </c>
      <c r="D27" s="14" t="s">
        <v>14</v>
      </c>
      <c r="E27" s="10"/>
      <c r="F27" s="10" t="s">
        <v>62</v>
      </c>
      <c r="G27" s="10" t="s">
        <v>16</v>
      </c>
      <c r="H27" s="10" t="s">
        <v>23</v>
      </c>
      <c r="I27" s="10" t="s">
        <v>18</v>
      </c>
      <c r="J27" s="10" t="s">
        <v>18</v>
      </c>
      <c r="K27" s="10">
        <v>3</v>
      </c>
      <c r="L27" s="10" t="s">
        <v>19</v>
      </c>
      <c r="M27" s="10" t="s">
        <v>20</v>
      </c>
      <c r="N27" s="11" t="s">
        <v>21</v>
      </c>
    </row>
    <row r="28" spans="1:14" ht="16" customHeight="1" x14ac:dyDescent="0.35">
      <c r="A28" s="1">
        <v>23</v>
      </c>
      <c r="B28" s="2"/>
      <c r="C28" s="2" t="s">
        <v>63</v>
      </c>
      <c r="D28" s="14" t="s">
        <v>14</v>
      </c>
      <c r="E28" s="10"/>
      <c r="F28" s="10" t="s">
        <v>24</v>
      </c>
      <c r="G28" s="10" t="s">
        <v>39</v>
      </c>
      <c r="H28" s="10" t="s">
        <v>23</v>
      </c>
      <c r="I28" s="10" t="s">
        <v>18</v>
      </c>
      <c r="J28" s="10">
        <v>1</v>
      </c>
      <c r="K28" s="10" t="s">
        <v>18</v>
      </c>
      <c r="L28" s="10" t="s">
        <v>19</v>
      </c>
      <c r="M28" s="10" t="s">
        <v>20</v>
      </c>
      <c r="N28" s="11" t="s">
        <v>21</v>
      </c>
    </row>
    <row r="29" spans="1:14" ht="16" customHeight="1" x14ac:dyDescent="0.35">
      <c r="A29" s="1">
        <v>24</v>
      </c>
      <c r="B29" s="2"/>
      <c r="C29" s="2" t="s">
        <v>64</v>
      </c>
      <c r="D29" s="14" t="s">
        <v>14</v>
      </c>
      <c r="E29" s="10"/>
      <c r="F29" s="10" t="s">
        <v>24</v>
      </c>
      <c r="G29" s="10" t="s">
        <v>16</v>
      </c>
      <c r="H29" s="10" t="s">
        <v>23</v>
      </c>
      <c r="I29" s="10" t="s">
        <v>18</v>
      </c>
      <c r="J29" s="10" t="s">
        <v>18</v>
      </c>
      <c r="K29" s="10">
        <v>2</v>
      </c>
      <c r="L29" s="10" t="s">
        <v>19</v>
      </c>
      <c r="M29" s="10" t="s">
        <v>20</v>
      </c>
      <c r="N29" s="11" t="s">
        <v>21</v>
      </c>
    </row>
    <row r="30" spans="1:14" ht="16" customHeight="1" x14ac:dyDescent="0.35">
      <c r="A30" s="1">
        <v>25</v>
      </c>
      <c r="B30" s="2"/>
      <c r="C30" s="2" t="s">
        <v>65</v>
      </c>
      <c r="D30" s="14" t="s">
        <v>14</v>
      </c>
      <c r="E30" s="10"/>
      <c r="F30" s="10" t="s">
        <v>66</v>
      </c>
      <c r="G30" s="10" t="s">
        <v>16</v>
      </c>
      <c r="H30" s="10" t="s">
        <v>23</v>
      </c>
      <c r="I30" s="10" t="s">
        <v>18</v>
      </c>
      <c r="J30" s="10" t="s">
        <v>18</v>
      </c>
      <c r="K30" s="10">
        <v>3</v>
      </c>
      <c r="L30" s="10" t="s">
        <v>19</v>
      </c>
      <c r="M30" s="10" t="s">
        <v>20</v>
      </c>
      <c r="N30" s="11" t="s">
        <v>21</v>
      </c>
    </row>
    <row r="31" spans="1:14" ht="16" customHeight="1" x14ac:dyDescent="0.35">
      <c r="A31" s="1">
        <v>26</v>
      </c>
      <c r="B31" s="2"/>
      <c r="C31" s="2" t="s">
        <v>67</v>
      </c>
      <c r="D31" s="14" t="s">
        <v>14</v>
      </c>
      <c r="E31" s="10"/>
      <c r="F31" s="10" t="s">
        <v>68</v>
      </c>
      <c r="G31" s="10" t="s">
        <v>16</v>
      </c>
      <c r="H31" s="10" t="s">
        <v>23</v>
      </c>
      <c r="I31" s="10" t="s">
        <v>18</v>
      </c>
      <c r="J31" s="10">
        <v>1</v>
      </c>
      <c r="K31" s="10" t="s">
        <v>18</v>
      </c>
      <c r="L31" s="10" t="s">
        <v>19</v>
      </c>
      <c r="M31" s="10" t="s">
        <v>44</v>
      </c>
      <c r="N31" s="11" t="s">
        <v>21</v>
      </c>
    </row>
    <row r="32" spans="1:14" ht="16" customHeight="1" x14ac:dyDescent="0.35">
      <c r="A32" s="1">
        <v>27</v>
      </c>
      <c r="B32" s="2"/>
      <c r="C32" s="2" t="s">
        <v>69</v>
      </c>
      <c r="D32" s="14" t="s">
        <v>14</v>
      </c>
      <c r="E32" s="10"/>
      <c r="F32" s="10" t="s">
        <v>70</v>
      </c>
      <c r="G32" s="10" t="s">
        <v>16</v>
      </c>
      <c r="H32" s="10" t="s">
        <v>23</v>
      </c>
      <c r="I32" s="10" t="s">
        <v>18</v>
      </c>
      <c r="J32" s="10">
        <v>2</v>
      </c>
      <c r="K32" s="10" t="s">
        <v>18</v>
      </c>
      <c r="L32" s="10" t="s">
        <v>19</v>
      </c>
      <c r="M32" s="10" t="s">
        <v>20</v>
      </c>
      <c r="N32" s="11" t="s">
        <v>21</v>
      </c>
    </row>
    <row r="33" spans="1:14" ht="16" customHeight="1" x14ac:dyDescent="0.35">
      <c r="A33" s="1">
        <v>28</v>
      </c>
      <c r="B33" s="2"/>
      <c r="C33" s="2" t="s">
        <v>71</v>
      </c>
      <c r="D33" s="14" t="s">
        <v>14</v>
      </c>
      <c r="E33" s="10"/>
      <c r="F33" s="10" t="s">
        <v>70</v>
      </c>
      <c r="G33" s="10" t="s">
        <v>39</v>
      </c>
      <c r="H33" s="10" t="s">
        <v>23</v>
      </c>
      <c r="I33" s="10" t="s">
        <v>18</v>
      </c>
      <c r="J33" s="10" t="s">
        <v>18</v>
      </c>
      <c r="K33" s="10">
        <v>3</v>
      </c>
      <c r="L33" s="10" t="s">
        <v>19</v>
      </c>
      <c r="M33" s="10" t="s">
        <v>20</v>
      </c>
      <c r="N33" s="11" t="s">
        <v>21</v>
      </c>
    </row>
    <row r="34" spans="1:14" ht="16" customHeight="1" x14ac:dyDescent="0.35">
      <c r="A34" s="1">
        <v>29</v>
      </c>
      <c r="B34" s="2"/>
      <c r="C34" s="2" t="s">
        <v>72</v>
      </c>
      <c r="D34" s="14" t="s">
        <v>14</v>
      </c>
      <c r="E34" s="10"/>
      <c r="F34" s="10" t="s">
        <v>70</v>
      </c>
      <c r="G34" s="10" t="s">
        <v>16</v>
      </c>
      <c r="H34" s="10" t="s">
        <v>23</v>
      </c>
      <c r="I34" s="10" t="s">
        <v>18</v>
      </c>
      <c r="J34" s="10" t="s">
        <v>18</v>
      </c>
      <c r="K34" s="10">
        <v>1</v>
      </c>
      <c r="L34" s="10" t="s">
        <v>19</v>
      </c>
      <c r="M34" s="10" t="s">
        <v>44</v>
      </c>
      <c r="N34" s="11" t="s">
        <v>21</v>
      </c>
    </row>
    <row r="35" spans="1:14" ht="16" customHeight="1" x14ac:dyDescent="0.35">
      <c r="A35" s="1">
        <v>30</v>
      </c>
      <c r="B35" s="2"/>
      <c r="C35" s="2" t="s">
        <v>73</v>
      </c>
      <c r="D35" s="14" t="s">
        <v>14</v>
      </c>
      <c r="E35" s="10"/>
      <c r="F35" s="10" t="s">
        <v>66</v>
      </c>
      <c r="G35" s="10" t="s">
        <v>16</v>
      </c>
      <c r="H35" s="10" t="s">
        <v>23</v>
      </c>
      <c r="I35" s="10" t="s">
        <v>18</v>
      </c>
      <c r="J35" s="10" t="s">
        <v>18</v>
      </c>
      <c r="K35" s="10">
        <v>1</v>
      </c>
      <c r="L35" s="10" t="s">
        <v>19</v>
      </c>
      <c r="M35" s="10" t="s">
        <v>20</v>
      </c>
      <c r="N35" s="11" t="s">
        <v>21</v>
      </c>
    </row>
    <row r="36" spans="1:14" ht="16" customHeight="1" x14ac:dyDescent="0.35">
      <c r="A36" s="1">
        <v>31</v>
      </c>
      <c r="B36" s="2"/>
      <c r="C36" s="2" t="s">
        <v>74</v>
      </c>
      <c r="D36" s="14" t="s">
        <v>14</v>
      </c>
      <c r="E36" s="10"/>
      <c r="F36" s="10" t="s">
        <v>48</v>
      </c>
      <c r="G36" s="10" t="s">
        <v>16</v>
      </c>
      <c r="H36" s="10" t="s">
        <v>23</v>
      </c>
      <c r="I36" s="10" t="s">
        <v>18</v>
      </c>
      <c r="J36" s="10">
        <v>2</v>
      </c>
      <c r="K36" s="10">
        <v>2</v>
      </c>
      <c r="L36" s="10" t="s">
        <v>75</v>
      </c>
      <c r="M36" s="10" t="s">
        <v>76</v>
      </c>
      <c r="N36" s="11" t="s">
        <v>21</v>
      </c>
    </row>
    <row r="37" spans="1:14" ht="16" customHeight="1" x14ac:dyDescent="0.35">
      <c r="A37" s="1">
        <v>32</v>
      </c>
      <c r="B37" s="2"/>
      <c r="C37" s="2" t="s">
        <v>77</v>
      </c>
      <c r="D37" s="14" t="s">
        <v>14</v>
      </c>
      <c r="E37" s="10"/>
      <c r="F37" s="10" t="s">
        <v>78</v>
      </c>
      <c r="G37" s="10" t="s">
        <v>16</v>
      </c>
      <c r="H37" s="10" t="s">
        <v>23</v>
      </c>
      <c r="I37" s="10" t="s">
        <v>18</v>
      </c>
      <c r="J37" s="10" t="s">
        <v>18</v>
      </c>
      <c r="K37" s="10">
        <v>1</v>
      </c>
      <c r="L37" s="10" t="s">
        <v>19</v>
      </c>
      <c r="M37" s="10" t="s">
        <v>44</v>
      </c>
      <c r="N37" s="11" t="s">
        <v>21</v>
      </c>
    </row>
    <row r="38" spans="1:14" ht="16" customHeight="1" x14ac:dyDescent="0.35">
      <c r="A38" s="1">
        <v>33</v>
      </c>
      <c r="B38" s="2"/>
      <c r="C38" s="2" t="s">
        <v>79</v>
      </c>
      <c r="D38" s="14" t="s">
        <v>14</v>
      </c>
      <c r="E38" s="10"/>
      <c r="F38" s="10" t="s">
        <v>80</v>
      </c>
      <c r="G38" s="10" t="s">
        <v>16</v>
      </c>
      <c r="H38" s="10" t="s">
        <v>23</v>
      </c>
      <c r="I38" s="10" t="s">
        <v>18</v>
      </c>
      <c r="J38" s="10" t="s">
        <v>18</v>
      </c>
      <c r="K38" s="10">
        <v>2</v>
      </c>
      <c r="L38" s="10" t="s">
        <v>19</v>
      </c>
      <c r="M38" s="10" t="s">
        <v>20</v>
      </c>
      <c r="N38" s="11" t="s">
        <v>81</v>
      </c>
    </row>
    <row r="39" spans="1:14" ht="16" customHeight="1" x14ac:dyDescent="0.35">
      <c r="A39" s="1">
        <v>34</v>
      </c>
      <c r="B39" s="2"/>
      <c r="C39" s="2" t="s">
        <v>82</v>
      </c>
      <c r="D39" s="14" t="s">
        <v>14</v>
      </c>
      <c r="E39" s="10"/>
      <c r="F39" s="10" t="s">
        <v>83</v>
      </c>
      <c r="G39" s="10" t="s">
        <v>39</v>
      </c>
      <c r="H39" s="10" t="s">
        <v>23</v>
      </c>
      <c r="I39" s="10" t="s">
        <v>18</v>
      </c>
      <c r="J39" s="10">
        <v>1</v>
      </c>
      <c r="K39" s="10" t="s">
        <v>18</v>
      </c>
      <c r="L39" s="10" t="s">
        <v>19</v>
      </c>
      <c r="M39" s="10" t="s">
        <v>20</v>
      </c>
      <c r="N39" s="11" t="s">
        <v>81</v>
      </c>
    </row>
    <row r="40" spans="1:14" ht="16" customHeight="1" x14ac:dyDescent="0.35">
      <c r="A40" s="1">
        <v>35</v>
      </c>
      <c r="B40" s="2"/>
      <c r="C40" s="2" t="s">
        <v>84</v>
      </c>
      <c r="D40" s="14" t="s">
        <v>14</v>
      </c>
      <c r="E40" s="10"/>
      <c r="F40" s="10" t="s">
        <v>85</v>
      </c>
      <c r="G40" s="10" t="s">
        <v>16</v>
      </c>
      <c r="H40" s="10" t="s">
        <v>23</v>
      </c>
      <c r="I40" s="10" t="s">
        <v>18</v>
      </c>
      <c r="J40" s="10">
        <v>2</v>
      </c>
      <c r="K40" s="10" t="s">
        <v>18</v>
      </c>
      <c r="L40" s="10" t="s">
        <v>19</v>
      </c>
      <c r="M40" s="10" t="s">
        <v>20</v>
      </c>
      <c r="N40" s="11" t="s">
        <v>21</v>
      </c>
    </row>
    <row r="41" spans="1:14" ht="16" customHeight="1" x14ac:dyDescent="0.35">
      <c r="A41" s="1">
        <v>36</v>
      </c>
      <c r="B41" s="2"/>
      <c r="C41" s="2" t="s">
        <v>86</v>
      </c>
      <c r="D41" s="14" t="s">
        <v>14</v>
      </c>
      <c r="E41" s="10"/>
      <c r="F41" s="10" t="s">
        <v>24</v>
      </c>
      <c r="G41" s="10" t="s">
        <v>16</v>
      </c>
      <c r="H41" s="10" t="s">
        <v>99</v>
      </c>
      <c r="I41" s="10" t="s">
        <v>18</v>
      </c>
      <c r="J41" s="10">
        <v>1</v>
      </c>
      <c r="K41" s="10" t="s">
        <v>18</v>
      </c>
      <c r="L41" s="10" t="s">
        <v>56</v>
      </c>
      <c r="M41" s="10" t="s">
        <v>76</v>
      </c>
      <c r="N41" s="11" t="s">
        <v>21</v>
      </c>
    </row>
    <row r="42" spans="1:14" ht="16" customHeight="1" x14ac:dyDescent="0.35">
      <c r="A42" s="1">
        <v>37</v>
      </c>
      <c r="B42" s="2"/>
      <c r="C42" s="2" t="s">
        <v>87</v>
      </c>
      <c r="D42" s="14" t="s">
        <v>14</v>
      </c>
      <c r="E42" s="10"/>
      <c r="F42" s="10" t="s">
        <v>24</v>
      </c>
      <c r="G42" s="10" t="s">
        <v>16</v>
      </c>
      <c r="H42" s="10" t="s">
        <v>23</v>
      </c>
      <c r="I42" s="10" t="s">
        <v>18</v>
      </c>
      <c r="J42" s="10" t="s">
        <v>18</v>
      </c>
      <c r="K42" s="10">
        <v>1</v>
      </c>
      <c r="L42" s="10" t="s">
        <v>19</v>
      </c>
      <c r="M42" s="10" t="s">
        <v>20</v>
      </c>
      <c r="N42" s="11" t="s">
        <v>21</v>
      </c>
    </row>
    <row r="43" spans="1:14" ht="16" customHeight="1" x14ac:dyDescent="0.35">
      <c r="A43" s="1">
        <v>38</v>
      </c>
      <c r="B43" s="2"/>
      <c r="C43" s="2" t="s">
        <v>88</v>
      </c>
      <c r="D43" s="14" t="s">
        <v>14</v>
      </c>
      <c r="E43" s="10"/>
      <c r="F43" s="10" t="s">
        <v>24</v>
      </c>
      <c r="G43" s="10" t="s">
        <v>16</v>
      </c>
      <c r="H43" s="10" t="s">
        <v>23</v>
      </c>
      <c r="I43" s="10" t="s">
        <v>18</v>
      </c>
      <c r="J43" s="10" t="s">
        <v>18</v>
      </c>
      <c r="K43" s="10">
        <v>2</v>
      </c>
      <c r="L43" s="10" t="s">
        <v>19</v>
      </c>
      <c r="M43" s="10" t="s">
        <v>20</v>
      </c>
      <c r="N43" s="11" t="s">
        <v>21</v>
      </c>
    </row>
    <row r="44" spans="1:14" ht="16" customHeight="1" x14ac:dyDescent="0.35">
      <c r="A44" s="1">
        <v>39</v>
      </c>
      <c r="B44" s="2"/>
      <c r="C44" s="2" t="s">
        <v>89</v>
      </c>
      <c r="D44" s="14" t="s">
        <v>14</v>
      </c>
      <c r="E44" s="10"/>
      <c r="F44" s="10" t="s">
        <v>29</v>
      </c>
      <c r="G44" s="10" t="s">
        <v>39</v>
      </c>
      <c r="H44" s="10" t="s">
        <v>23</v>
      </c>
      <c r="I44" s="10" t="s">
        <v>18</v>
      </c>
      <c r="J44" s="10">
        <v>2</v>
      </c>
      <c r="K44" s="10" t="s">
        <v>18</v>
      </c>
      <c r="L44" s="10" t="s">
        <v>19</v>
      </c>
      <c r="M44" s="10" t="s">
        <v>20</v>
      </c>
      <c r="N44" s="11" t="s">
        <v>21</v>
      </c>
    </row>
    <row r="45" spans="1:14" ht="16" customHeight="1" x14ac:dyDescent="0.35">
      <c r="A45" s="1">
        <v>40</v>
      </c>
      <c r="B45" s="2"/>
      <c r="C45" s="2" t="s">
        <v>90</v>
      </c>
      <c r="D45" s="14" t="s">
        <v>14</v>
      </c>
      <c r="E45" s="10"/>
      <c r="F45" s="10" t="s">
        <v>80</v>
      </c>
      <c r="G45" s="10" t="s">
        <v>16</v>
      </c>
      <c r="H45" s="10" t="s">
        <v>23</v>
      </c>
      <c r="I45" s="10" t="s">
        <v>31</v>
      </c>
      <c r="J45" s="10">
        <v>1</v>
      </c>
      <c r="K45" s="10" t="s">
        <v>18</v>
      </c>
      <c r="L45" s="10" t="s">
        <v>19</v>
      </c>
      <c r="M45" s="10" t="s">
        <v>20</v>
      </c>
      <c r="N45" s="11" t="s">
        <v>21</v>
      </c>
    </row>
    <row r="46" spans="1:14" ht="16" customHeight="1" x14ac:dyDescent="0.35">
      <c r="A46" s="1">
        <v>41</v>
      </c>
      <c r="B46" s="2"/>
      <c r="C46" s="2" t="s">
        <v>91</v>
      </c>
      <c r="D46" s="14" t="s">
        <v>14</v>
      </c>
      <c r="E46" s="10"/>
      <c r="F46" s="10" t="s">
        <v>80</v>
      </c>
      <c r="G46" s="10" t="s">
        <v>39</v>
      </c>
      <c r="H46" s="10" t="s">
        <v>23</v>
      </c>
      <c r="I46" s="10" t="s">
        <v>31</v>
      </c>
      <c r="J46" s="10" t="s">
        <v>18</v>
      </c>
      <c r="K46" s="10">
        <v>2</v>
      </c>
      <c r="L46" s="10" t="s">
        <v>19</v>
      </c>
      <c r="M46" s="10" t="s">
        <v>20</v>
      </c>
      <c r="N46" s="11" t="s">
        <v>21</v>
      </c>
    </row>
    <row r="47" spans="1:14" ht="16" customHeight="1" x14ac:dyDescent="0.35">
      <c r="A47" s="1">
        <v>42</v>
      </c>
      <c r="B47" s="2"/>
      <c r="C47" s="2" t="s">
        <v>92</v>
      </c>
      <c r="D47" s="14" t="s">
        <v>14</v>
      </c>
      <c r="E47" s="10"/>
      <c r="F47" s="10" t="s">
        <v>93</v>
      </c>
      <c r="G47" s="10" t="s">
        <v>16</v>
      </c>
      <c r="H47" s="10" t="s">
        <v>23</v>
      </c>
      <c r="I47" s="10" t="s">
        <v>18</v>
      </c>
      <c r="J47" s="10">
        <v>1</v>
      </c>
      <c r="K47" s="10">
        <v>1</v>
      </c>
      <c r="L47" s="10" t="s">
        <v>19</v>
      </c>
      <c r="M47" s="10" t="s">
        <v>20</v>
      </c>
      <c r="N47" s="11" t="s">
        <v>21</v>
      </c>
    </row>
    <row r="48" spans="1:14" ht="16" customHeight="1" x14ac:dyDescent="0.35">
      <c r="A48" s="1">
        <v>43</v>
      </c>
      <c r="B48" s="2"/>
      <c r="C48" s="2" t="s">
        <v>94</v>
      </c>
      <c r="D48" s="14" t="s">
        <v>14</v>
      </c>
      <c r="E48" s="10"/>
      <c r="F48" s="10" t="s">
        <v>55</v>
      </c>
      <c r="G48" s="10" t="s">
        <v>95</v>
      </c>
      <c r="H48" s="10" t="s">
        <v>23</v>
      </c>
      <c r="I48" s="10" t="s">
        <v>31</v>
      </c>
      <c r="J48" s="10">
        <v>1</v>
      </c>
      <c r="K48" s="10" t="s">
        <v>18</v>
      </c>
      <c r="L48" s="10" t="s">
        <v>19</v>
      </c>
      <c r="M48" s="10" t="s">
        <v>20</v>
      </c>
      <c r="N48" s="11" t="s">
        <v>21</v>
      </c>
    </row>
    <row r="49" spans="1:14" ht="16" customHeight="1" x14ac:dyDescent="0.35">
      <c r="A49" s="1">
        <v>44</v>
      </c>
      <c r="B49" s="2"/>
      <c r="C49" s="2" t="s">
        <v>96</v>
      </c>
      <c r="D49" s="14" t="s">
        <v>14</v>
      </c>
      <c r="E49" s="10"/>
      <c r="F49" s="10" t="s">
        <v>55</v>
      </c>
      <c r="G49" s="10" t="s">
        <v>95</v>
      </c>
      <c r="H49" s="10" t="s">
        <v>23</v>
      </c>
      <c r="I49" s="10" t="s">
        <v>18</v>
      </c>
      <c r="J49" s="10" t="s">
        <v>18</v>
      </c>
      <c r="K49" s="10">
        <v>1</v>
      </c>
      <c r="L49" s="10" t="s">
        <v>19</v>
      </c>
      <c r="M49" s="10" t="s">
        <v>20</v>
      </c>
      <c r="N49" s="11" t="s">
        <v>21</v>
      </c>
    </row>
    <row r="50" spans="1:14" ht="16" customHeight="1" x14ac:dyDescent="0.35">
      <c r="A50" s="1">
        <v>45</v>
      </c>
      <c r="B50" s="2"/>
      <c r="C50" s="2" t="s">
        <v>97</v>
      </c>
      <c r="D50" s="14" t="s">
        <v>98</v>
      </c>
      <c r="E50" s="10"/>
      <c r="F50" s="10" t="s">
        <v>93</v>
      </c>
      <c r="G50" s="10" t="s">
        <v>16</v>
      </c>
      <c r="H50" s="10" t="s">
        <v>23</v>
      </c>
      <c r="I50" s="10" t="s">
        <v>17</v>
      </c>
      <c r="J50" s="10">
        <v>1</v>
      </c>
      <c r="K50" s="10">
        <v>2</v>
      </c>
      <c r="L50" s="10" t="s">
        <v>56</v>
      </c>
      <c r="M50" s="10" t="s">
        <v>20</v>
      </c>
      <c r="N50" s="11" t="s">
        <v>21</v>
      </c>
    </row>
    <row r="51" spans="1:14" ht="16" customHeight="1" x14ac:dyDescent="0.35">
      <c r="A51" s="1">
        <v>46</v>
      </c>
      <c r="B51" s="2"/>
      <c r="C51" s="2" t="s">
        <v>100</v>
      </c>
      <c r="D51" s="14" t="s">
        <v>101</v>
      </c>
      <c r="E51" s="10"/>
      <c r="F51" s="10" t="s">
        <v>24</v>
      </c>
      <c r="G51" s="10" t="s">
        <v>16</v>
      </c>
      <c r="H51" s="10" t="s">
        <v>23</v>
      </c>
      <c r="I51" s="10" t="s">
        <v>18</v>
      </c>
      <c r="J51" s="10" t="s">
        <v>18</v>
      </c>
      <c r="K51" s="10" t="s">
        <v>18</v>
      </c>
      <c r="L51" s="10" t="s">
        <v>19</v>
      </c>
      <c r="M51" s="10" t="s">
        <v>20</v>
      </c>
      <c r="N51" s="11" t="s">
        <v>21</v>
      </c>
    </row>
    <row r="52" spans="1:14" ht="16" customHeight="1" x14ac:dyDescent="0.35">
      <c r="A52" s="1">
        <v>47</v>
      </c>
      <c r="B52" s="2"/>
      <c r="C52" s="2" t="s">
        <v>102</v>
      </c>
      <c r="D52" s="14" t="s">
        <v>101</v>
      </c>
      <c r="E52" s="10"/>
      <c r="F52" s="10" t="s">
        <v>103</v>
      </c>
      <c r="G52" s="10" t="s">
        <v>16</v>
      </c>
      <c r="H52" s="10" t="s">
        <v>23</v>
      </c>
      <c r="I52" s="10" t="s">
        <v>18</v>
      </c>
      <c r="J52" s="10">
        <v>1</v>
      </c>
      <c r="K52" s="10" t="s">
        <v>18</v>
      </c>
      <c r="L52" s="10" t="s">
        <v>56</v>
      </c>
      <c r="M52" s="10" t="s">
        <v>76</v>
      </c>
      <c r="N52" s="11" t="s">
        <v>21</v>
      </c>
    </row>
    <row r="53" spans="1:14" ht="16" customHeight="1" x14ac:dyDescent="0.35">
      <c r="A53" s="1">
        <v>48</v>
      </c>
      <c r="B53" s="2"/>
      <c r="C53" s="2" t="s">
        <v>104</v>
      </c>
      <c r="D53" s="14" t="s">
        <v>101</v>
      </c>
      <c r="E53" s="10"/>
      <c r="F53" s="10" t="s">
        <v>105</v>
      </c>
      <c r="G53" s="10" t="s">
        <v>16</v>
      </c>
      <c r="H53" s="10" t="s">
        <v>23</v>
      </c>
      <c r="I53" s="10" t="s">
        <v>18</v>
      </c>
      <c r="J53" s="10">
        <v>1</v>
      </c>
      <c r="K53" s="10" t="s">
        <v>18</v>
      </c>
      <c r="L53" s="10" t="s">
        <v>19</v>
      </c>
      <c r="M53" s="10" t="s">
        <v>20</v>
      </c>
      <c r="N53" s="11" t="s">
        <v>21</v>
      </c>
    </row>
    <row r="54" spans="1:14" ht="16" customHeight="1" x14ac:dyDescent="0.35">
      <c r="A54" s="1">
        <v>49</v>
      </c>
      <c r="B54" s="2"/>
      <c r="C54" s="2" t="s">
        <v>106</v>
      </c>
      <c r="D54" s="14" t="s">
        <v>101</v>
      </c>
      <c r="E54" s="10"/>
      <c r="F54" s="10" t="s">
        <v>105</v>
      </c>
      <c r="G54" s="10" t="s">
        <v>39</v>
      </c>
      <c r="H54" s="10" t="s">
        <v>23</v>
      </c>
      <c r="I54" s="10" t="s">
        <v>18</v>
      </c>
      <c r="J54" s="10" t="s">
        <v>18</v>
      </c>
      <c r="K54" s="10">
        <v>2</v>
      </c>
      <c r="L54" s="10" t="s">
        <v>19</v>
      </c>
      <c r="M54" s="10" t="s">
        <v>20</v>
      </c>
      <c r="N54" s="11" t="s">
        <v>21</v>
      </c>
    </row>
    <row r="55" spans="1:14" ht="16" customHeight="1" x14ac:dyDescent="0.35">
      <c r="A55" s="1">
        <v>50</v>
      </c>
      <c r="B55" s="2"/>
      <c r="C55" s="2" t="s">
        <v>107</v>
      </c>
      <c r="D55" s="14" t="s">
        <v>98</v>
      </c>
      <c r="E55" s="10"/>
      <c r="F55" s="10" t="s">
        <v>15</v>
      </c>
      <c r="G55" s="10" t="s">
        <v>16</v>
      </c>
      <c r="H55" s="10" t="s">
        <v>23</v>
      </c>
      <c r="I55" s="10" t="s">
        <v>18</v>
      </c>
      <c r="J55" s="10" t="s">
        <v>18</v>
      </c>
      <c r="K55" s="10">
        <v>2</v>
      </c>
      <c r="L55" s="10" t="s">
        <v>19</v>
      </c>
      <c r="M55" s="10" t="s">
        <v>20</v>
      </c>
      <c r="N55" s="11" t="s">
        <v>21</v>
      </c>
    </row>
    <row r="56" spans="1:14" ht="16" customHeight="1" x14ac:dyDescent="0.35">
      <c r="A56" s="1">
        <v>51</v>
      </c>
      <c r="B56" s="2"/>
      <c r="C56" s="2" t="s">
        <v>108</v>
      </c>
      <c r="D56" s="14" t="s">
        <v>98</v>
      </c>
      <c r="E56" s="10"/>
      <c r="F56" s="10" t="s">
        <v>15</v>
      </c>
      <c r="G56" s="10" t="s">
        <v>16</v>
      </c>
      <c r="H56" s="10" t="s">
        <v>23</v>
      </c>
      <c r="I56" s="10" t="s">
        <v>18</v>
      </c>
      <c r="J56" s="10">
        <v>2</v>
      </c>
      <c r="K56" s="10" t="s">
        <v>18</v>
      </c>
      <c r="L56" s="10" t="s">
        <v>19</v>
      </c>
      <c r="M56" s="10" t="s">
        <v>20</v>
      </c>
      <c r="N56" s="11" t="s">
        <v>21</v>
      </c>
    </row>
    <row r="57" spans="1:14" ht="16" customHeight="1" x14ac:dyDescent="0.35">
      <c r="A57" s="1">
        <v>52</v>
      </c>
      <c r="B57" s="2"/>
      <c r="C57" s="2" t="s">
        <v>109</v>
      </c>
      <c r="D57" s="14" t="s">
        <v>101</v>
      </c>
      <c r="E57" s="10"/>
      <c r="F57" s="10" t="s">
        <v>15</v>
      </c>
      <c r="G57" s="10" t="s">
        <v>39</v>
      </c>
      <c r="H57" s="10" t="s">
        <v>23</v>
      </c>
      <c r="I57" s="10" t="s">
        <v>18</v>
      </c>
      <c r="J57" s="10" t="s">
        <v>18</v>
      </c>
      <c r="K57" s="10">
        <v>1</v>
      </c>
      <c r="L57" s="10" t="s">
        <v>19</v>
      </c>
      <c r="M57" s="10" t="s">
        <v>20</v>
      </c>
      <c r="N57" s="11" t="s">
        <v>21</v>
      </c>
    </row>
    <row r="58" spans="1:14" ht="16" customHeight="1" x14ac:dyDescent="0.35">
      <c r="A58" s="1">
        <v>53</v>
      </c>
      <c r="B58" s="2"/>
      <c r="C58" s="2" t="s">
        <v>110</v>
      </c>
      <c r="D58" s="14" t="s">
        <v>101</v>
      </c>
      <c r="E58" s="10"/>
      <c r="F58" s="10" t="s">
        <v>111</v>
      </c>
      <c r="G58" s="10" t="s">
        <v>16</v>
      </c>
      <c r="H58" s="10" t="s">
        <v>23</v>
      </c>
      <c r="I58" s="10" t="s">
        <v>17</v>
      </c>
      <c r="J58" s="10" t="s">
        <v>18</v>
      </c>
      <c r="K58" s="10">
        <v>1</v>
      </c>
      <c r="L58" s="10" t="s">
        <v>19</v>
      </c>
      <c r="M58" s="10" t="s">
        <v>20</v>
      </c>
      <c r="N58" s="11" t="s">
        <v>21</v>
      </c>
    </row>
    <row r="59" spans="1:14" ht="16" customHeight="1" x14ac:dyDescent="0.35">
      <c r="A59" s="1">
        <v>54</v>
      </c>
      <c r="B59" s="2"/>
      <c r="C59" s="2" t="s">
        <v>112</v>
      </c>
      <c r="D59" s="14" t="s">
        <v>98</v>
      </c>
      <c r="E59" s="10"/>
      <c r="F59" s="10" t="s">
        <v>111</v>
      </c>
      <c r="G59" s="10" t="s">
        <v>16</v>
      </c>
      <c r="H59" s="10" t="s">
        <v>23</v>
      </c>
      <c r="I59" s="10" t="s">
        <v>18</v>
      </c>
      <c r="J59" s="10" t="s">
        <v>18</v>
      </c>
      <c r="K59" s="10">
        <v>1</v>
      </c>
      <c r="L59" s="10" t="s">
        <v>19</v>
      </c>
      <c r="M59" s="10" t="s">
        <v>20</v>
      </c>
      <c r="N59" s="11" t="s">
        <v>21</v>
      </c>
    </row>
    <row r="60" spans="1:14" ht="16" customHeight="1" x14ac:dyDescent="0.35">
      <c r="A60" s="1">
        <v>55</v>
      </c>
      <c r="B60" s="2"/>
      <c r="C60" s="2" t="s">
        <v>113</v>
      </c>
      <c r="D60" s="14" t="s">
        <v>98</v>
      </c>
      <c r="E60" s="10"/>
      <c r="F60" s="10" t="s">
        <v>52</v>
      </c>
      <c r="G60" s="10" t="s">
        <v>16</v>
      </c>
      <c r="H60" s="10" t="s">
        <v>23</v>
      </c>
      <c r="I60" s="10" t="s">
        <v>18</v>
      </c>
      <c r="J60" s="10">
        <v>1</v>
      </c>
      <c r="K60" s="10" t="s">
        <v>18</v>
      </c>
      <c r="L60" s="10" t="s">
        <v>19</v>
      </c>
      <c r="M60" s="10" t="s">
        <v>20</v>
      </c>
      <c r="N60" s="11" t="s">
        <v>21</v>
      </c>
    </row>
    <row r="61" spans="1:14" ht="16" customHeight="1" x14ac:dyDescent="0.35">
      <c r="A61" s="1">
        <v>56</v>
      </c>
      <c r="B61" s="2"/>
      <c r="C61" s="2" t="s">
        <v>114</v>
      </c>
      <c r="D61" s="14" t="s">
        <v>98</v>
      </c>
      <c r="E61" s="10"/>
      <c r="F61" s="10" t="s">
        <v>24</v>
      </c>
      <c r="G61" s="10" t="s">
        <v>16</v>
      </c>
      <c r="H61" s="10" t="s">
        <v>23</v>
      </c>
      <c r="I61" s="10" t="s">
        <v>17</v>
      </c>
      <c r="J61" s="10" t="s">
        <v>18</v>
      </c>
      <c r="K61" s="10">
        <v>3</v>
      </c>
      <c r="L61" s="10" t="s">
        <v>56</v>
      </c>
      <c r="M61" s="10" t="s">
        <v>76</v>
      </c>
      <c r="N61" s="11" t="s">
        <v>21</v>
      </c>
    </row>
    <row r="62" spans="1:14" ht="16" customHeight="1" x14ac:dyDescent="0.35">
      <c r="A62" s="1">
        <v>57</v>
      </c>
      <c r="B62" s="2"/>
      <c r="C62" s="2" t="s">
        <v>115</v>
      </c>
      <c r="D62" s="14" t="s">
        <v>98</v>
      </c>
      <c r="E62" s="10"/>
      <c r="F62" s="10" t="s">
        <v>24</v>
      </c>
      <c r="G62" s="10" t="s">
        <v>16</v>
      </c>
      <c r="H62" s="10" t="s">
        <v>23</v>
      </c>
      <c r="I62" s="10" t="s">
        <v>18</v>
      </c>
      <c r="J62" s="10" t="s">
        <v>18</v>
      </c>
      <c r="K62" s="10">
        <v>2</v>
      </c>
      <c r="L62" s="10" t="s">
        <v>19</v>
      </c>
      <c r="M62" s="10" t="s">
        <v>44</v>
      </c>
      <c r="N62" s="11" t="s">
        <v>21</v>
      </c>
    </row>
    <row r="63" spans="1:14" ht="16" customHeight="1" x14ac:dyDescent="0.35">
      <c r="A63" s="1">
        <v>58</v>
      </c>
      <c r="B63" s="2"/>
      <c r="C63" s="2" t="s">
        <v>116</v>
      </c>
      <c r="D63" s="14" t="s">
        <v>98</v>
      </c>
      <c r="E63" s="10"/>
      <c r="F63" s="10" t="s">
        <v>117</v>
      </c>
      <c r="G63" s="10" t="s">
        <v>16</v>
      </c>
      <c r="H63" s="10" t="s">
        <v>23</v>
      </c>
      <c r="I63" s="10" t="s">
        <v>18</v>
      </c>
      <c r="J63" s="10" t="s">
        <v>18</v>
      </c>
      <c r="K63" s="10">
        <v>1</v>
      </c>
      <c r="L63" s="10" t="s">
        <v>19</v>
      </c>
      <c r="M63" s="10" t="s">
        <v>20</v>
      </c>
      <c r="N63" s="11" t="s">
        <v>21</v>
      </c>
    </row>
    <row r="64" spans="1:14" ht="16" customHeight="1" x14ac:dyDescent="0.35">
      <c r="A64" s="1">
        <v>59</v>
      </c>
      <c r="B64" s="2"/>
      <c r="C64" s="2" t="s">
        <v>118</v>
      </c>
      <c r="D64" s="14" t="s">
        <v>101</v>
      </c>
      <c r="E64" s="10"/>
      <c r="F64" s="10" t="s">
        <v>24</v>
      </c>
      <c r="G64" s="10" t="s">
        <v>16</v>
      </c>
      <c r="H64" s="10" t="s">
        <v>23</v>
      </c>
      <c r="I64" s="10" t="s">
        <v>18</v>
      </c>
      <c r="J64" s="10" t="s">
        <v>18</v>
      </c>
      <c r="K64" s="10">
        <v>2</v>
      </c>
      <c r="L64" s="10" t="s">
        <v>19</v>
      </c>
      <c r="M64" s="10" t="s">
        <v>20</v>
      </c>
      <c r="N64" s="11" t="s">
        <v>21</v>
      </c>
    </row>
    <row r="65" spans="1:14" ht="16" customHeight="1" x14ac:dyDescent="0.35">
      <c r="A65" s="1">
        <v>60</v>
      </c>
      <c r="B65" s="2"/>
      <c r="C65" s="2" t="s">
        <v>120</v>
      </c>
      <c r="D65" s="14" t="s">
        <v>98</v>
      </c>
      <c r="E65" s="10"/>
      <c r="F65" s="10" t="s">
        <v>121</v>
      </c>
      <c r="G65" s="10" t="s">
        <v>16</v>
      </c>
      <c r="H65" s="10" t="s">
        <v>23</v>
      </c>
      <c r="I65" s="10" t="s">
        <v>18</v>
      </c>
      <c r="J65" s="10" t="s">
        <v>18</v>
      </c>
      <c r="K65" s="10">
        <v>1</v>
      </c>
      <c r="L65" s="10" t="s">
        <v>19</v>
      </c>
      <c r="M65" s="10" t="s">
        <v>20</v>
      </c>
      <c r="N65" s="11" t="s">
        <v>21</v>
      </c>
    </row>
    <row r="66" spans="1:14" ht="16" customHeight="1" x14ac:dyDescent="0.35">
      <c r="A66" s="1">
        <v>61</v>
      </c>
      <c r="B66" s="2"/>
      <c r="C66" s="2" t="s">
        <v>122</v>
      </c>
      <c r="D66" s="14" t="s">
        <v>98</v>
      </c>
      <c r="E66" s="10"/>
      <c r="F66" s="10" t="s">
        <v>121</v>
      </c>
      <c r="G66" s="10" t="s">
        <v>39</v>
      </c>
      <c r="H66" s="10" t="s">
        <v>23</v>
      </c>
      <c r="I66" s="10" t="s">
        <v>18</v>
      </c>
      <c r="J66" s="10" t="s">
        <v>18</v>
      </c>
      <c r="K66" s="10">
        <v>1</v>
      </c>
      <c r="L66" s="10" t="s">
        <v>19</v>
      </c>
      <c r="M66" s="10" t="s">
        <v>20</v>
      </c>
      <c r="N66" s="11" t="s">
        <v>21</v>
      </c>
    </row>
    <row r="67" spans="1:14" ht="16" customHeight="1" x14ac:dyDescent="0.35">
      <c r="A67" s="1">
        <v>62</v>
      </c>
      <c r="B67" s="2"/>
      <c r="C67" s="2" t="s">
        <v>123</v>
      </c>
      <c r="D67" s="14" t="s">
        <v>101</v>
      </c>
      <c r="E67" s="10"/>
      <c r="F67" s="10" t="s">
        <v>124</v>
      </c>
      <c r="G67" s="10" t="s">
        <v>16</v>
      </c>
      <c r="H67" s="10" t="s">
        <v>23</v>
      </c>
      <c r="I67" s="10" t="s">
        <v>18</v>
      </c>
      <c r="J67" s="10">
        <v>1</v>
      </c>
      <c r="K67" s="10" t="s">
        <v>18</v>
      </c>
      <c r="L67" s="10" t="s">
        <v>19</v>
      </c>
      <c r="M67" s="10" t="s">
        <v>20</v>
      </c>
      <c r="N67" s="11" t="s">
        <v>21</v>
      </c>
    </row>
    <row r="68" spans="1:14" ht="16" customHeight="1" x14ac:dyDescent="0.35">
      <c r="A68" s="1">
        <v>63</v>
      </c>
      <c r="B68" s="2"/>
      <c r="C68" s="2" t="s">
        <v>125</v>
      </c>
      <c r="D68" s="14" t="s">
        <v>98</v>
      </c>
      <c r="E68" s="10"/>
      <c r="F68" s="10" t="s">
        <v>126</v>
      </c>
      <c r="G68" s="10" t="s">
        <v>16</v>
      </c>
      <c r="H68" s="10" t="s">
        <v>23</v>
      </c>
      <c r="I68" s="10" t="s">
        <v>18</v>
      </c>
      <c r="J68" s="10" t="s">
        <v>18</v>
      </c>
      <c r="K68" s="10">
        <v>2</v>
      </c>
      <c r="L68" s="10" t="s">
        <v>19</v>
      </c>
      <c r="M68" s="10" t="s">
        <v>20</v>
      </c>
      <c r="N68" s="11" t="s">
        <v>21</v>
      </c>
    </row>
    <row r="69" spans="1:14" ht="16" customHeight="1" x14ac:dyDescent="0.35">
      <c r="A69" s="1">
        <v>64</v>
      </c>
      <c r="B69" s="2"/>
      <c r="C69" s="2" t="s">
        <v>127</v>
      </c>
      <c r="D69" s="14" t="s">
        <v>98</v>
      </c>
      <c r="E69" s="10"/>
      <c r="F69" s="10" t="s">
        <v>15</v>
      </c>
      <c r="G69" s="10" t="s">
        <v>16</v>
      </c>
      <c r="H69" s="10" t="s">
        <v>23</v>
      </c>
      <c r="I69" s="10" t="s">
        <v>18</v>
      </c>
      <c r="J69" s="10" t="s">
        <v>18</v>
      </c>
      <c r="K69" s="10">
        <v>2</v>
      </c>
      <c r="L69" s="10" t="s">
        <v>19</v>
      </c>
      <c r="M69" s="10" t="s">
        <v>20</v>
      </c>
      <c r="N69" s="11" t="s">
        <v>21</v>
      </c>
    </row>
    <row r="70" spans="1:14" ht="16" customHeight="1" x14ac:dyDescent="0.35">
      <c r="A70" s="1">
        <v>65</v>
      </c>
      <c r="B70" s="2"/>
      <c r="C70" s="2" t="s">
        <v>128</v>
      </c>
      <c r="D70" s="14" t="s">
        <v>98</v>
      </c>
      <c r="E70" s="10"/>
      <c r="F70" s="10" t="s">
        <v>48</v>
      </c>
      <c r="G70" s="10" t="s">
        <v>16</v>
      </c>
      <c r="H70" s="10" t="s">
        <v>23</v>
      </c>
      <c r="I70" s="10" t="s">
        <v>18</v>
      </c>
      <c r="J70" s="10" t="s">
        <v>18</v>
      </c>
      <c r="K70" s="10" t="s">
        <v>18</v>
      </c>
      <c r="L70" s="10" t="s">
        <v>19</v>
      </c>
      <c r="M70" s="10" t="s">
        <v>20</v>
      </c>
      <c r="N70" s="11" t="s">
        <v>21</v>
      </c>
    </row>
    <row r="71" spans="1:14" ht="16" customHeight="1" x14ac:dyDescent="0.35">
      <c r="A71" s="1">
        <v>66</v>
      </c>
      <c r="B71" s="2"/>
      <c r="C71" s="2" t="s">
        <v>129</v>
      </c>
      <c r="D71" s="14" t="s">
        <v>98</v>
      </c>
      <c r="E71" s="10"/>
      <c r="F71" s="10" t="s">
        <v>117</v>
      </c>
      <c r="G71" s="10" t="s">
        <v>16</v>
      </c>
      <c r="H71" s="10" t="s">
        <v>23</v>
      </c>
      <c r="I71" s="10" t="s">
        <v>18</v>
      </c>
      <c r="J71" s="10" t="s">
        <v>18</v>
      </c>
      <c r="K71" s="10" t="s">
        <v>18</v>
      </c>
      <c r="L71" s="10" t="s">
        <v>19</v>
      </c>
      <c r="M71" s="10" t="s">
        <v>130</v>
      </c>
      <c r="N71" s="11" t="s">
        <v>21</v>
      </c>
    </row>
    <row r="72" spans="1:14" ht="16" customHeight="1" x14ac:dyDescent="0.35">
      <c r="A72" s="1">
        <v>67</v>
      </c>
      <c r="B72" s="2"/>
      <c r="C72" s="2"/>
      <c r="D72" s="14"/>
      <c r="E72" s="10"/>
      <c r="F72" s="10"/>
      <c r="G72" s="10"/>
      <c r="H72" s="10"/>
      <c r="I72" s="10"/>
      <c r="J72" s="10"/>
      <c r="K72" s="10"/>
      <c r="L72" s="10"/>
      <c r="M72" s="10"/>
      <c r="N72" s="11"/>
    </row>
    <row r="73" spans="1:14" ht="16" customHeight="1" x14ac:dyDescent="0.35">
      <c r="A73" s="1">
        <v>68</v>
      </c>
      <c r="B73" s="2"/>
      <c r="C73" s="2"/>
      <c r="D73" s="14"/>
      <c r="E73" s="10"/>
      <c r="F73" s="10"/>
      <c r="G73" s="10"/>
      <c r="H73" s="10"/>
      <c r="I73" s="10"/>
      <c r="J73" s="10"/>
      <c r="K73" s="10"/>
      <c r="L73" s="10"/>
      <c r="M73" s="10"/>
      <c r="N73" s="11"/>
    </row>
    <row r="74" spans="1:14" ht="16" customHeight="1" x14ac:dyDescent="0.35">
      <c r="A74" s="1">
        <v>69</v>
      </c>
      <c r="B74" s="2"/>
      <c r="C74" s="2"/>
      <c r="D74" s="14"/>
      <c r="E74" s="10"/>
      <c r="F74" s="10"/>
      <c r="G74" s="10"/>
      <c r="H74" s="10"/>
      <c r="I74" s="10"/>
      <c r="J74" s="10"/>
      <c r="K74" s="10"/>
      <c r="L74" s="10"/>
      <c r="M74" s="10"/>
      <c r="N74" s="11"/>
    </row>
    <row r="75" spans="1:14" ht="16" customHeight="1" x14ac:dyDescent="0.35">
      <c r="A75" s="1">
        <v>70</v>
      </c>
      <c r="B75" s="2"/>
      <c r="C75" s="2"/>
      <c r="D75" s="14"/>
      <c r="E75" s="10"/>
      <c r="F75" s="10"/>
      <c r="G75" s="10"/>
      <c r="H75" s="10"/>
      <c r="I75" s="10"/>
      <c r="J75" s="10"/>
      <c r="K75" s="10"/>
      <c r="L75" s="10"/>
      <c r="M75" s="10"/>
      <c r="N75" s="11"/>
    </row>
    <row r="76" spans="1:14" ht="16" customHeight="1" x14ac:dyDescent="0.35">
      <c r="A76" s="1">
        <v>71</v>
      </c>
      <c r="B76" s="2"/>
      <c r="C76" s="2"/>
      <c r="D76" s="14"/>
      <c r="E76" s="10"/>
      <c r="F76" s="10"/>
      <c r="G76" s="10"/>
      <c r="H76" s="10"/>
      <c r="I76" s="10"/>
      <c r="J76" s="10"/>
      <c r="K76" s="10"/>
      <c r="L76" s="10"/>
      <c r="M76" s="10"/>
      <c r="N76" s="11"/>
    </row>
    <row r="77" spans="1:14" ht="16" customHeight="1" x14ac:dyDescent="0.35">
      <c r="A77" s="1">
        <v>72</v>
      </c>
      <c r="B77" s="2"/>
      <c r="C77" s="2"/>
      <c r="D77" s="14"/>
      <c r="E77" s="10"/>
      <c r="F77" s="10"/>
      <c r="G77" s="10"/>
      <c r="H77" s="10"/>
      <c r="I77" s="10"/>
      <c r="J77" s="10"/>
      <c r="K77" s="10"/>
      <c r="L77" s="10"/>
      <c r="M77" s="10"/>
      <c r="N77" s="11"/>
    </row>
    <row r="78" spans="1:14" ht="16" customHeight="1" x14ac:dyDescent="0.35">
      <c r="A78" s="1">
        <v>73</v>
      </c>
      <c r="B78" s="2"/>
      <c r="C78" s="2"/>
      <c r="D78" s="14"/>
      <c r="E78" s="10"/>
      <c r="F78" s="10"/>
      <c r="G78" s="10"/>
      <c r="H78" s="10"/>
      <c r="I78" s="10"/>
      <c r="J78" s="10"/>
      <c r="K78" s="10"/>
      <c r="L78" s="10"/>
      <c r="M78" s="10"/>
      <c r="N78" s="11"/>
    </row>
    <row r="79" spans="1:14" ht="16" customHeight="1" x14ac:dyDescent="0.35">
      <c r="A79" s="1">
        <v>74</v>
      </c>
      <c r="B79" s="2"/>
      <c r="C79" s="2"/>
      <c r="D79" s="14"/>
      <c r="E79" s="10"/>
      <c r="F79" s="10"/>
      <c r="G79" s="10"/>
      <c r="H79" s="10"/>
      <c r="I79" s="10"/>
      <c r="J79" s="10"/>
      <c r="K79" s="10"/>
      <c r="L79" s="10"/>
      <c r="M79" s="10"/>
      <c r="N79" s="11"/>
    </row>
    <row r="80" spans="1:14" ht="16" customHeight="1" x14ac:dyDescent="0.35">
      <c r="A80" s="1">
        <v>75</v>
      </c>
      <c r="B80" s="2"/>
      <c r="C80" s="2"/>
      <c r="D80" s="14"/>
      <c r="E80" s="10"/>
      <c r="F80" s="10"/>
      <c r="G80" s="10"/>
      <c r="H80" s="10"/>
      <c r="I80" s="10"/>
      <c r="J80" s="10"/>
      <c r="K80" s="10"/>
      <c r="L80" s="10"/>
      <c r="M80" s="10"/>
      <c r="N80" s="11"/>
    </row>
    <row r="81" spans="1:14" ht="16" customHeight="1" x14ac:dyDescent="0.35">
      <c r="A81" s="1">
        <v>76</v>
      </c>
      <c r="B81" s="2"/>
      <c r="C81" s="2"/>
      <c r="D81" s="14"/>
      <c r="E81" s="10"/>
      <c r="F81" s="10"/>
      <c r="G81" s="10"/>
      <c r="H81" s="10"/>
      <c r="I81" s="10"/>
      <c r="J81" s="10"/>
      <c r="K81" s="10"/>
      <c r="L81" s="10"/>
      <c r="M81" s="10"/>
      <c r="N81" s="11"/>
    </row>
    <row r="82" spans="1:14" ht="16" customHeight="1" x14ac:dyDescent="0.35">
      <c r="A82" s="1">
        <v>77</v>
      </c>
      <c r="B82" s="2"/>
      <c r="C82" s="2"/>
      <c r="D82" s="14"/>
      <c r="E82" s="10"/>
      <c r="F82" s="10"/>
      <c r="G82" s="10"/>
      <c r="H82" s="10"/>
      <c r="I82" s="10"/>
      <c r="J82" s="10"/>
      <c r="K82" s="10"/>
      <c r="L82" s="10"/>
      <c r="M82" s="10"/>
      <c r="N82" s="11"/>
    </row>
    <row r="83" spans="1:14" ht="16" customHeight="1" x14ac:dyDescent="0.35">
      <c r="A83" s="1">
        <v>78</v>
      </c>
      <c r="B83" s="2"/>
      <c r="C83" s="2"/>
      <c r="D83" s="14"/>
      <c r="E83" s="10"/>
      <c r="F83" s="10"/>
      <c r="G83" s="10"/>
      <c r="H83" s="10"/>
      <c r="I83" s="10"/>
      <c r="J83" s="10"/>
      <c r="K83" s="10"/>
      <c r="L83" s="10"/>
      <c r="M83" s="10"/>
      <c r="N83" s="11"/>
    </row>
    <row r="84" spans="1:14" ht="16" customHeight="1" x14ac:dyDescent="0.35">
      <c r="A84" s="1">
        <v>79</v>
      </c>
      <c r="B84" s="2"/>
      <c r="C84" s="2"/>
      <c r="D84" s="14"/>
      <c r="E84" s="10"/>
      <c r="F84" s="10"/>
      <c r="G84" s="10"/>
      <c r="H84" s="10"/>
      <c r="I84" s="10"/>
      <c r="J84" s="10"/>
      <c r="K84" s="10"/>
      <c r="L84" s="10"/>
      <c r="M84" s="10"/>
      <c r="N84" s="11"/>
    </row>
    <row r="85" spans="1:14" ht="16" customHeight="1" x14ac:dyDescent="0.35">
      <c r="A85" s="1">
        <v>80</v>
      </c>
      <c r="B85" s="2"/>
      <c r="C85" s="2"/>
      <c r="D85" s="14"/>
      <c r="E85" s="10"/>
      <c r="F85" s="10"/>
      <c r="G85" s="10"/>
      <c r="H85" s="10"/>
      <c r="I85" s="10"/>
      <c r="J85" s="10"/>
      <c r="K85" s="10"/>
      <c r="L85" s="10"/>
      <c r="M85" s="10"/>
      <c r="N85" s="11"/>
    </row>
    <row r="86" spans="1:14" ht="16" customHeight="1" x14ac:dyDescent="0.35">
      <c r="A86" s="1">
        <v>81</v>
      </c>
      <c r="B86" s="2"/>
      <c r="C86" s="2"/>
      <c r="D86" s="14"/>
      <c r="E86" s="10"/>
      <c r="F86" s="10"/>
      <c r="G86" s="10"/>
      <c r="H86" s="10"/>
      <c r="I86" s="10"/>
      <c r="J86" s="10"/>
      <c r="K86" s="10"/>
      <c r="L86" s="10"/>
      <c r="M86" s="10"/>
      <c r="N86" s="11"/>
    </row>
    <row r="87" spans="1:14" ht="16" customHeight="1" x14ac:dyDescent="0.35">
      <c r="A87" s="1">
        <v>82</v>
      </c>
      <c r="B87" s="2"/>
      <c r="C87" s="2"/>
      <c r="D87" s="14"/>
      <c r="E87" s="10"/>
      <c r="F87" s="10"/>
      <c r="G87" s="10"/>
      <c r="H87" s="10"/>
      <c r="I87" s="10"/>
      <c r="J87" s="10"/>
      <c r="K87" s="10"/>
      <c r="L87" s="10"/>
      <c r="M87" s="10"/>
      <c r="N87" s="11"/>
    </row>
    <row r="88" spans="1:14" ht="16" customHeight="1" x14ac:dyDescent="0.35">
      <c r="A88" s="1">
        <v>83</v>
      </c>
      <c r="B88" s="2"/>
      <c r="C88" s="2"/>
      <c r="D88" s="14"/>
      <c r="E88" s="10"/>
      <c r="F88" s="10"/>
      <c r="G88" s="10"/>
      <c r="H88" s="10"/>
      <c r="I88" s="10"/>
      <c r="J88" s="10"/>
      <c r="K88" s="10"/>
      <c r="L88" s="10"/>
      <c r="M88" s="10"/>
      <c r="N88" s="11"/>
    </row>
    <row r="89" spans="1:14" ht="16" customHeight="1" x14ac:dyDescent="0.35">
      <c r="A89" s="1">
        <v>84</v>
      </c>
      <c r="B89" s="2"/>
      <c r="C89" s="2"/>
      <c r="D89" s="14"/>
      <c r="E89" s="10"/>
      <c r="F89" s="10"/>
      <c r="G89" s="10"/>
      <c r="H89" s="10"/>
      <c r="I89" s="10"/>
      <c r="J89" s="10"/>
      <c r="K89" s="10"/>
      <c r="L89" s="10"/>
      <c r="M89" s="10"/>
      <c r="N89" s="11"/>
    </row>
    <row r="90" spans="1:14" ht="16" customHeight="1" x14ac:dyDescent="0.35">
      <c r="A90" s="1">
        <v>85</v>
      </c>
      <c r="B90" s="2"/>
      <c r="C90" s="2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1"/>
    </row>
    <row r="91" spans="1:14" ht="16" customHeight="1" x14ac:dyDescent="0.35">
      <c r="A91" s="1">
        <v>86</v>
      </c>
      <c r="B91" s="2"/>
      <c r="C91" s="2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1"/>
    </row>
    <row r="92" spans="1:14" ht="16" customHeight="1" x14ac:dyDescent="0.35">
      <c r="A92" s="1">
        <v>87</v>
      </c>
      <c r="B92" s="2"/>
      <c r="C92" s="2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1"/>
    </row>
    <row r="93" spans="1:14" ht="16" customHeight="1" x14ac:dyDescent="0.35">
      <c r="A93" s="1">
        <v>88</v>
      </c>
      <c r="B93" s="2"/>
      <c r="C93" s="2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1"/>
    </row>
    <row r="94" spans="1:14" ht="16" customHeight="1" x14ac:dyDescent="0.35">
      <c r="A94" s="1">
        <v>89</v>
      </c>
      <c r="B94" s="2"/>
      <c r="C94" s="2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1"/>
    </row>
    <row r="95" spans="1:14" ht="16" customHeight="1" x14ac:dyDescent="0.35">
      <c r="A95" s="1">
        <v>90</v>
      </c>
      <c r="B95" s="2"/>
      <c r="C95" s="2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1"/>
    </row>
    <row r="96" spans="1:14" ht="16" customHeight="1" x14ac:dyDescent="0.35">
      <c r="A96" s="1">
        <v>91</v>
      </c>
      <c r="B96" s="2"/>
      <c r="C96" s="2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1"/>
    </row>
    <row r="97" spans="1:14" ht="16" customHeight="1" x14ac:dyDescent="0.35">
      <c r="A97" s="1">
        <v>92</v>
      </c>
      <c r="B97" s="2"/>
      <c r="C97" s="2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1"/>
    </row>
    <row r="98" spans="1:14" ht="16" customHeight="1" x14ac:dyDescent="0.35">
      <c r="A98" s="1">
        <v>93</v>
      </c>
      <c r="B98" s="2"/>
      <c r="C98" s="2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1"/>
    </row>
    <row r="99" spans="1:14" ht="16" customHeight="1" x14ac:dyDescent="0.35">
      <c r="A99" s="1">
        <v>94</v>
      </c>
      <c r="B99" s="2"/>
      <c r="C99" s="2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1"/>
    </row>
    <row r="100" spans="1:14" ht="16" customHeight="1" x14ac:dyDescent="0.35">
      <c r="A100" s="1">
        <v>95</v>
      </c>
      <c r="B100" s="2"/>
      <c r="C100" s="2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1"/>
    </row>
    <row r="101" spans="1:14" ht="16" customHeight="1" x14ac:dyDescent="0.35">
      <c r="A101" s="1">
        <v>96</v>
      </c>
      <c r="B101" s="2"/>
      <c r="C101" s="2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1"/>
    </row>
    <row r="102" spans="1:14" ht="16" customHeight="1" x14ac:dyDescent="0.35">
      <c r="A102" s="1">
        <v>97</v>
      </c>
      <c r="B102" s="2"/>
      <c r="C102" s="2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1"/>
    </row>
    <row r="103" spans="1:14" ht="16" customHeight="1" x14ac:dyDescent="0.35">
      <c r="A103" s="1">
        <v>98</v>
      </c>
      <c r="B103" s="2"/>
      <c r="C103" s="2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1"/>
    </row>
    <row r="104" spans="1:14" ht="16" customHeight="1" x14ac:dyDescent="0.35">
      <c r="A104" s="1">
        <v>99</v>
      </c>
      <c r="B104" s="2"/>
      <c r="C104" s="2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1"/>
    </row>
    <row r="105" spans="1:14" ht="16" customHeight="1" x14ac:dyDescent="0.35">
      <c r="A105" s="1"/>
      <c r="B105" s="2"/>
      <c r="C105" s="2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1"/>
    </row>
    <row r="106" spans="1:14" ht="16" customHeight="1" x14ac:dyDescent="0.35">
      <c r="A106" s="1"/>
      <c r="B106" s="2"/>
      <c r="C106" s="2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1"/>
    </row>
    <row r="107" spans="1:14" ht="16" customHeight="1" x14ac:dyDescent="0.35">
      <c r="A107" s="1"/>
      <c r="B107" s="2"/>
      <c r="C107" s="2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1"/>
    </row>
    <row r="108" spans="1:14" ht="16" customHeight="1" x14ac:dyDescent="0.35">
      <c r="A108" s="1"/>
      <c r="B108" s="2"/>
      <c r="C108" s="2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1"/>
    </row>
    <row r="109" spans="1:14" ht="16" customHeight="1" thickBot="1" x14ac:dyDescent="0.4">
      <c r="A109" s="3"/>
      <c r="B109" s="4"/>
      <c r="C109" s="4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3"/>
    </row>
    <row r="110" spans="1:14" ht="16" customHeight="1" thickTop="1" x14ac:dyDescent="0.35"/>
    <row r="111" spans="1:14" ht="16" customHeight="1" x14ac:dyDescent="0.35"/>
    <row r="112" spans="1:14" ht="16" customHeight="1" x14ac:dyDescent="0.35"/>
    <row r="113" ht="16" customHeight="1" x14ac:dyDescent="0.35"/>
    <row r="114" ht="16" customHeight="1" x14ac:dyDescent="0.35"/>
    <row r="115" ht="16" customHeight="1" x14ac:dyDescent="0.35"/>
    <row r="116" ht="16" customHeight="1" x14ac:dyDescent="0.35"/>
  </sheetData>
  <mergeCells count="2">
    <mergeCell ref="A2:N2"/>
    <mergeCell ref="A3:N3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2ADD6-DF4B-47D1-A8F6-34B9B56E53E6}">
  <dimension ref="A3:J62"/>
  <sheetViews>
    <sheetView workbookViewId="0">
      <selection activeCell="H12" sqref="H12"/>
    </sheetView>
  </sheetViews>
  <sheetFormatPr defaultRowHeight="14.5" x14ac:dyDescent="0.35"/>
  <cols>
    <col min="2" max="2" width="17.90625" customWidth="1"/>
    <col min="3" max="3" width="24.08984375" customWidth="1"/>
    <col min="4" max="4" width="12.453125" customWidth="1"/>
    <col min="6" max="6" width="9.54296875" bestFit="1" customWidth="1"/>
    <col min="8" max="8" width="18.26953125" customWidth="1"/>
    <col min="9" max="9" width="17.08984375" customWidth="1"/>
    <col min="10" max="10" width="14.7265625" customWidth="1"/>
  </cols>
  <sheetData>
    <row r="3" spans="1:10" x14ac:dyDescent="0.35">
      <c r="A3" s="39" t="s">
        <v>131</v>
      </c>
      <c r="B3" s="39"/>
      <c r="C3" s="39"/>
      <c r="D3" s="39"/>
      <c r="E3" s="39"/>
      <c r="H3" s="40" t="s">
        <v>143</v>
      </c>
    </row>
    <row r="4" spans="1:10" ht="15" thickBot="1" x14ac:dyDescent="0.4"/>
    <row r="5" spans="1:10" ht="15" thickTop="1" x14ac:dyDescent="0.35">
      <c r="A5" s="35" t="s">
        <v>132</v>
      </c>
      <c r="B5" s="36" t="s">
        <v>133</v>
      </c>
      <c r="C5" s="36" t="s">
        <v>3</v>
      </c>
      <c r="D5" s="37" t="s">
        <v>136</v>
      </c>
      <c r="E5" s="38" t="s">
        <v>4</v>
      </c>
      <c r="H5" s="35" t="s">
        <v>133</v>
      </c>
      <c r="I5" s="36" t="s">
        <v>141</v>
      </c>
      <c r="J5" s="38" t="s">
        <v>136</v>
      </c>
    </row>
    <row r="6" spans="1:10" x14ac:dyDescent="0.35">
      <c r="A6" s="1">
        <v>1</v>
      </c>
      <c r="B6" s="22" t="s">
        <v>134</v>
      </c>
      <c r="C6" s="2" t="s">
        <v>135</v>
      </c>
      <c r="D6" s="27">
        <f>8400000/12</f>
        <v>700000</v>
      </c>
      <c r="E6" s="31" t="s">
        <v>149</v>
      </c>
      <c r="H6" s="1" t="str">
        <f>B8</f>
        <v>3523151403061499</v>
      </c>
      <c r="I6" s="2" t="s">
        <v>142</v>
      </c>
      <c r="J6" s="25">
        <f>18000000/12</f>
        <v>1500000</v>
      </c>
    </row>
    <row r="7" spans="1:10" x14ac:dyDescent="0.35">
      <c r="A7" s="1">
        <v>2</v>
      </c>
      <c r="B7" s="22" t="s">
        <v>137</v>
      </c>
      <c r="C7" s="2" t="s">
        <v>138</v>
      </c>
      <c r="D7" s="27">
        <f>12000000/12</f>
        <v>1000000</v>
      </c>
      <c r="E7" s="32" t="s">
        <v>150</v>
      </c>
      <c r="H7" s="1" t="str">
        <f>B12</f>
        <v>3523151403061490</v>
      </c>
      <c r="I7" s="2" t="s">
        <v>154</v>
      </c>
      <c r="J7" s="23">
        <f>12000000/12</f>
        <v>1000000</v>
      </c>
    </row>
    <row r="8" spans="1:10" ht="15" thickBot="1" x14ac:dyDescent="0.4">
      <c r="A8" s="1">
        <v>3</v>
      </c>
      <c r="B8" s="22" t="s">
        <v>139</v>
      </c>
      <c r="C8" s="2" t="s">
        <v>140</v>
      </c>
      <c r="D8" s="27">
        <f>24000000/12</f>
        <v>2000000</v>
      </c>
      <c r="E8" s="32" t="s">
        <v>150</v>
      </c>
      <c r="H8" s="3" t="str">
        <f>B17</f>
        <v>3523151403060761</v>
      </c>
      <c r="I8" s="4" t="s">
        <v>165</v>
      </c>
      <c r="J8" s="24">
        <f>48000000/12</f>
        <v>4000000</v>
      </c>
    </row>
    <row r="9" spans="1:10" ht="15" thickTop="1" x14ac:dyDescent="0.35">
      <c r="A9" s="1">
        <v>4</v>
      </c>
      <c r="B9" s="22" t="s">
        <v>144</v>
      </c>
      <c r="C9" s="2" t="s">
        <v>145</v>
      </c>
      <c r="D9" s="28">
        <v>1500000</v>
      </c>
      <c r="E9" s="32" t="s">
        <v>150</v>
      </c>
    </row>
    <row r="10" spans="1:10" x14ac:dyDescent="0.35">
      <c r="A10" s="1">
        <v>5</v>
      </c>
      <c r="B10" s="22" t="s">
        <v>146</v>
      </c>
      <c r="C10" s="2" t="s">
        <v>25</v>
      </c>
      <c r="D10" s="29">
        <f>6000000/12</f>
        <v>500000</v>
      </c>
      <c r="E10" s="32" t="s">
        <v>150</v>
      </c>
      <c r="F10" s="26"/>
    </row>
    <row r="11" spans="1:10" x14ac:dyDescent="0.35">
      <c r="A11" s="1">
        <v>6</v>
      </c>
      <c r="B11" s="22" t="s">
        <v>147</v>
      </c>
      <c r="C11" s="2" t="s">
        <v>148</v>
      </c>
      <c r="D11" s="27">
        <v>800000</v>
      </c>
      <c r="E11" s="32" t="s">
        <v>150</v>
      </c>
    </row>
    <row r="12" spans="1:10" x14ac:dyDescent="0.35">
      <c r="A12" s="1">
        <v>7</v>
      </c>
      <c r="B12" s="22" t="s">
        <v>151</v>
      </c>
      <c r="C12" s="2" t="s">
        <v>152</v>
      </c>
      <c r="D12" s="27">
        <f>6000000/12</f>
        <v>500000</v>
      </c>
      <c r="E12" s="32" t="s">
        <v>153</v>
      </c>
    </row>
    <row r="13" spans="1:10" x14ac:dyDescent="0.35">
      <c r="A13" s="1">
        <v>8</v>
      </c>
      <c r="B13" s="22" t="s">
        <v>155</v>
      </c>
      <c r="C13" s="2" t="s">
        <v>156</v>
      </c>
      <c r="D13" s="27">
        <f>12000000/12</f>
        <v>1000000</v>
      </c>
      <c r="E13" s="32" t="s">
        <v>150</v>
      </c>
    </row>
    <row r="14" spans="1:10" x14ac:dyDescent="0.35">
      <c r="A14" s="1">
        <v>9</v>
      </c>
      <c r="B14" s="22" t="s">
        <v>157</v>
      </c>
      <c r="C14" s="2" t="s">
        <v>158</v>
      </c>
      <c r="D14" s="27">
        <f>18000000/12</f>
        <v>1500000</v>
      </c>
      <c r="E14" s="32" t="s">
        <v>150</v>
      </c>
    </row>
    <row r="15" spans="1:10" x14ac:dyDescent="0.35">
      <c r="A15" s="1">
        <v>10</v>
      </c>
      <c r="B15" s="22" t="s">
        <v>160</v>
      </c>
      <c r="C15" s="2" t="s">
        <v>159</v>
      </c>
      <c r="D15" s="27">
        <f>12000000/12</f>
        <v>1000000</v>
      </c>
      <c r="E15" s="32" t="s">
        <v>150</v>
      </c>
    </row>
    <row r="16" spans="1:10" x14ac:dyDescent="0.35">
      <c r="A16" s="1">
        <v>11</v>
      </c>
      <c r="B16" s="22" t="s">
        <v>161</v>
      </c>
      <c r="C16" s="2" t="s">
        <v>162</v>
      </c>
      <c r="D16" s="27">
        <f>12000000/12</f>
        <v>1000000</v>
      </c>
      <c r="E16" s="32" t="s">
        <v>150</v>
      </c>
    </row>
    <row r="17" spans="1:5" x14ac:dyDescent="0.35">
      <c r="A17" s="1">
        <v>12</v>
      </c>
      <c r="B17" s="22" t="s">
        <v>163</v>
      </c>
      <c r="C17" s="2" t="s">
        <v>164</v>
      </c>
      <c r="D17" s="27">
        <f>60000000/12</f>
        <v>5000000</v>
      </c>
      <c r="E17" s="32" t="s">
        <v>150</v>
      </c>
    </row>
    <row r="18" spans="1:5" x14ac:dyDescent="0.35">
      <c r="A18" s="1">
        <v>13</v>
      </c>
      <c r="B18" s="22" t="s">
        <v>166</v>
      </c>
      <c r="C18" s="2" t="s">
        <v>167</v>
      </c>
      <c r="D18" s="27">
        <f>21600000/12</f>
        <v>1800000</v>
      </c>
      <c r="E18" s="32" t="s">
        <v>150</v>
      </c>
    </row>
    <row r="19" spans="1:5" x14ac:dyDescent="0.35">
      <c r="A19" s="1">
        <v>14</v>
      </c>
      <c r="B19" s="22" t="s">
        <v>168</v>
      </c>
      <c r="C19" s="2" t="s">
        <v>169</v>
      </c>
      <c r="D19" s="27">
        <f>24000000/12</f>
        <v>2000000</v>
      </c>
      <c r="E19" s="32" t="s">
        <v>150</v>
      </c>
    </row>
    <row r="20" spans="1:5" x14ac:dyDescent="0.35">
      <c r="A20" s="1">
        <v>15</v>
      </c>
      <c r="B20" s="22" t="s">
        <v>170</v>
      </c>
      <c r="C20" s="2" t="s">
        <v>171</v>
      </c>
      <c r="D20" s="27">
        <f>36000000/12</f>
        <v>3000000</v>
      </c>
      <c r="E20" s="32" t="s">
        <v>150</v>
      </c>
    </row>
    <row r="21" spans="1:5" x14ac:dyDescent="0.35">
      <c r="A21" s="1">
        <v>16</v>
      </c>
      <c r="B21" s="22" t="s">
        <v>172</v>
      </c>
      <c r="C21" s="2" t="s">
        <v>173</v>
      </c>
      <c r="D21" s="27">
        <f>60000000/12</f>
        <v>5000000</v>
      </c>
      <c r="E21" s="32" t="s">
        <v>150</v>
      </c>
    </row>
    <row r="22" spans="1:5" x14ac:dyDescent="0.35">
      <c r="A22" s="1">
        <v>17</v>
      </c>
      <c r="B22" s="22" t="s">
        <v>174</v>
      </c>
      <c r="C22" s="2" t="s">
        <v>175</v>
      </c>
      <c r="D22" s="27">
        <f>12000000/12</f>
        <v>1000000</v>
      </c>
      <c r="E22" s="32" t="s">
        <v>150</v>
      </c>
    </row>
    <row r="23" spans="1:5" x14ac:dyDescent="0.35">
      <c r="A23" s="1">
        <v>18</v>
      </c>
      <c r="B23" s="22" t="s">
        <v>176</v>
      </c>
      <c r="C23" s="2" t="s">
        <v>177</v>
      </c>
      <c r="D23" s="27">
        <v>666000</v>
      </c>
      <c r="E23" s="32" t="s">
        <v>150</v>
      </c>
    </row>
    <row r="24" spans="1:5" x14ac:dyDescent="0.35">
      <c r="A24" s="1">
        <v>19</v>
      </c>
      <c r="B24" s="22" t="s">
        <v>178</v>
      </c>
      <c r="C24" s="2" t="s">
        <v>97</v>
      </c>
      <c r="D24" s="27">
        <f>1200000/12</f>
        <v>100000</v>
      </c>
      <c r="E24" s="31" t="s">
        <v>150</v>
      </c>
    </row>
    <row r="25" spans="1:5" x14ac:dyDescent="0.35">
      <c r="A25" s="1">
        <v>20</v>
      </c>
      <c r="B25" s="22" t="s">
        <v>179</v>
      </c>
      <c r="C25" s="2" t="s">
        <v>180</v>
      </c>
      <c r="D25" s="27">
        <f>24000000/12</f>
        <v>2000000</v>
      </c>
      <c r="E25" s="32" t="s">
        <v>150</v>
      </c>
    </row>
    <row r="26" spans="1:5" x14ac:dyDescent="0.35">
      <c r="A26" s="1">
        <v>21</v>
      </c>
      <c r="B26" s="22" t="s">
        <v>181</v>
      </c>
      <c r="C26" s="2" t="s">
        <v>182</v>
      </c>
      <c r="D26" s="27">
        <f>36000000/12</f>
        <v>3000000</v>
      </c>
      <c r="E26" s="32" t="s">
        <v>183</v>
      </c>
    </row>
    <row r="27" spans="1:5" x14ac:dyDescent="0.35">
      <c r="A27" s="1">
        <v>22</v>
      </c>
      <c r="B27" s="22" t="s">
        <v>184</v>
      </c>
      <c r="C27" s="2" t="s">
        <v>185</v>
      </c>
      <c r="D27" s="27" t="s">
        <v>186</v>
      </c>
      <c r="E27" s="32" t="s">
        <v>150</v>
      </c>
    </row>
    <row r="28" spans="1:5" x14ac:dyDescent="0.35">
      <c r="A28" s="1">
        <v>23</v>
      </c>
      <c r="B28" s="22" t="s">
        <v>187</v>
      </c>
      <c r="C28" s="2" t="s">
        <v>188</v>
      </c>
      <c r="D28" s="27">
        <f>12000000/12</f>
        <v>1000000</v>
      </c>
      <c r="E28" s="32" t="s">
        <v>150</v>
      </c>
    </row>
    <row r="29" spans="1:5" x14ac:dyDescent="0.35">
      <c r="A29" s="1">
        <v>24</v>
      </c>
      <c r="B29" s="22" t="s">
        <v>189</v>
      </c>
      <c r="C29" s="2" t="s">
        <v>190</v>
      </c>
      <c r="D29" s="27">
        <f>24000000/12</f>
        <v>2000000</v>
      </c>
      <c r="E29" s="32" t="s">
        <v>150</v>
      </c>
    </row>
    <row r="30" spans="1:5" x14ac:dyDescent="0.35">
      <c r="A30" s="1">
        <v>25</v>
      </c>
      <c r="B30" s="22" t="s">
        <v>191</v>
      </c>
      <c r="C30" s="2" t="s">
        <v>114</v>
      </c>
      <c r="D30" s="27">
        <v>800000</v>
      </c>
      <c r="E30" s="32" t="s">
        <v>150</v>
      </c>
    </row>
    <row r="31" spans="1:5" x14ac:dyDescent="0.35">
      <c r="A31" s="1">
        <v>26</v>
      </c>
      <c r="B31" s="22" t="s">
        <v>192</v>
      </c>
      <c r="C31" s="2" t="s">
        <v>193</v>
      </c>
      <c r="D31" s="27">
        <f>36000000/12</f>
        <v>3000000</v>
      </c>
      <c r="E31" s="32" t="s">
        <v>153</v>
      </c>
    </row>
    <row r="32" spans="1:5" x14ac:dyDescent="0.35">
      <c r="A32" s="1">
        <v>27</v>
      </c>
      <c r="B32" s="22" t="s">
        <v>194</v>
      </c>
      <c r="C32" s="2" t="s">
        <v>115</v>
      </c>
      <c r="D32" s="27">
        <f>12000000/12</f>
        <v>1000000</v>
      </c>
      <c r="E32" s="32" t="s">
        <v>150</v>
      </c>
    </row>
    <row r="33" spans="1:5" x14ac:dyDescent="0.35">
      <c r="A33" s="1">
        <v>28</v>
      </c>
      <c r="B33" s="22" t="s">
        <v>195</v>
      </c>
      <c r="C33" s="2" t="s">
        <v>116</v>
      </c>
      <c r="D33" s="27">
        <f>12000000/12</f>
        <v>1000000</v>
      </c>
      <c r="E33" s="32" t="s">
        <v>150</v>
      </c>
    </row>
    <row r="34" spans="1:5" x14ac:dyDescent="0.35">
      <c r="A34" s="1">
        <v>29</v>
      </c>
      <c r="B34" s="22" t="s">
        <v>196</v>
      </c>
      <c r="C34" s="2" t="s">
        <v>108</v>
      </c>
      <c r="D34" s="27">
        <f>12000000/12</f>
        <v>1000000</v>
      </c>
      <c r="E34" s="32" t="s">
        <v>197</v>
      </c>
    </row>
    <row r="35" spans="1:5" x14ac:dyDescent="0.35">
      <c r="A35" s="1">
        <v>30</v>
      </c>
      <c r="B35" s="22" t="s">
        <v>198</v>
      </c>
      <c r="C35" s="2" t="s">
        <v>199</v>
      </c>
      <c r="D35" s="27">
        <f>36000000/12</f>
        <v>3000000</v>
      </c>
      <c r="E35" s="32" t="s">
        <v>150</v>
      </c>
    </row>
    <row r="36" spans="1:5" x14ac:dyDescent="0.35">
      <c r="A36" s="1">
        <v>31</v>
      </c>
      <c r="B36" s="22" t="s">
        <v>200</v>
      </c>
      <c r="C36" s="2" t="s">
        <v>102</v>
      </c>
      <c r="D36" s="27" t="s">
        <v>186</v>
      </c>
      <c r="E36" s="32" t="s">
        <v>150</v>
      </c>
    </row>
    <row r="37" spans="1:5" x14ac:dyDescent="0.35">
      <c r="A37" s="1">
        <v>32</v>
      </c>
      <c r="B37" s="22" t="s">
        <v>201</v>
      </c>
      <c r="C37" s="2" t="s">
        <v>100</v>
      </c>
      <c r="D37" s="27">
        <v>800000</v>
      </c>
      <c r="E37" s="32" t="s">
        <v>150</v>
      </c>
    </row>
    <row r="38" spans="1:5" x14ac:dyDescent="0.35">
      <c r="A38" s="1">
        <v>33</v>
      </c>
      <c r="B38" s="22" t="s">
        <v>202</v>
      </c>
      <c r="C38" s="2" t="s">
        <v>104</v>
      </c>
      <c r="D38" s="27">
        <f>18000000/12</f>
        <v>1500000</v>
      </c>
      <c r="E38" s="32" t="s">
        <v>150</v>
      </c>
    </row>
    <row r="39" spans="1:5" x14ac:dyDescent="0.35">
      <c r="A39" s="1">
        <v>34</v>
      </c>
      <c r="B39" s="22" t="s">
        <v>203</v>
      </c>
      <c r="C39" s="2" t="s">
        <v>113</v>
      </c>
      <c r="D39" s="27" t="s">
        <v>186</v>
      </c>
      <c r="E39" s="32" t="s">
        <v>150</v>
      </c>
    </row>
    <row r="40" spans="1:5" x14ac:dyDescent="0.35">
      <c r="A40" s="1">
        <v>35</v>
      </c>
      <c r="B40" s="22" t="s">
        <v>204</v>
      </c>
      <c r="C40" s="2" t="s">
        <v>205</v>
      </c>
      <c r="D40" s="27">
        <f>60000000/12</f>
        <v>5000000</v>
      </c>
      <c r="E40" s="32" t="s">
        <v>150</v>
      </c>
    </row>
    <row r="41" spans="1:5" x14ac:dyDescent="0.35">
      <c r="A41" s="1">
        <v>36</v>
      </c>
      <c r="B41" s="22" t="s">
        <v>206</v>
      </c>
      <c r="C41" s="2" t="s">
        <v>106</v>
      </c>
      <c r="D41" s="27">
        <f>30000000/12</f>
        <v>2500000</v>
      </c>
      <c r="E41" s="32" t="s">
        <v>150</v>
      </c>
    </row>
    <row r="42" spans="1:5" x14ac:dyDescent="0.35">
      <c r="A42" s="1">
        <v>37</v>
      </c>
      <c r="B42" s="22" t="s">
        <v>207</v>
      </c>
      <c r="C42" s="2" t="s">
        <v>107</v>
      </c>
      <c r="D42" s="27">
        <f>18000000/12</f>
        <v>1500000</v>
      </c>
      <c r="E42" s="32" t="s">
        <v>153</v>
      </c>
    </row>
    <row r="43" spans="1:5" x14ac:dyDescent="0.35">
      <c r="A43" s="1">
        <v>38</v>
      </c>
      <c r="B43" s="22" t="s">
        <v>208</v>
      </c>
      <c r="C43" s="2" t="s">
        <v>122</v>
      </c>
      <c r="D43" s="27">
        <f>12000000/12</f>
        <v>1000000</v>
      </c>
      <c r="E43" s="32" t="s">
        <v>150</v>
      </c>
    </row>
    <row r="44" spans="1:5" x14ac:dyDescent="0.35">
      <c r="A44" s="1">
        <v>39</v>
      </c>
      <c r="B44" s="22" t="s">
        <v>209</v>
      </c>
      <c r="C44" s="2" t="s">
        <v>123</v>
      </c>
      <c r="D44" s="27">
        <f>48000000/12</f>
        <v>4000000</v>
      </c>
      <c r="E44" s="32" t="s">
        <v>150</v>
      </c>
    </row>
    <row r="45" spans="1:5" x14ac:dyDescent="0.35">
      <c r="A45" s="1">
        <v>40</v>
      </c>
      <c r="B45" s="22" t="s">
        <v>210</v>
      </c>
      <c r="C45" s="2" t="s">
        <v>211</v>
      </c>
      <c r="D45" s="27">
        <f>60000000/12</f>
        <v>5000000</v>
      </c>
      <c r="E45" s="32" t="s">
        <v>150</v>
      </c>
    </row>
    <row r="46" spans="1:5" x14ac:dyDescent="0.35">
      <c r="A46" s="1">
        <v>41</v>
      </c>
      <c r="B46" s="22" t="s">
        <v>212</v>
      </c>
      <c r="C46" s="2" t="s">
        <v>213</v>
      </c>
      <c r="D46" s="27">
        <v>800000</v>
      </c>
      <c r="E46" s="32" t="s">
        <v>150</v>
      </c>
    </row>
    <row r="47" spans="1:5" x14ac:dyDescent="0.35">
      <c r="A47" s="1">
        <v>42</v>
      </c>
      <c r="B47" s="22" t="s">
        <v>214</v>
      </c>
      <c r="C47" s="2" t="s">
        <v>128</v>
      </c>
      <c r="D47" s="27">
        <f>48000000/12</f>
        <v>4000000</v>
      </c>
      <c r="E47" s="32" t="s">
        <v>150</v>
      </c>
    </row>
    <row r="48" spans="1:5" x14ac:dyDescent="0.35">
      <c r="A48" s="1">
        <v>43</v>
      </c>
      <c r="B48" s="22" t="s">
        <v>215</v>
      </c>
      <c r="C48" s="2" t="s">
        <v>216</v>
      </c>
      <c r="D48" s="27">
        <f>12000000/12</f>
        <v>1000000</v>
      </c>
      <c r="E48" s="32" t="s">
        <v>149</v>
      </c>
    </row>
    <row r="49" spans="1:5" x14ac:dyDescent="0.35">
      <c r="A49" s="1">
        <v>44</v>
      </c>
      <c r="B49" s="22" t="s">
        <v>217</v>
      </c>
      <c r="C49" s="2" t="s">
        <v>218</v>
      </c>
      <c r="D49" s="27">
        <f>6000000/12</f>
        <v>500000</v>
      </c>
      <c r="E49" s="32" t="s">
        <v>153</v>
      </c>
    </row>
    <row r="50" spans="1:5" x14ac:dyDescent="0.35">
      <c r="A50" s="1">
        <v>45</v>
      </c>
      <c r="B50" s="22" t="s">
        <v>219</v>
      </c>
      <c r="C50" s="2" t="s">
        <v>220</v>
      </c>
      <c r="D50" s="27">
        <f>12000000/12</f>
        <v>1000000</v>
      </c>
      <c r="E50" s="32" t="s">
        <v>150</v>
      </c>
    </row>
    <row r="51" spans="1:5" x14ac:dyDescent="0.35">
      <c r="A51" s="1">
        <v>46</v>
      </c>
      <c r="B51" s="22" t="s">
        <v>221</v>
      </c>
      <c r="C51" s="2" t="s">
        <v>222</v>
      </c>
      <c r="D51" s="27">
        <f>25000000/12</f>
        <v>2083333.3333333333</v>
      </c>
      <c r="E51" s="32" t="s">
        <v>150</v>
      </c>
    </row>
    <row r="52" spans="1:5" x14ac:dyDescent="0.35">
      <c r="A52" s="1">
        <v>47</v>
      </c>
      <c r="B52" s="22" t="s">
        <v>223</v>
      </c>
      <c r="C52" s="2" t="s">
        <v>224</v>
      </c>
      <c r="D52" s="27">
        <f>44400000/12</f>
        <v>3700000</v>
      </c>
      <c r="E52" s="32" t="s">
        <v>150</v>
      </c>
    </row>
    <row r="53" spans="1:5" x14ac:dyDescent="0.35">
      <c r="A53" s="1">
        <v>48</v>
      </c>
      <c r="B53" s="22" t="s">
        <v>225</v>
      </c>
      <c r="C53" s="2" t="s">
        <v>226</v>
      </c>
      <c r="D53" s="27">
        <f>5830000</f>
        <v>5830000</v>
      </c>
      <c r="E53" s="32" t="s">
        <v>150</v>
      </c>
    </row>
    <row r="54" spans="1:5" x14ac:dyDescent="0.35">
      <c r="A54" s="1">
        <v>49</v>
      </c>
      <c r="B54" s="22" t="s">
        <v>227</v>
      </c>
      <c r="C54" s="2" t="s">
        <v>228</v>
      </c>
      <c r="D54" s="27">
        <f>18000000/12</f>
        <v>1500000</v>
      </c>
      <c r="E54" s="32" t="s">
        <v>150</v>
      </c>
    </row>
    <row r="55" spans="1:5" x14ac:dyDescent="0.35">
      <c r="A55" s="1">
        <v>50</v>
      </c>
      <c r="B55" s="22" t="s">
        <v>229</v>
      </c>
      <c r="C55" s="2" t="s">
        <v>230</v>
      </c>
      <c r="D55" s="27">
        <v>1600000</v>
      </c>
      <c r="E55" s="32" t="s">
        <v>149</v>
      </c>
    </row>
    <row r="56" spans="1:5" x14ac:dyDescent="0.35">
      <c r="A56" s="1">
        <v>51</v>
      </c>
      <c r="B56" s="22" t="s">
        <v>231</v>
      </c>
      <c r="C56" s="2" t="s">
        <v>232</v>
      </c>
      <c r="D56" s="27">
        <f>48000000/12</f>
        <v>4000000</v>
      </c>
      <c r="E56" s="32" t="s">
        <v>183</v>
      </c>
    </row>
    <row r="57" spans="1:5" x14ac:dyDescent="0.35">
      <c r="A57" s="1">
        <v>52</v>
      </c>
      <c r="B57" s="22" t="s">
        <v>233</v>
      </c>
      <c r="C57" s="2" t="s">
        <v>234</v>
      </c>
      <c r="D57" s="27">
        <f>12000000/12</f>
        <v>1000000</v>
      </c>
      <c r="E57" s="32" t="s">
        <v>183</v>
      </c>
    </row>
    <row r="58" spans="1:5" x14ac:dyDescent="0.35">
      <c r="A58" s="1">
        <v>53</v>
      </c>
      <c r="B58" s="22" t="s">
        <v>235</v>
      </c>
      <c r="C58" s="2" t="s">
        <v>236</v>
      </c>
      <c r="D58" s="27">
        <f>60000000/12</f>
        <v>5000000</v>
      </c>
      <c r="E58" s="32" t="s">
        <v>150</v>
      </c>
    </row>
    <row r="59" spans="1:5" x14ac:dyDescent="0.35">
      <c r="A59" s="1">
        <v>54</v>
      </c>
      <c r="B59" s="22" t="s">
        <v>237</v>
      </c>
      <c r="C59" s="2" t="s">
        <v>238</v>
      </c>
      <c r="D59" s="27">
        <f>36000000/12</f>
        <v>3000000</v>
      </c>
      <c r="E59" s="32" t="s">
        <v>150</v>
      </c>
    </row>
    <row r="60" spans="1:5" x14ac:dyDescent="0.35">
      <c r="A60" s="1">
        <v>55</v>
      </c>
      <c r="B60" s="22" t="s">
        <v>239</v>
      </c>
      <c r="C60" s="2" t="s">
        <v>240</v>
      </c>
      <c r="D60" s="27">
        <f>30000000/12</f>
        <v>2500000</v>
      </c>
      <c r="E60" s="32" t="s">
        <v>150</v>
      </c>
    </row>
    <row r="61" spans="1:5" ht="15" thickBot="1" x14ac:dyDescent="0.4">
      <c r="A61" s="3">
        <v>56</v>
      </c>
      <c r="B61" s="33" t="s">
        <v>241</v>
      </c>
      <c r="C61" s="4" t="s">
        <v>242</v>
      </c>
      <c r="D61" s="30">
        <f>24000000/12</f>
        <v>2000000</v>
      </c>
      <c r="E61" s="34" t="s">
        <v>150</v>
      </c>
    </row>
    <row r="62" spans="1:5" ht="15" thickTop="1" x14ac:dyDescent="0.35"/>
  </sheetData>
  <mergeCells count="1">
    <mergeCell ref="A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6E4BC-0D10-4873-9633-0D22D38ABE9C}">
  <dimension ref="A1"/>
  <sheetViews>
    <sheetView topLeftCell="A4"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kriteria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2021-12-29T07:10:44Z</dcterms:created>
  <dcterms:modified xsi:type="dcterms:W3CDTF">2021-12-30T05:07:41Z</dcterms:modified>
</cp:coreProperties>
</file>