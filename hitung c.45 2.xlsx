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ku\"/>
    </mc:Choice>
  </mc:AlternateContent>
  <xr:revisionPtr revIDLastSave="0" documentId="13_ncr:1_{B99F3184-9A6B-4252-BF5B-C0930834FB1B}" xr6:coauthVersionLast="47" xr6:coauthVersionMax="47" xr10:uidLastSave="{00000000-0000-0000-0000-000000000000}"/>
  <bookViews>
    <workbookView xWindow="-110" yWindow="-110" windowWidth="19420" windowHeight="10300" xr2:uid="{F897A6C9-1F87-4817-858E-C81E073F236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38" i="1" l="1"/>
  <c r="V333" i="1"/>
  <c r="V329" i="1"/>
  <c r="V325" i="1"/>
  <c r="V321" i="1"/>
  <c r="V317" i="1"/>
  <c r="V314" i="1"/>
  <c r="V313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N310" i="1"/>
  <c r="M310" i="1"/>
  <c r="L310" i="1"/>
  <c r="K310" i="1"/>
  <c r="J310" i="1"/>
  <c r="I310" i="1"/>
  <c r="H310" i="1"/>
  <c r="G310" i="1"/>
  <c r="F310" i="1"/>
  <c r="E310" i="1"/>
  <c r="B310" i="1"/>
  <c r="N309" i="1"/>
  <c r="M309" i="1"/>
  <c r="L309" i="1"/>
  <c r="K309" i="1"/>
  <c r="J309" i="1"/>
  <c r="I309" i="1"/>
  <c r="H309" i="1"/>
  <c r="G309" i="1"/>
  <c r="F309" i="1"/>
  <c r="E309" i="1"/>
  <c r="B309" i="1"/>
  <c r="N308" i="1"/>
  <c r="M308" i="1"/>
  <c r="L308" i="1"/>
  <c r="K308" i="1"/>
  <c r="J308" i="1"/>
  <c r="I308" i="1"/>
  <c r="H308" i="1"/>
  <c r="G308" i="1"/>
  <c r="F308" i="1"/>
  <c r="E308" i="1"/>
  <c r="B308" i="1"/>
  <c r="N307" i="1"/>
  <c r="M307" i="1"/>
  <c r="L307" i="1"/>
  <c r="K307" i="1"/>
  <c r="J307" i="1"/>
  <c r="I307" i="1"/>
  <c r="H307" i="1"/>
  <c r="G307" i="1"/>
  <c r="F307" i="1"/>
  <c r="E307" i="1"/>
  <c r="B307" i="1"/>
  <c r="N306" i="1"/>
  <c r="M306" i="1"/>
  <c r="L306" i="1"/>
  <c r="K306" i="1"/>
  <c r="J306" i="1"/>
  <c r="I306" i="1"/>
  <c r="H306" i="1"/>
  <c r="G306" i="1"/>
  <c r="F306" i="1"/>
  <c r="E306" i="1"/>
  <c r="B306" i="1"/>
  <c r="N305" i="1"/>
  <c r="M305" i="1"/>
  <c r="L305" i="1"/>
  <c r="K305" i="1"/>
  <c r="J305" i="1"/>
  <c r="I305" i="1"/>
  <c r="H305" i="1"/>
  <c r="G305" i="1"/>
  <c r="F305" i="1"/>
  <c r="E305" i="1"/>
  <c r="B305" i="1"/>
  <c r="N304" i="1"/>
  <c r="M304" i="1"/>
  <c r="L304" i="1"/>
  <c r="K304" i="1"/>
  <c r="J304" i="1"/>
  <c r="I304" i="1"/>
  <c r="H304" i="1"/>
  <c r="G304" i="1"/>
  <c r="F304" i="1"/>
  <c r="E304" i="1"/>
  <c r="B304" i="1"/>
  <c r="N303" i="1"/>
  <c r="M303" i="1"/>
  <c r="L303" i="1"/>
  <c r="K303" i="1"/>
  <c r="J303" i="1"/>
  <c r="I303" i="1"/>
  <c r="H303" i="1"/>
  <c r="G303" i="1"/>
  <c r="F303" i="1"/>
  <c r="E303" i="1"/>
  <c r="B303" i="1"/>
  <c r="N302" i="1"/>
  <c r="M302" i="1"/>
  <c r="L302" i="1"/>
  <c r="K302" i="1"/>
  <c r="J302" i="1"/>
  <c r="I302" i="1"/>
  <c r="H302" i="1"/>
  <c r="G302" i="1"/>
  <c r="F302" i="1"/>
  <c r="E302" i="1"/>
  <c r="B302" i="1"/>
  <c r="N301" i="1"/>
  <c r="M301" i="1"/>
  <c r="L301" i="1"/>
  <c r="K301" i="1"/>
  <c r="J301" i="1"/>
  <c r="I301" i="1"/>
  <c r="H301" i="1"/>
  <c r="G301" i="1"/>
  <c r="F301" i="1"/>
  <c r="E301" i="1"/>
  <c r="B301" i="1"/>
  <c r="N300" i="1"/>
  <c r="M300" i="1"/>
  <c r="L300" i="1"/>
  <c r="K300" i="1"/>
  <c r="J300" i="1"/>
  <c r="I300" i="1"/>
  <c r="H300" i="1"/>
  <c r="G300" i="1"/>
  <c r="F300" i="1"/>
  <c r="E300" i="1"/>
  <c r="B300" i="1"/>
  <c r="N299" i="1"/>
  <c r="M299" i="1"/>
  <c r="L299" i="1"/>
  <c r="K299" i="1"/>
  <c r="J299" i="1"/>
  <c r="I299" i="1"/>
  <c r="H299" i="1"/>
  <c r="G299" i="1"/>
  <c r="F299" i="1"/>
  <c r="E299" i="1"/>
  <c r="B299" i="1"/>
  <c r="N298" i="1"/>
  <c r="M298" i="1"/>
  <c r="L298" i="1"/>
  <c r="K298" i="1"/>
  <c r="J298" i="1"/>
  <c r="I298" i="1"/>
  <c r="H298" i="1"/>
  <c r="G298" i="1"/>
  <c r="F298" i="1"/>
  <c r="E298" i="1"/>
  <c r="B298" i="1"/>
  <c r="N297" i="1"/>
  <c r="M297" i="1"/>
  <c r="L297" i="1"/>
  <c r="K297" i="1"/>
  <c r="J297" i="1"/>
  <c r="I297" i="1"/>
  <c r="H297" i="1"/>
  <c r="G297" i="1"/>
  <c r="F297" i="1"/>
  <c r="E297" i="1"/>
  <c r="B297" i="1"/>
  <c r="N296" i="1"/>
  <c r="M296" i="1"/>
  <c r="L296" i="1"/>
  <c r="K296" i="1"/>
  <c r="J296" i="1"/>
  <c r="I296" i="1"/>
  <c r="H296" i="1"/>
  <c r="G296" i="1"/>
  <c r="F296" i="1"/>
  <c r="E296" i="1"/>
  <c r="B296" i="1"/>
  <c r="N295" i="1"/>
  <c r="M295" i="1"/>
  <c r="L295" i="1"/>
  <c r="K295" i="1"/>
  <c r="J295" i="1"/>
  <c r="I295" i="1"/>
  <c r="H295" i="1"/>
  <c r="G295" i="1"/>
  <c r="F295" i="1"/>
  <c r="E295" i="1"/>
  <c r="B295" i="1"/>
  <c r="N294" i="1"/>
  <c r="M294" i="1"/>
  <c r="L294" i="1"/>
  <c r="K294" i="1"/>
  <c r="J294" i="1"/>
  <c r="I294" i="1"/>
  <c r="H294" i="1"/>
  <c r="G294" i="1"/>
  <c r="F294" i="1"/>
  <c r="E294" i="1"/>
  <c r="B294" i="1"/>
  <c r="N293" i="1"/>
  <c r="M293" i="1"/>
  <c r="L293" i="1"/>
  <c r="K293" i="1"/>
  <c r="J293" i="1"/>
  <c r="I293" i="1"/>
  <c r="H293" i="1"/>
  <c r="G293" i="1"/>
  <c r="F293" i="1"/>
  <c r="E293" i="1"/>
  <c r="B293" i="1"/>
  <c r="N292" i="1"/>
  <c r="M292" i="1"/>
  <c r="L292" i="1"/>
  <c r="K292" i="1"/>
  <c r="J292" i="1"/>
  <c r="I292" i="1"/>
  <c r="H292" i="1"/>
  <c r="G292" i="1"/>
  <c r="F292" i="1"/>
  <c r="E292" i="1"/>
  <c r="B292" i="1"/>
  <c r="N291" i="1"/>
  <c r="M291" i="1"/>
  <c r="L291" i="1"/>
  <c r="K291" i="1"/>
  <c r="J291" i="1"/>
  <c r="I291" i="1"/>
  <c r="H291" i="1"/>
  <c r="G291" i="1"/>
  <c r="F291" i="1"/>
  <c r="E291" i="1"/>
  <c r="B291" i="1"/>
  <c r="N290" i="1"/>
  <c r="M290" i="1"/>
  <c r="L290" i="1"/>
  <c r="K290" i="1"/>
  <c r="J290" i="1"/>
  <c r="I290" i="1"/>
  <c r="H290" i="1"/>
  <c r="G290" i="1"/>
  <c r="F290" i="1"/>
  <c r="E290" i="1"/>
  <c r="B290" i="1"/>
  <c r="N289" i="1"/>
  <c r="M289" i="1"/>
  <c r="L289" i="1"/>
  <c r="K289" i="1"/>
  <c r="J289" i="1"/>
  <c r="I289" i="1"/>
  <c r="H289" i="1"/>
  <c r="G289" i="1"/>
  <c r="F289" i="1"/>
  <c r="E289" i="1"/>
  <c r="B289" i="1"/>
  <c r="N288" i="1"/>
  <c r="M288" i="1"/>
  <c r="L288" i="1"/>
  <c r="K288" i="1"/>
  <c r="J288" i="1"/>
  <c r="I288" i="1"/>
  <c r="H288" i="1"/>
  <c r="G288" i="1"/>
  <c r="F288" i="1"/>
  <c r="E288" i="1"/>
  <c r="B288" i="1"/>
  <c r="N287" i="1"/>
  <c r="M287" i="1"/>
  <c r="L287" i="1"/>
  <c r="K287" i="1"/>
  <c r="J287" i="1"/>
  <c r="I287" i="1"/>
  <c r="H287" i="1"/>
  <c r="G287" i="1"/>
  <c r="F287" i="1"/>
  <c r="E287" i="1"/>
  <c r="B287" i="1"/>
  <c r="N286" i="1"/>
  <c r="M286" i="1"/>
  <c r="L286" i="1"/>
  <c r="K286" i="1"/>
  <c r="J286" i="1"/>
  <c r="I286" i="1"/>
  <c r="H286" i="1"/>
  <c r="G286" i="1"/>
  <c r="F286" i="1"/>
  <c r="E286" i="1"/>
  <c r="B286" i="1"/>
  <c r="N285" i="1"/>
  <c r="M285" i="1"/>
  <c r="L285" i="1"/>
  <c r="K285" i="1"/>
  <c r="J285" i="1"/>
  <c r="I285" i="1"/>
  <c r="H285" i="1"/>
  <c r="G285" i="1"/>
  <c r="F285" i="1"/>
  <c r="E285" i="1"/>
  <c r="B285" i="1"/>
  <c r="N284" i="1"/>
  <c r="M284" i="1"/>
  <c r="L284" i="1"/>
  <c r="K284" i="1"/>
  <c r="J284" i="1"/>
  <c r="I284" i="1"/>
  <c r="H284" i="1"/>
  <c r="G284" i="1"/>
  <c r="F284" i="1"/>
  <c r="E284" i="1"/>
  <c r="B284" i="1"/>
  <c r="N283" i="1"/>
  <c r="M283" i="1"/>
  <c r="L283" i="1"/>
  <c r="K283" i="1"/>
  <c r="J283" i="1"/>
  <c r="I283" i="1"/>
  <c r="H283" i="1"/>
  <c r="G283" i="1"/>
  <c r="F283" i="1"/>
  <c r="E283" i="1"/>
  <c r="B283" i="1"/>
  <c r="N282" i="1"/>
  <c r="M282" i="1"/>
  <c r="L282" i="1"/>
  <c r="K282" i="1"/>
  <c r="J282" i="1"/>
  <c r="I282" i="1"/>
  <c r="H282" i="1"/>
  <c r="G282" i="1"/>
  <c r="F282" i="1"/>
  <c r="E282" i="1"/>
  <c r="B282" i="1"/>
  <c r="N281" i="1"/>
  <c r="M281" i="1"/>
  <c r="L281" i="1"/>
  <c r="K281" i="1"/>
  <c r="J281" i="1"/>
  <c r="I281" i="1"/>
  <c r="H281" i="1"/>
  <c r="G281" i="1"/>
  <c r="F281" i="1"/>
  <c r="E281" i="1"/>
  <c r="B281" i="1"/>
  <c r="N280" i="1"/>
  <c r="M280" i="1"/>
  <c r="L280" i="1"/>
  <c r="K280" i="1"/>
  <c r="J280" i="1"/>
  <c r="I280" i="1"/>
  <c r="H280" i="1"/>
  <c r="G280" i="1"/>
  <c r="F280" i="1"/>
  <c r="E280" i="1"/>
  <c r="B280" i="1"/>
  <c r="N279" i="1"/>
  <c r="M279" i="1"/>
  <c r="L279" i="1"/>
  <c r="K279" i="1"/>
  <c r="J279" i="1"/>
  <c r="I279" i="1"/>
  <c r="H279" i="1"/>
  <c r="G279" i="1"/>
  <c r="F279" i="1"/>
  <c r="E279" i="1"/>
  <c r="B279" i="1"/>
  <c r="N278" i="1"/>
  <c r="M278" i="1"/>
  <c r="L278" i="1"/>
  <c r="K278" i="1"/>
  <c r="J278" i="1"/>
  <c r="I278" i="1"/>
  <c r="H278" i="1"/>
  <c r="G278" i="1"/>
  <c r="F278" i="1"/>
  <c r="E278" i="1"/>
  <c r="B278" i="1"/>
  <c r="N277" i="1"/>
  <c r="M277" i="1"/>
  <c r="L277" i="1"/>
  <c r="K277" i="1"/>
  <c r="J277" i="1"/>
  <c r="I277" i="1"/>
  <c r="H277" i="1"/>
  <c r="G277" i="1"/>
  <c r="F277" i="1"/>
  <c r="E277" i="1"/>
  <c r="B277" i="1"/>
  <c r="N276" i="1"/>
  <c r="M276" i="1"/>
  <c r="L276" i="1"/>
  <c r="K276" i="1"/>
  <c r="J276" i="1"/>
  <c r="I276" i="1"/>
  <c r="H276" i="1"/>
  <c r="G276" i="1"/>
  <c r="F276" i="1"/>
  <c r="E276" i="1"/>
  <c r="B276" i="1"/>
  <c r="N275" i="1"/>
  <c r="M275" i="1"/>
  <c r="L275" i="1"/>
  <c r="K275" i="1"/>
  <c r="J275" i="1"/>
  <c r="I275" i="1"/>
  <c r="H275" i="1"/>
  <c r="G275" i="1"/>
  <c r="F275" i="1"/>
  <c r="E275" i="1"/>
  <c r="B275" i="1"/>
  <c r="N274" i="1"/>
  <c r="M274" i="1"/>
  <c r="L274" i="1"/>
  <c r="K274" i="1"/>
  <c r="J274" i="1"/>
  <c r="I274" i="1"/>
  <c r="H274" i="1"/>
  <c r="G274" i="1"/>
  <c r="F274" i="1"/>
  <c r="E274" i="1"/>
  <c r="B274" i="1"/>
  <c r="N273" i="1"/>
  <c r="M273" i="1"/>
  <c r="L273" i="1"/>
  <c r="K273" i="1"/>
  <c r="J273" i="1"/>
  <c r="I273" i="1"/>
  <c r="H273" i="1"/>
  <c r="G273" i="1"/>
  <c r="F273" i="1"/>
  <c r="E273" i="1"/>
  <c r="B273" i="1"/>
  <c r="N272" i="1"/>
  <c r="M272" i="1"/>
  <c r="L272" i="1"/>
  <c r="K272" i="1"/>
  <c r="J272" i="1"/>
  <c r="I272" i="1"/>
  <c r="H272" i="1"/>
  <c r="G272" i="1"/>
  <c r="F272" i="1"/>
  <c r="E272" i="1"/>
  <c r="B272" i="1"/>
  <c r="N271" i="1"/>
  <c r="M271" i="1"/>
  <c r="L271" i="1"/>
  <c r="K271" i="1"/>
  <c r="J271" i="1"/>
  <c r="I271" i="1"/>
  <c r="H271" i="1"/>
  <c r="G271" i="1"/>
  <c r="F271" i="1"/>
  <c r="E271" i="1"/>
  <c r="B271" i="1"/>
  <c r="N270" i="1"/>
  <c r="M270" i="1"/>
  <c r="L270" i="1"/>
  <c r="K270" i="1"/>
  <c r="J270" i="1"/>
  <c r="I270" i="1"/>
  <c r="H270" i="1"/>
  <c r="G270" i="1"/>
  <c r="F270" i="1"/>
  <c r="E270" i="1"/>
  <c r="B270" i="1"/>
  <c r="N269" i="1"/>
  <c r="M269" i="1"/>
  <c r="L269" i="1"/>
  <c r="K269" i="1"/>
  <c r="J269" i="1"/>
  <c r="I269" i="1"/>
  <c r="H269" i="1"/>
  <c r="G269" i="1"/>
  <c r="F269" i="1"/>
  <c r="E269" i="1"/>
  <c r="B269" i="1"/>
  <c r="N268" i="1"/>
  <c r="M268" i="1"/>
  <c r="L268" i="1"/>
  <c r="K268" i="1"/>
  <c r="J268" i="1"/>
  <c r="I268" i="1"/>
  <c r="H268" i="1"/>
  <c r="G268" i="1"/>
  <c r="F268" i="1"/>
  <c r="E268" i="1"/>
  <c r="B268" i="1"/>
  <c r="N267" i="1"/>
  <c r="M267" i="1"/>
  <c r="L267" i="1"/>
  <c r="K267" i="1"/>
  <c r="J267" i="1"/>
  <c r="I267" i="1"/>
  <c r="H267" i="1"/>
  <c r="G267" i="1"/>
  <c r="F267" i="1"/>
  <c r="E267" i="1"/>
  <c r="B267" i="1"/>
  <c r="N266" i="1"/>
  <c r="M266" i="1"/>
  <c r="L266" i="1"/>
  <c r="K266" i="1"/>
  <c r="J266" i="1"/>
  <c r="I266" i="1"/>
  <c r="H266" i="1"/>
  <c r="G266" i="1"/>
  <c r="F266" i="1"/>
  <c r="E266" i="1"/>
  <c r="B266" i="1"/>
  <c r="N265" i="1"/>
  <c r="M265" i="1"/>
  <c r="L265" i="1"/>
  <c r="K265" i="1"/>
  <c r="J265" i="1"/>
  <c r="I265" i="1"/>
  <c r="H265" i="1"/>
  <c r="G265" i="1"/>
  <c r="F265" i="1"/>
  <c r="E265" i="1"/>
  <c r="B265" i="1"/>
  <c r="N264" i="1"/>
  <c r="M264" i="1"/>
  <c r="L264" i="1"/>
  <c r="K264" i="1"/>
  <c r="J264" i="1"/>
  <c r="I264" i="1"/>
  <c r="H264" i="1"/>
  <c r="G264" i="1"/>
  <c r="F264" i="1"/>
  <c r="E264" i="1"/>
  <c r="B264" i="1"/>
  <c r="N263" i="1"/>
  <c r="M263" i="1"/>
  <c r="L263" i="1"/>
  <c r="K263" i="1"/>
  <c r="J263" i="1"/>
  <c r="I263" i="1"/>
  <c r="H263" i="1"/>
  <c r="G263" i="1"/>
  <c r="F263" i="1"/>
  <c r="E263" i="1"/>
  <c r="B263" i="1"/>
  <c r="N262" i="1"/>
  <c r="M262" i="1"/>
  <c r="L262" i="1"/>
  <c r="K262" i="1"/>
  <c r="J262" i="1"/>
  <c r="I262" i="1"/>
  <c r="H262" i="1"/>
  <c r="G262" i="1"/>
  <c r="F262" i="1"/>
  <c r="E262" i="1"/>
  <c r="B262" i="1"/>
  <c r="N261" i="1"/>
  <c r="M261" i="1"/>
  <c r="L261" i="1"/>
  <c r="K261" i="1"/>
  <c r="J261" i="1"/>
  <c r="I261" i="1"/>
  <c r="H261" i="1"/>
  <c r="G261" i="1"/>
  <c r="F261" i="1"/>
  <c r="E261" i="1"/>
  <c r="B261" i="1"/>
  <c r="N260" i="1"/>
  <c r="M260" i="1"/>
  <c r="L260" i="1"/>
  <c r="K260" i="1"/>
  <c r="J260" i="1"/>
  <c r="I260" i="1"/>
  <c r="H260" i="1"/>
  <c r="G260" i="1"/>
  <c r="F260" i="1"/>
  <c r="E260" i="1"/>
  <c r="B260" i="1"/>
  <c r="N259" i="1"/>
  <c r="M259" i="1"/>
  <c r="L259" i="1"/>
  <c r="K259" i="1"/>
  <c r="J259" i="1"/>
  <c r="I259" i="1"/>
  <c r="H259" i="1"/>
  <c r="G259" i="1"/>
  <c r="F259" i="1"/>
  <c r="E259" i="1"/>
  <c r="B259" i="1"/>
  <c r="N258" i="1"/>
  <c r="M258" i="1"/>
  <c r="L258" i="1"/>
  <c r="K258" i="1"/>
  <c r="J258" i="1"/>
  <c r="I258" i="1"/>
  <c r="H258" i="1"/>
  <c r="G258" i="1"/>
  <c r="F258" i="1"/>
  <c r="E258" i="1"/>
  <c r="N257" i="1"/>
  <c r="M257" i="1"/>
  <c r="L257" i="1"/>
  <c r="K257" i="1"/>
  <c r="J257" i="1"/>
  <c r="I257" i="1"/>
  <c r="H257" i="1"/>
  <c r="G257" i="1"/>
  <c r="F257" i="1"/>
  <c r="E257" i="1"/>
  <c r="N256" i="1"/>
  <c r="M256" i="1"/>
  <c r="L256" i="1"/>
  <c r="K256" i="1"/>
  <c r="J256" i="1"/>
  <c r="I256" i="1"/>
  <c r="H256" i="1"/>
  <c r="G256" i="1"/>
  <c r="F256" i="1"/>
  <c r="E256" i="1"/>
  <c r="N255" i="1"/>
  <c r="M255" i="1"/>
  <c r="L255" i="1"/>
  <c r="K255" i="1"/>
  <c r="J255" i="1"/>
  <c r="I255" i="1"/>
  <c r="H255" i="1"/>
  <c r="G255" i="1"/>
  <c r="F255" i="1"/>
  <c r="E255" i="1"/>
  <c r="N254" i="1"/>
  <c r="M254" i="1"/>
  <c r="L254" i="1"/>
  <c r="K254" i="1"/>
  <c r="J254" i="1"/>
  <c r="I254" i="1"/>
  <c r="H254" i="1"/>
  <c r="G254" i="1"/>
  <c r="F254" i="1"/>
  <c r="E254" i="1"/>
  <c r="N253" i="1"/>
  <c r="M253" i="1"/>
  <c r="L253" i="1"/>
  <c r="K253" i="1"/>
  <c r="J253" i="1"/>
  <c r="I253" i="1"/>
  <c r="H253" i="1"/>
  <c r="G253" i="1"/>
  <c r="F253" i="1"/>
  <c r="E253" i="1"/>
  <c r="N252" i="1"/>
  <c r="M252" i="1"/>
  <c r="L252" i="1"/>
  <c r="K252" i="1"/>
  <c r="J252" i="1"/>
  <c r="I252" i="1"/>
  <c r="H252" i="1"/>
  <c r="G252" i="1"/>
  <c r="F252" i="1"/>
  <c r="E252" i="1"/>
  <c r="N251" i="1"/>
  <c r="M251" i="1"/>
  <c r="L251" i="1"/>
  <c r="K251" i="1"/>
  <c r="J251" i="1"/>
  <c r="I251" i="1"/>
  <c r="H251" i="1"/>
  <c r="G251" i="1"/>
  <c r="F251" i="1"/>
  <c r="E251" i="1"/>
  <c r="N250" i="1"/>
  <c r="M250" i="1"/>
  <c r="L250" i="1"/>
  <c r="K250" i="1"/>
  <c r="J250" i="1"/>
  <c r="I250" i="1"/>
  <c r="H250" i="1"/>
  <c r="G250" i="1"/>
  <c r="F250" i="1"/>
  <c r="E250" i="1"/>
  <c r="N249" i="1"/>
  <c r="M249" i="1"/>
  <c r="L249" i="1"/>
  <c r="K249" i="1"/>
  <c r="J249" i="1"/>
  <c r="I249" i="1"/>
  <c r="H249" i="1"/>
  <c r="G249" i="1"/>
  <c r="F249" i="1"/>
  <c r="E249" i="1"/>
  <c r="N248" i="1"/>
  <c r="M248" i="1"/>
  <c r="L248" i="1"/>
  <c r="K248" i="1"/>
  <c r="J248" i="1"/>
  <c r="I248" i="1"/>
  <c r="H248" i="1"/>
  <c r="G248" i="1"/>
  <c r="F248" i="1"/>
  <c r="E248" i="1"/>
  <c r="N247" i="1"/>
  <c r="M247" i="1"/>
  <c r="L247" i="1"/>
  <c r="K247" i="1"/>
  <c r="J247" i="1"/>
  <c r="I247" i="1"/>
  <c r="H247" i="1"/>
  <c r="G247" i="1"/>
  <c r="F247" i="1"/>
  <c r="E247" i="1"/>
  <c r="N246" i="1"/>
  <c r="M246" i="1"/>
  <c r="L246" i="1"/>
  <c r="K246" i="1"/>
  <c r="J246" i="1"/>
  <c r="I246" i="1"/>
  <c r="H246" i="1"/>
  <c r="G246" i="1"/>
  <c r="F246" i="1"/>
  <c r="E246" i="1"/>
  <c r="N245" i="1"/>
  <c r="M245" i="1"/>
  <c r="L245" i="1"/>
  <c r="K245" i="1"/>
  <c r="J245" i="1"/>
  <c r="I245" i="1"/>
  <c r="H245" i="1"/>
  <c r="G245" i="1"/>
  <c r="F245" i="1"/>
  <c r="E245" i="1"/>
  <c r="N244" i="1"/>
  <c r="M244" i="1"/>
  <c r="L244" i="1"/>
  <c r="K244" i="1"/>
  <c r="J244" i="1"/>
  <c r="I244" i="1"/>
  <c r="H244" i="1"/>
  <c r="G244" i="1"/>
  <c r="F244" i="1"/>
  <c r="E244" i="1"/>
  <c r="N243" i="1"/>
  <c r="M243" i="1"/>
  <c r="L243" i="1"/>
  <c r="K243" i="1"/>
  <c r="J243" i="1"/>
  <c r="I243" i="1"/>
  <c r="H243" i="1"/>
  <c r="G243" i="1"/>
  <c r="F243" i="1"/>
  <c r="E243" i="1"/>
  <c r="N242" i="1"/>
  <c r="M242" i="1"/>
  <c r="L242" i="1"/>
  <c r="K242" i="1"/>
  <c r="J242" i="1"/>
  <c r="I242" i="1"/>
  <c r="H242" i="1"/>
  <c r="G242" i="1"/>
  <c r="F242" i="1"/>
  <c r="E242" i="1"/>
  <c r="N241" i="1"/>
  <c r="M241" i="1"/>
  <c r="L241" i="1"/>
  <c r="K241" i="1"/>
  <c r="J241" i="1"/>
  <c r="I241" i="1"/>
  <c r="H241" i="1"/>
  <c r="G241" i="1"/>
  <c r="F241" i="1"/>
  <c r="E241" i="1"/>
  <c r="N240" i="1"/>
  <c r="M240" i="1"/>
  <c r="L240" i="1"/>
  <c r="K240" i="1"/>
  <c r="J240" i="1"/>
  <c r="I240" i="1"/>
  <c r="H240" i="1"/>
  <c r="G240" i="1"/>
  <c r="F240" i="1"/>
  <c r="E240" i="1"/>
  <c r="N239" i="1"/>
  <c r="M239" i="1"/>
  <c r="L239" i="1"/>
  <c r="K239" i="1"/>
  <c r="J239" i="1"/>
  <c r="I239" i="1"/>
  <c r="H239" i="1"/>
  <c r="G239" i="1"/>
  <c r="F239" i="1"/>
  <c r="E239" i="1"/>
  <c r="N238" i="1"/>
  <c r="M238" i="1"/>
  <c r="L238" i="1"/>
  <c r="K238" i="1"/>
  <c r="J238" i="1"/>
  <c r="I238" i="1"/>
  <c r="H238" i="1"/>
  <c r="G238" i="1"/>
  <c r="F238" i="1"/>
  <c r="E238" i="1"/>
  <c r="N237" i="1"/>
  <c r="M237" i="1"/>
  <c r="L237" i="1"/>
  <c r="K237" i="1"/>
  <c r="J237" i="1"/>
  <c r="I237" i="1"/>
  <c r="H237" i="1"/>
  <c r="G237" i="1"/>
  <c r="F237" i="1"/>
  <c r="E237" i="1"/>
  <c r="N236" i="1"/>
  <c r="M236" i="1"/>
  <c r="L236" i="1"/>
  <c r="K236" i="1"/>
  <c r="J236" i="1"/>
  <c r="I236" i="1"/>
  <c r="H236" i="1"/>
  <c r="G236" i="1"/>
  <c r="F236" i="1"/>
  <c r="E236" i="1"/>
  <c r="N235" i="1"/>
  <c r="M235" i="1"/>
  <c r="L235" i="1"/>
  <c r="K235" i="1"/>
  <c r="J235" i="1"/>
  <c r="I235" i="1"/>
  <c r="H235" i="1"/>
  <c r="G235" i="1"/>
  <c r="F235" i="1"/>
  <c r="E235" i="1"/>
  <c r="N234" i="1"/>
  <c r="M234" i="1"/>
  <c r="L234" i="1"/>
  <c r="K234" i="1"/>
  <c r="J234" i="1"/>
  <c r="I234" i="1"/>
  <c r="H234" i="1"/>
  <c r="G234" i="1"/>
  <c r="F234" i="1"/>
  <c r="E234" i="1"/>
  <c r="N233" i="1"/>
  <c r="M233" i="1"/>
  <c r="L233" i="1"/>
  <c r="K233" i="1"/>
  <c r="J233" i="1"/>
  <c r="I233" i="1"/>
  <c r="H233" i="1"/>
  <c r="G233" i="1"/>
  <c r="F233" i="1"/>
  <c r="E233" i="1"/>
  <c r="N232" i="1"/>
  <c r="M232" i="1"/>
  <c r="L232" i="1"/>
  <c r="K232" i="1"/>
  <c r="J232" i="1"/>
  <c r="I232" i="1"/>
  <c r="H232" i="1"/>
  <c r="G232" i="1"/>
  <c r="F232" i="1"/>
  <c r="E232" i="1"/>
  <c r="N231" i="1"/>
  <c r="M231" i="1"/>
  <c r="L231" i="1"/>
  <c r="K231" i="1"/>
  <c r="J231" i="1"/>
  <c r="I231" i="1"/>
  <c r="H231" i="1"/>
  <c r="G231" i="1"/>
  <c r="F231" i="1"/>
  <c r="E231" i="1"/>
  <c r="N230" i="1"/>
  <c r="M230" i="1"/>
  <c r="L230" i="1"/>
  <c r="K230" i="1"/>
  <c r="J230" i="1"/>
  <c r="I230" i="1"/>
  <c r="H230" i="1"/>
  <c r="G230" i="1"/>
  <c r="F230" i="1"/>
  <c r="E230" i="1"/>
  <c r="N229" i="1"/>
  <c r="M229" i="1"/>
  <c r="L229" i="1"/>
  <c r="K229" i="1"/>
  <c r="J229" i="1"/>
  <c r="I229" i="1"/>
  <c r="H229" i="1"/>
  <c r="G229" i="1"/>
  <c r="F229" i="1"/>
  <c r="E229" i="1"/>
  <c r="N228" i="1"/>
  <c r="M228" i="1"/>
  <c r="L228" i="1"/>
  <c r="K228" i="1"/>
  <c r="J228" i="1"/>
  <c r="I228" i="1"/>
  <c r="H228" i="1"/>
  <c r="G228" i="1"/>
  <c r="F228" i="1"/>
  <c r="E228" i="1"/>
  <c r="N227" i="1"/>
  <c r="M227" i="1"/>
  <c r="L227" i="1"/>
  <c r="K227" i="1"/>
  <c r="J227" i="1"/>
  <c r="I227" i="1"/>
  <c r="H227" i="1"/>
  <c r="G227" i="1"/>
  <c r="F227" i="1"/>
  <c r="E227" i="1"/>
  <c r="N226" i="1"/>
  <c r="M226" i="1"/>
  <c r="L226" i="1"/>
  <c r="K226" i="1"/>
  <c r="J226" i="1"/>
  <c r="I226" i="1"/>
  <c r="H226" i="1"/>
  <c r="G226" i="1"/>
  <c r="F226" i="1"/>
  <c r="E226" i="1"/>
  <c r="B226" i="1"/>
  <c r="N225" i="1"/>
  <c r="M225" i="1"/>
  <c r="L225" i="1"/>
  <c r="K225" i="1"/>
  <c r="J225" i="1"/>
  <c r="I225" i="1"/>
  <c r="H225" i="1"/>
  <c r="G225" i="1"/>
  <c r="F225" i="1"/>
  <c r="E225" i="1"/>
  <c r="N224" i="1"/>
  <c r="M224" i="1"/>
  <c r="L224" i="1"/>
  <c r="K224" i="1"/>
  <c r="J224" i="1"/>
  <c r="I224" i="1"/>
  <c r="H224" i="1"/>
  <c r="G224" i="1"/>
  <c r="F224" i="1"/>
  <c r="E224" i="1"/>
  <c r="N223" i="1"/>
  <c r="M223" i="1"/>
  <c r="L223" i="1"/>
  <c r="K223" i="1"/>
  <c r="J223" i="1"/>
  <c r="I223" i="1"/>
  <c r="H223" i="1"/>
  <c r="G223" i="1"/>
  <c r="F223" i="1"/>
  <c r="E223" i="1"/>
  <c r="N222" i="1"/>
  <c r="M222" i="1"/>
  <c r="L222" i="1"/>
  <c r="K222" i="1"/>
  <c r="J222" i="1"/>
  <c r="I222" i="1"/>
  <c r="H222" i="1"/>
  <c r="G222" i="1"/>
  <c r="F222" i="1"/>
  <c r="E222" i="1"/>
  <c r="B222" i="1"/>
  <c r="N221" i="1"/>
  <c r="M221" i="1"/>
  <c r="L221" i="1"/>
  <c r="K221" i="1"/>
  <c r="J221" i="1"/>
  <c r="I221" i="1"/>
  <c r="H221" i="1"/>
  <c r="G221" i="1"/>
  <c r="F221" i="1"/>
  <c r="E221" i="1"/>
  <c r="N220" i="1"/>
  <c r="M220" i="1"/>
  <c r="L220" i="1"/>
  <c r="K220" i="1"/>
  <c r="J220" i="1"/>
  <c r="I220" i="1"/>
  <c r="H220" i="1"/>
  <c r="G220" i="1"/>
  <c r="F220" i="1"/>
  <c r="E220" i="1"/>
  <c r="N219" i="1"/>
  <c r="M219" i="1"/>
  <c r="L219" i="1"/>
  <c r="K219" i="1"/>
  <c r="J219" i="1"/>
  <c r="I219" i="1"/>
  <c r="H219" i="1"/>
  <c r="G219" i="1"/>
  <c r="F219" i="1"/>
  <c r="E219" i="1"/>
  <c r="N218" i="1"/>
  <c r="M218" i="1"/>
  <c r="L218" i="1"/>
  <c r="K218" i="1"/>
  <c r="J218" i="1"/>
  <c r="I218" i="1"/>
  <c r="H218" i="1"/>
  <c r="G218" i="1"/>
  <c r="F218" i="1"/>
  <c r="E218" i="1"/>
  <c r="V180" i="1"/>
  <c r="V179" i="1"/>
  <c r="V178" i="1"/>
  <c r="V125" i="1"/>
  <c r="V124" i="1"/>
  <c r="N191" i="1"/>
  <c r="M191" i="1"/>
  <c r="L191" i="1"/>
  <c r="K191" i="1"/>
  <c r="J191" i="1"/>
  <c r="I191" i="1"/>
  <c r="H191" i="1"/>
  <c r="G191" i="1"/>
  <c r="F191" i="1"/>
  <c r="E191" i="1"/>
  <c r="B191" i="1"/>
  <c r="N190" i="1"/>
  <c r="M190" i="1"/>
  <c r="L190" i="1"/>
  <c r="K190" i="1"/>
  <c r="J190" i="1"/>
  <c r="I190" i="1"/>
  <c r="H190" i="1"/>
  <c r="G190" i="1"/>
  <c r="F190" i="1"/>
  <c r="E190" i="1"/>
  <c r="B190" i="1"/>
  <c r="N189" i="1"/>
  <c r="M189" i="1"/>
  <c r="L189" i="1"/>
  <c r="K189" i="1"/>
  <c r="J189" i="1"/>
  <c r="I189" i="1"/>
  <c r="H189" i="1"/>
  <c r="G189" i="1"/>
  <c r="F189" i="1"/>
  <c r="E189" i="1"/>
  <c r="B189" i="1"/>
  <c r="N188" i="1"/>
  <c r="M188" i="1"/>
  <c r="L188" i="1"/>
  <c r="K188" i="1"/>
  <c r="J188" i="1"/>
  <c r="I188" i="1"/>
  <c r="H188" i="1"/>
  <c r="G188" i="1"/>
  <c r="F188" i="1"/>
  <c r="E188" i="1"/>
  <c r="B188" i="1"/>
  <c r="N187" i="1"/>
  <c r="M187" i="1"/>
  <c r="L187" i="1"/>
  <c r="K187" i="1"/>
  <c r="J187" i="1"/>
  <c r="I187" i="1"/>
  <c r="H187" i="1"/>
  <c r="G187" i="1"/>
  <c r="F187" i="1"/>
  <c r="E187" i="1"/>
  <c r="B187" i="1"/>
  <c r="N186" i="1"/>
  <c r="M186" i="1"/>
  <c r="L186" i="1"/>
  <c r="K186" i="1"/>
  <c r="J186" i="1"/>
  <c r="I186" i="1"/>
  <c r="H186" i="1"/>
  <c r="G186" i="1"/>
  <c r="F186" i="1"/>
  <c r="E186" i="1"/>
  <c r="B186" i="1"/>
  <c r="N185" i="1"/>
  <c r="M185" i="1"/>
  <c r="L185" i="1"/>
  <c r="K185" i="1"/>
  <c r="J185" i="1"/>
  <c r="I185" i="1"/>
  <c r="H185" i="1"/>
  <c r="G185" i="1"/>
  <c r="F185" i="1"/>
  <c r="E185" i="1"/>
  <c r="B185" i="1"/>
  <c r="N184" i="1"/>
  <c r="M184" i="1"/>
  <c r="L184" i="1"/>
  <c r="K184" i="1"/>
  <c r="J184" i="1"/>
  <c r="I184" i="1"/>
  <c r="H184" i="1"/>
  <c r="G184" i="1"/>
  <c r="F184" i="1"/>
  <c r="E184" i="1"/>
  <c r="B184" i="1"/>
  <c r="N183" i="1"/>
  <c r="M183" i="1"/>
  <c r="L183" i="1"/>
  <c r="K183" i="1"/>
  <c r="J183" i="1"/>
  <c r="I183" i="1"/>
  <c r="H183" i="1"/>
  <c r="G183" i="1"/>
  <c r="F183" i="1"/>
  <c r="E183" i="1"/>
  <c r="B183" i="1"/>
  <c r="N182" i="1"/>
  <c r="M182" i="1"/>
  <c r="L182" i="1"/>
  <c r="K182" i="1"/>
  <c r="J182" i="1"/>
  <c r="I182" i="1"/>
  <c r="H182" i="1"/>
  <c r="G182" i="1"/>
  <c r="F182" i="1"/>
  <c r="E182" i="1"/>
  <c r="B182" i="1"/>
  <c r="N181" i="1"/>
  <c r="M181" i="1"/>
  <c r="L181" i="1"/>
  <c r="K181" i="1"/>
  <c r="J181" i="1"/>
  <c r="I181" i="1"/>
  <c r="H181" i="1"/>
  <c r="G181" i="1"/>
  <c r="F181" i="1"/>
  <c r="E181" i="1"/>
  <c r="B181" i="1"/>
  <c r="N180" i="1"/>
  <c r="M180" i="1"/>
  <c r="L180" i="1"/>
  <c r="K180" i="1"/>
  <c r="J180" i="1"/>
  <c r="I180" i="1"/>
  <c r="H180" i="1"/>
  <c r="G180" i="1"/>
  <c r="F180" i="1"/>
  <c r="E180" i="1"/>
  <c r="B180" i="1"/>
  <c r="N179" i="1"/>
  <c r="M179" i="1"/>
  <c r="L179" i="1"/>
  <c r="K179" i="1"/>
  <c r="J179" i="1"/>
  <c r="I179" i="1"/>
  <c r="H179" i="1"/>
  <c r="G179" i="1"/>
  <c r="F179" i="1"/>
  <c r="E179" i="1"/>
  <c r="B179" i="1"/>
  <c r="N178" i="1"/>
  <c r="M178" i="1"/>
  <c r="L178" i="1"/>
  <c r="K178" i="1"/>
  <c r="J178" i="1"/>
  <c r="I178" i="1"/>
  <c r="H178" i="1"/>
  <c r="G178" i="1"/>
  <c r="F178" i="1"/>
  <c r="E178" i="1"/>
  <c r="B178" i="1"/>
  <c r="N177" i="1"/>
  <c r="M177" i="1"/>
  <c r="L177" i="1"/>
  <c r="K177" i="1"/>
  <c r="J177" i="1"/>
  <c r="I177" i="1"/>
  <c r="H177" i="1"/>
  <c r="G177" i="1"/>
  <c r="F177" i="1"/>
  <c r="E177" i="1"/>
  <c r="B177" i="1"/>
  <c r="N176" i="1"/>
  <c r="M176" i="1"/>
  <c r="L176" i="1"/>
  <c r="K176" i="1"/>
  <c r="J176" i="1"/>
  <c r="I176" i="1"/>
  <c r="H176" i="1"/>
  <c r="G176" i="1"/>
  <c r="F176" i="1"/>
  <c r="E176" i="1"/>
  <c r="B176" i="1"/>
  <c r="N175" i="1"/>
  <c r="M175" i="1"/>
  <c r="L175" i="1"/>
  <c r="K175" i="1"/>
  <c r="J175" i="1"/>
  <c r="I175" i="1"/>
  <c r="H175" i="1"/>
  <c r="G175" i="1"/>
  <c r="F175" i="1"/>
  <c r="E175" i="1"/>
  <c r="B175" i="1"/>
  <c r="N174" i="1"/>
  <c r="M174" i="1"/>
  <c r="L174" i="1"/>
  <c r="K174" i="1"/>
  <c r="J174" i="1"/>
  <c r="I174" i="1"/>
  <c r="H174" i="1"/>
  <c r="G174" i="1"/>
  <c r="F174" i="1"/>
  <c r="E174" i="1"/>
  <c r="B174" i="1"/>
  <c r="N173" i="1"/>
  <c r="M173" i="1"/>
  <c r="L173" i="1"/>
  <c r="K173" i="1"/>
  <c r="J173" i="1"/>
  <c r="I173" i="1"/>
  <c r="H173" i="1"/>
  <c r="G173" i="1"/>
  <c r="F173" i="1"/>
  <c r="E173" i="1"/>
  <c r="B173" i="1"/>
  <c r="N172" i="1"/>
  <c r="M172" i="1"/>
  <c r="L172" i="1"/>
  <c r="K172" i="1"/>
  <c r="J172" i="1"/>
  <c r="I172" i="1"/>
  <c r="H172" i="1"/>
  <c r="G172" i="1"/>
  <c r="F172" i="1"/>
  <c r="E172" i="1"/>
  <c r="B172" i="1"/>
  <c r="N171" i="1"/>
  <c r="M171" i="1"/>
  <c r="L171" i="1"/>
  <c r="K171" i="1"/>
  <c r="J171" i="1"/>
  <c r="I171" i="1"/>
  <c r="H171" i="1"/>
  <c r="G171" i="1"/>
  <c r="F171" i="1"/>
  <c r="E171" i="1"/>
  <c r="B171" i="1"/>
  <c r="N170" i="1"/>
  <c r="M170" i="1"/>
  <c r="L170" i="1"/>
  <c r="K170" i="1"/>
  <c r="J170" i="1"/>
  <c r="I170" i="1"/>
  <c r="H170" i="1"/>
  <c r="G170" i="1"/>
  <c r="F170" i="1"/>
  <c r="E170" i="1"/>
  <c r="B170" i="1"/>
  <c r="N169" i="1"/>
  <c r="M169" i="1"/>
  <c r="L169" i="1"/>
  <c r="K169" i="1"/>
  <c r="J169" i="1"/>
  <c r="I169" i="1"/>
  <c r="H169" i="1"/>
  <c r="G169" i="1"/>
  <c r="F169" i="1"/>
  <c r="E169" i="1"/>
  <c r="B169" i="1"/>
  <c r="N168" i="1"/>
  <c r="M168" i="1"/>
  <c r="L168" i="1"/>
  <c r="K168" i="1"/>
  <c r="J168" i="1"/>
  <c r="I168" i="1"/>
  <c r="H168" i="1"/>
  <c r="G168" i="1"/>
  <c r="F168" i="1"/>
  <c r="E168" i="1"/>
  <c r="B168" i="1"/>
  <c r="N167" i="1"/>
  <c r="M167" i="1"/>
  <c r="L167" i="1"/>
  <c r="K167" i="1"/>
  <c r="J167" i="1"/>
  <c r="I167" i="1"/>
  <c r="H167" i="1"/>
  <c r="G167" i="1"/>
  <c r="F167" i="1"/>
  <c r="E167" i="1"/>
  <c r="B167" i="1"/>
  <c r="N166" i="1"/>
  <c r="M166" i="1"/>
  <c r="L166" i="1"/>
  <c r="K166" i="1"/>
  <c r="J166" i="1"/>
  <c r="I166" i="1"/>
  <c r="H166" i="1"/>
  <c r="G166" i="1"/>
  <c r="F166" i="1"/>
  <c r="E166" i="1"/>
  <c r="B166" i="1"/>
  <c r="N165" i="1"/>
  <c r="M165" i="1"/>
  <c r="L165" i="1"/>
  <c r="K165" i="1"/>
  <c r="J165" i="1"/>
  <c r="I165" i="1"/>
  <c r="H165" i="1"/>
  <c r="G165" i="1"/>
  <c r="F165" i="1"/>
  <c r="E165" i="1"/>
  <c r="B165" i="1"/>
  <c r="N164" i="1"/>
  <c r="M164" i="1"/>
  <c r="L164" i="1"/>
  <c r="K164" i="1"/>
  <c r="J164" i="1"/>
  <c r="I164" i="1"/>
  <c r="H164" i="1"/>
  <c r="G164" i="1"/>
  <c r="F164" i="1"/>
  <c r="E164" i="1"/>
  <c r="B164" i="1"/>
  <c r="N163" i="1"/>
  <c r="M163" i="1"/>
  <c r="L163" i="1"/>
  <c r="K163" i="1"/>
  <c r="J163" i="1"/>
  <c r="I163" i="1"/>
  <c r="H163" i="1"/>
  <c r="G163" i="1"/>
  <c r="F163" i="1"/>
  <c r="E163" i="1"/>
  <c r="B163" i="1"/>
  <c r="N162" i="1"/>
  <c r="M162" i="1"/>
  <c r="L162" i="1"/>
  <c r="K162" i="1"/>
  <c r="J162" i="1"/>
  <c r="I162" i="1"/>
  <c r="H162" i="1"/>
  <c r="G162" i="1"/>
  <c r="F162" i="1"/>
  <c r="E162" i="1"/>
  <c r="B162" i="1"/>
  <c r="N161" i="1"/>
  <c r="M161" i="1"/>
  <c r="L161" i="1"/>
  <c r="K161" i="1"/>
  <c r="J161" i="1"/>
  <c r="I161" i="1"/>
  <c r="H161" i="1"/>
  <c r="G161" i="1"/>
  <c r="F161" i="1"/>
  <c r="E161" i="1"/>
  <c r="B161" i="1"/>
  <c r="N160" i="1"/>
  <c r="M160" i="1"/>
  <c r="L160" i="1"/>
  <c r="K160" i="1"/>
  <c r="J160" i="1"/>
  <c r="I160" i="1"/>
  <c r="H160" i="1"/>
  <c r="G160" i="1"/>
  <c r="F160" i="1"/>
  <c r="E160" i="1"/>
  <c r="B160" i="1"/>
  <c r="N159" i="1"/>
  <c r="M159" i="1"/>
  <c r="L159" i="1"/>
  <c r="K159" i="1"/>
  <c r="J159" i="1"/>
  <c r="I159" i="1"/>
  <c r="H159" i="1"/>
  <c r="G159" i="1"/>
  <c r="F159" i="1"/>
  <c r="E159" i="1"/>
  <c r="B159" i="1"/>
  <c r="N158" i="1"/>
  <c r="M158" i="1"/>
  <c r="L158" i="1"/>
  <c r="K158" i="1"/>
  <c r="J158" i="1"/>
  <c r="I158" i="1"/>
  <c r="H158" i="1"/>
  <c r="G158" i="1"/>
  <c r="F158" i="1"/>
  <c r="E158" i="1"/>
  <c r="B158" i="1"/>
  <c r="N157" i="1"/>
  <c r="M157" i="1"/>
  <c r="L157" i="1"/>
  <c r="K157" i="1"/>
  <c r="J157" i="1"/>
  <c r="I157" i="1"/>
  <c r="H157" i="1"/>
  <c r="G157" i="1"/>
  <c r="F157" i="1"/>
  <c r="E157" i="1"/>
  <c r="B157" i="1"/>
  <c r="N156" i="1"/>
  <c r="M156" i="1"/>
  <c r="L156" i="1"/>
  <c r="K156" i="1"/>
  <c r="J156" i="1"/>
  <c r="I156" i="1"/>
  <c r="H156" i="1"/>
  <c r="G156" i="1"/>
  <c r="F156" i="1"/>
  <c r="E156" i="1"/>
  <c r="B156" i="1"/>
  <c r="N155" i="1"/>
  <c r="M155" i="1"/>
  <c r="L155" i="1"/>
  <c r="K155" i="1"/>
  <c r="J155" i="1"/>
  <c r="I155" i="1"/>
  <c r="H155" i="1"/>
  <c r="G155" i="1"/>
  <c r="F155" i="1"/>
  <c r="E155" i="1"/>
  <c r="B155" i="1"/>
  <c r="N154" i="1"/>
  <c r="M154" i="1"/>
  <c r="L154" i="1"/>
  <c r="K154" i="1"/>
  <c r="J154" i="1"/>
  <c r="I154" i="1"/>
  <c r="H154" i="1"/>
  <c r="G154" i="1"/>
  <c r="F154" i="1"/>
  <c r="E154" i="1"/>
  <c r="B154" i="1"/>
  <c r="N153" i="1"/>
  <c r="M153" i="1"/>
  <c r="L153" i="1"/>
  <c r="K153" i="1"/>
  <c r="J153" i="1"/>
  <c r="I153" i="1"/>
  <c r="H153" i="1"/>
  <c r="G153" i="1"/>
  <c r="F153" i="1"/>
  <c r="E153" i="1"/>
  <c r="B153" i="1"/>
  <c r="N152" i="1"/>
  <c r="M152" i="1"/>
  <c r="L152" i="1"/>
  <c r="K152" i="1"/>
  <c r="J152" i="1"/>
  <c r="I152" i="1"/>
  <c r="H152" i="1"/>
  <c r="G152" i="1"/>
  <c r="F152" i="1"/>
  <c r="E152" i="1"/>
  <c r="B152" i="1"/>
  <c r="N151" i="1"/>
  <c r="M151" i="1"/>
  <c r="L151" i="1"/>
  <c r="K151" i="1"/>
  <c r="J151" i="1"/>
  <c r="I151" i="1"/>
  <c r="H151" i="1"/>
  <c r="G151" i="1"/>
  <c r="F151" i="1"/>
  <c r="E151" i="1"/>
  <c r="B151" i="1"/>
  <c r="N150" i="1"/>
  <c r="M150" i="1"/>
  <c r="L150" i="1"/>
  <c r="K150" i="1"/>
  <c r="J150" i="1"/>
  <c r="I150" i="1"/>
  <c r="H150" i="1"/>
  <c r="G150" i="1"/>
  <c r="F150" i="1"/>
  <c r="E150" i="1"/>
  <c r="B150" i="1"/>
  <c r="N149" i="1"/>
  <c r="M149" i="1"/>
  <c r="L149" i="1"/>
  <c r="K149" i="1"/>
  <c r="J149" i="1"/>
  <c r="I149" i="1"/>
  <c r="H149" i="1"/>
  <c r="G149" i="1"/>
  <c r="F149" i="1"/>
  <c r="E149" i="1"/>
  <c r="T117" i="1" s="1"/>
  <c r="B149" i="1"/>
  <c r="N148" i="1"/>
  <c r="M148" i="1"/>
  <c r="L148" i="1"/>
  <c r="K148" i="1"/>
  <c r="J148" i="1"/>
  <c r="I148" i="1"/>
  <c r="H148" i="1"/>
  <c r="G148" i="1"/>
  <c r="F148" i="1"/>
  <c r="E148" i="1"/>
  <c r="B148" i="1"/>
  <c r="N147" i="1"/>
  <c r="M147" i="1"/>
  <c r="L147" i="1"/>
  <c r="K147" i="1"/>
  <c r="J147" i="1"/>
  <c r="I147" i="1"/>
  <c r="H147" i="1"/>
  <c r="G147" i="1"/>
  <c r="F147" i="1"/>
  <c r="E147" i="1"/>
  <c r="B147" i="1"/>
  <c r="N146" i="1"/>
  <c r="M146" i="1"/>
  <c r="L146" i="1"/>
  <c r="K146" i="1"/>
  <c r="J146" i="1"/>
  <c r="I146" i="1"/>
  <c r="H146" i="1"/>
  <c r="G146" i="1"/>
  <c r="F146" i="1"/>
  <c r="E146" i="1"/>
  <c r="B146" i="1"/>
  <c r="N145" i="1"/>
  <c r="M145" i="1"/>
  <c r="L145" i="1"/>
  <c r="K145" i="1"/>
  <c r="J145" i="1"/>
  <c r="I145" i="1"/>
  <c r="H145" i="1"/>
  <c r="G145" i="1"/>
  <c r="F145" i="1"/>
  <c r="E145" i="1"/>
  <c r="B145" i="1"/>
  <c r="N144" i="1"/>
  <c r="M144" i="1"/>
  <c r="L144" i="1"/>
  <c r="K144" i="1"/>
  <c r="J144" i="1"/>
  <c r="I144" i="1"/>
  <c r="H144" i="1"/>
  <c r="G144" i="1"/>
  <c r="F144" i="1"/>
  <c r="E144" i="1"/>
  <c r="B144" i="1"/>
  <c r="N143" i="1"/>
  <c r="M143" i="1"/>
  <c r="L143" i="1"/>
  <c r="K143" i="1"/>
  <c r="J143" i="1"/>
  <c r="I143" i="1"/>
  <c r="H143" i="1"/>
  <c r="G143" i="1"/>
  <c r="F143" i="1"/>
  <c r="E143" i="1"/>
  <c r="B143" i="1"/>
  <c r="N142" i="1"/>
  <c r="U215" i="1" s="1"/>
  <c r="M142" i="1"/>
  <c r="L142" i="1"/>
  <c r="K142" i="1"/>
  <c r="J142" i="1"/>
  <c r="I142" i="1"/>
  <c r="H142" i="1"/>
  <c r="G142" i="1"/>
  <c r="F142" i="1"/>
  <c r="E142" i="1"/>
  <c r="B142" i="1"/>
  <c r="N141" i="1"/>
  <c r="M141" i="1"/>
  <c r="L141" i="1"/>
  <c r="K141" i="1"/>
  <c r="J141" i="1"/>
  <c r="I141" i="1"/>
  <c r="H141" i="1"/>
  <c r="G141" i="1"/>
  <c r="F141" i="1"/>
  <c r="E141" i="1"/>
  <c r="B141" i="1"/>
  <c r="N140" i="1"/>
  <c r="M140" i="1"/>
  <c r="L140" i="1"/>
  <c r="K140" i="1"/>
  <c r="J140" i="1"/>
  <c r="I140" i="1"/>
  <c r="H140" i="1"/>
  <c r="G140" i="1"/>
  <c r="F140" i="1"/>
  <c r="E140" i="1"/>
  <c r="B140" i="1"/>
  <c r="N139" i="1"/>
  <c r="M139" i="1"/>
  <c r="L139" i="1"/>
  <c r="K139" i="1"/>
  <c r="J139" i="1"/>
  <c r="I139" i="1"/>
  <c r="H139" i="1"/>
  <c r="G139" i="1"/>
  <c r="F139" i="1"/>
  <c r="E139" i="1"/>
  <c r="N138" i="1"/>
  <c r="M138" i="1"/>
  <c r="L138" i="1"/>
  <c r="K138" i="1"/>
  <c r="J138" i="1"/>
  <c r="I138" i="1"/>
  <c r="H138" i="1"/>
  <c r="G138" i="1"/>
  <c r="F138" i="1"/>
  <c r="E138" i="1"/>
  <c r="N137" i="1"/>
  <c r="M137" i="1"/>
  <c r="L137" i="1"/>
  <c r="K137" i="1"/>
  <c r="J137" i="1"/>
  <c r="I137" i="1"/>
  <c r="H137" i="1"/>
  <c r="G137" i="1"/>
  <c r="F137" i="1"/>
  <c r="E137" i="1"/>
  <c r="N136" i="1"/>
  <c r="M136" i="1"/>
  <c r="L136" i="1"/>
  <c r="K136" i="1"/>
  <c r="J136" i="1"/>
  <c r="I136" i="1"/>
  <c r="H136" i="1"/>
  <c r="G136" i="1"/>
  <c r="F136" i="1"/>
  <c r="E136" i="1"/>
  <c r="N135" i="1"/>
  <c r="M135" i="1"/>
  <c r="L135" i="1"/>
  <c r="K135" i="1"/>
  <c r="J135" i="1"/>
  <c r="I135" i="1"/>
  <c r="H135" i="1"/>
  <c r="G135" i="1"/>
  <c r="F135" i="1"/>
  <c r="E135" i="1"/>
  <c r="N134" i="1"/>
  <c r="M134" i="1"/>
  <c r="L134" i="1"/>
  <c r="K134" i="1"/>
  <c r="J134" i="1"/>
  <c r="I134" i="1"/>
  <c r="H134" i="1"/>
  <c r="G134" i="1"/>
  <c r="F134" i="1"/>
  <c r="E134" i="1"/>
  <c r="N133" i="1"/>
  <c r="M133" i="1"/>
  <c r="L133" i="1"/>
  <c r="K133" i="1"/>
  <c r="J133" i="1"/>
  <c r="I133" i="1"/>
  <c r="H133" i="1"/>
  <c r="G133" i="1"/>
  <c r="F133" i="1"/>
  <c r="E133" i="1"/>
  <c r="N132" i="1"/>
  <c r="M132" i="1"/>
  <c r="L132" i="1"/>
  <c r="K132" i="1"/>
  <c r="J132" i="1"/>
  <c r="I132" i="1"/>
  <c r="H132" i="1"/>
  <c r="G132" i="1"/>
  <c r="F132" i="1"/>
  <c r="E132" i="1"/>
  <c r="N131" i="1"/>
  <c r="M131" i="1"/>
  <c r="L131" i="1"/>
  <c r="K131" i="1"/>
  <c r="J131" i="1"/>
  <c r="I131" i="1"/>
  <c r="H131" i="1"/>
  <c r="G131" i="1"/>
  <c r="F131" i="1"/>
  <c r="E131" i="1"/>
  <c r="N130" i="1"/>
  <c r="M130" i="1"/>
  <c r="L130" i="1"/>
  <c r="K130" i="1"/>
  <c r="J130" i="1"/>
  <c r="I130" i="1"/>
  <c r="H130" i="1"/>
  <c r="G130" i="1"/>
  <c r="F130" i="1"/>
  <c r="E130" i="1"/>
  <c r="N129" i="1"/>
  <c r="M129" i="1"/>
  <c r="L129" i="1"/>
  <c r="K129" i="1"/>
  <c r="J129" i="1"/>
  <c r="I129" i="1"/>
  <c r="U196" i="1" s="1"/>
  <c r="H129" i="1"/>
  <c r="G129" i="1"/>
  <c r="F129" i="1"/>
  <c r="E129" i="1"/>
  <c r="N128" i="1"/>
  <c r="M128" i="1"/>
  <c r="L128" i="1"/>
  <c r="K128" i="1"/>
  <c r="J128" i="1"/>
  <c r="I128" i="1"/>
  <c r="H128" i="1"/>
  <c r="G128" i="1"/>
  <c r="F128" i="1"/>
  <c r="E128" i="1"/>
  <c r="N127" i="1"/>
  <c r="M127" i="1"/>
  <c r="L127" i="1"/>
  <c r="K127" i="1"/>
  <c r="J127" i="1"/>
  <c r="I127" i="1"/>
  <c r="H127" i="1"/>
  <c r="G127" i="1"/>
  <c r="F127" i="1"/>
  <c r="E127" i="1"/>
  <c r="N126" i="1"/>
  <c r="M126" i="1"/>
  <c r="L126" i="1"/>
  <c r="K126" i="1"/>
  <c r="S205" i="1" s="1"/>
  <c r="S231" i="1" s="1"/>
  <c r="J126" i="1"/>
  <c r="I126" i="1"/>
  <c r="H126" i="1"/>
  <c r="G126" i="1"/>
  <c r="F126" i="1"/>
  <c r="E126" i="1"/>
  <c r="N125" i="1"/>
  <c r="M125" i="1"/>
  <c r="L125" i="1"/>
  <c r="K125" i="1"/>
  <c r="J125" i="1"/>
  <c r="I125" i="1"/>
  <c r="H125" i="1"/>
  <c r="G125" i="1"/>
  <c r="F125" i="1"/>
  <c r="E125" i="1"/>
  <c r="N124" i="1"/>
  <c r="M124" i="1"/>
  <c r="U201" i="1" s="1"/>
  <c r="L124" i="1"/>
  <c r="K124" i="1"/>
  <c r="J124" i="1"/>
  <c r="I124" i="1"/>
  <c r="H124" i="1"/>
  <c r="G124" i="1"/>
  <c r="F124" i="1"/>
  <c r="E124" i="1"/>
  <c r="N123" i="1"/>
  <c r="M123" i="1"/>
  <c r="L123" i="1"/>
  <c r="K123" i="1"/>
  <c r="J123" i="1"/>
  <c r="I123" i="1"/>
  <c r="U192" i="1" s="1"/>
  <c r="H123" i="1"/>
  <c r="G123" i="1"/>
  <c r="F123" i="1"/>
  <c r="E123" i="1"/>
  <c r="N122" i="1"/>
  <c r="M122" i="1"/>
  <c r="L122" i="1"/>
  <c r="K122" i="1"/>
  <c r="J122" i="1"/>
  <c r="I122" i="1"/>
  <c r="H122" i="1"/>
  <c r="G122" i="1"/>
  <c r="F122" i="1"/>
  <c r="E122" i="1"/>
  <c r="N121" i="1"/>
  <c r="M121" i="1"/>
  <c r="L121" i="1"/>
  <c r="K121" i="1"/>
  <c r="J121" i="1"/>
  <c r="I121" i="1"/>
  <c r="H121" i="1"/>
  <c r="G121" i="1"/>
  <c r="F121" i="1"/>
  <c r="E121" i="1"/>
  <c r="N120" i="1"/>
  <c r="M120" i="1"/>
  <c r="L120" i="1"/>
  <c r="K120" i="1"/>
  <c r="J120" i="1"/>
  <c r="I120" i="1"/>
  <c r="H120" i="1"/>
  <c r="G120" i="1"/>
  <c r="F120" i="1"/>
  <c r="E120" i="1"/>
  <c r="N119" i="1"/>
  <c r="M119" i="1"/>
  <c r="L119" i="1"/>
  <c r="K119" i="1"/>
  <c r="T206" i="1" s="1"/>
  <c r="J119" i="1"/>
  <c r="I119" i="1"/>
  <c r="H119" i="1"/>
  <c r="G119" i="1"/>
  <c r="F119" i="1"/>
  <c r="S126" i="1" s="1"/>
  <c r="E119" i="1"/>
  <c r="N118" i="1"/>
  <c r="M118" i="1"/>
  <c r="T204" i="1" s="1"/>
  <c r="L118" i="1"/>
  <c r="K118" i="1"/>
  <c r="J118" i="1"/>
  <c r="I118" i="1"/>
  <c r="H118" i="1"/>
  <c r="G118" i="1"/>
  <c r="F118" i="1"/>
  <c r="E118" i="1"/>
  <c r="N117" i="1"/>
  <c r="M117" i="1"/>
  <c r="L117" i="1"/>
  <c r="U209" i="1" s="1"/>
  <c r="K117" i="1"/>
  <c r="J117" i="1"/>
  <c r="I117" i="1"/>
  <c r="H117" i="1"/>
  <c r="G117" i="1"/>
  <c r="F117" i="1"/>
  <c r="E117" i="1"/>
  <c r="N116" i="1"/>
  <c r="M116" i="1"/>
  <c r="S196" i="1" s="1"/>
  <c r="L116" i="1"/>
  <c r="K116" i="1"/>
  <c r="U204" i="1" s="1"/>
  <c r="J116" i="1"/>
  <c r="I116" i="1"/>
  <c r="H116" i="1"/>
  <c r="G116" i="1"/>
  <c r="F116" i="1"/>
  <c r="E116" i="1"/>
  <c r="N115" i="1"/>
  <c r="M115" i="1"/>
  <c r="L115" i="1"/>
  <c r="S211" i="1" s="1"/>
  <c r="K115" i="1"/>
  <c r="J115" i="1"/>
  <c r="I115" i="1"/>
  <c r="H115" i="1"/>
  <c r="G115" i="1"/>
  <c r="F115" i="1"/>
  <c r="E115" i="1"/>
  <c r="N114" i="1"/>
  <c r="M114" i="1"/>
  <c r="L114" i="1"/>
  <c r="K114" i="1"/>
  <c r="J114" i="1"/>
  <c r="I114" i="1"/>
  <c r="H114" i="1"/>
  <c r="G114" i="1"/>
  <c r="F114" i="1"/>
  <c r="E114" i="1"/>
  <c r="N113" i="1"/>
  <c r="M113" i="1"/>
  <c r="L113" i="1"/>
  <c r="K113" i="1"/>
  <c r="J113" i="1"/>
  <c r="I113" i="1"/>
  <c r="H113" i="1"/>
  <c r="G113" i="1"/>
  <c r="F113" i="1"/>
  <c r="E113" i="1"/>
  <c r="N112" i="1"/>
  <c r="U214" i="1" s="1"/>
  <c r="M112" i="1"/>
  <c r="T126" i="1" s="1"/>
  <c r="L112" i="1"/>
  <c r="K112" i="1"/>
  <c r="J112" i="1"/>
  <c r="U200" i="1" s="1"/>
  <c r="I112" i="1"/>
  <c r="H112" i="1"/>
  <c r="G112" i="1"/>
  <c r="F112" i="1"/>
  <c r="E112" i="1"/>
  <c r="U117" i="1" s="1"/>
  <c r="N111" i="1"/>
  <c r="M111" i="1"/>
  <c r="L111" i="1"/>
  <c r="K111" i="1"/>
  <c r="J111" i="1"/>
  <c r="I111" i="1"/>
  <c r="H111" i="1"/>
  <c r="G111" i="1"/>
  <c r="T177" i="1" s="1"/>
  <c r="F111" i="1"/>
  <c r="E111" i="1"/>
  <c r="N110" i="1"/>
  <c r="M110" i="1"/>
  <c r="L110" i="1"/>
  <c r="K110" i="1"/>
  <c r="J110" i="1"/>
  <c r="S200" i="1" s="1"/>
  <c r="I110" i="1"/>
  <c r="S192" i="1" s="1"/>
  <c r="H110" i="1"/>
  <c r="G110" i="1"/>
  <c r="F110" i="1"/>
  <c r="E110" i="1"/>
  <c r="N109" i="1"/>
  <c r="T215" i="1" s="1"/>
  <c r="M109" i="1"/>
  <c r="L109" i="1"/>
  <c r="T210" i="1" s="1"/>
  <c r="K109" i="1"/>
  <c r="T205" i="1" s="1"/>
  <c r="J109" i="1"/>
  <c r="T201" i="1" s="1"/>
  <c r="I109" i="1"/>
  <c r="H109" i="1"/>
  <c r="G109" i="1"/>
  <c r="U177" i="1" s="1"/>
  <c r="F109" i="1"/>
  <c r="U123" i="1" s="1"/>
  <c r="E109" i="1"/>
  <c r="N108" i="1"/>
  <c r="M108" i="1"/>
  <c r="L108" i="1"/>
  <c r="K108" i="1"/>
  <c r="J108" i="1"/>
  <c r="I108" i="1"/>
  <c r="H108" i="1"/>
  <c r="G108" i="1"/>
  <c r="F108" i="1"/>
  <c r="E108" i="1"/>
  <c r="N107" i="1"/>
  <c r="M107" i="1"/>
  <c r="L107" i="1"/>
  <c r="K107" i="1"/>
  <c r="J107" i="1"/>
  <c r="I107" i="1"/>
  <c r="H107" i="1"/>
  <c r="G107" i="1"/>
  <c r="F107" i="1"/>
  <c r="E107" i="1"/>
  <c r="B107" i="1"/>
  <c r="N106" i="1"/>
  <c r="M106" i="1"/>
  <c r="L106" i="1"/>
  <c r="K106" i="1"/>
  <c r="J106" i="1"/>
  <c r="I106" i="1"/>
  <c r="H106" i="1"/>
  <c r="G106" i="1"/>
  <c r="F106" i="1"/>
  <c r="E106" i="1"/>
  <c r="N105" i="1"/>
  <c r="M105" i="1"/>
  <c r="L105" i="1"/>
  <c r="K105" i="1"/>
  <c r="J105" i="1"/>
  <c r="I105" i="1"/>
  <c r="H105" i="1"/>
  <c r="G105" i="1"/>
  <c r="F105" i="1"/>
  <c r="E105" i="1"/>
  <c r="N104" i="1"/>
  <c r="M104" i="1"/>
  <c r="L104" i="1"/>
  <c r="K104" i="1"/>
  <c r="J104" i="1"/>
  <c r="I104" i="1"/>
  <c r="H104" i="1"/>
  <c r="G104" i="1"/>
  <c r="F104" i="1"/>
  <c r="E104" i="1"/>
  <c r="N103" i="1"/>
  <c r="M103" i="1"/>
  <c r="L103" i="1"/>
  <c r="K103" i="1"/>
  <c r="J103" i="1"/>
  <c r="I103" i="1"/>
  <c r="H103" i="1"/>
  <c r="G103" i="1"/>
  <c r="F103" i="1"/>
  <c r="E103" i="1"/>
  <c r="B103" i="1"/>
  <c r="N102" i="1"/>
  <c r="M102" i="1"/>
  <c r="L102" i="1"/>
  <c r="K102" i="1"/>
  <c r="J102" i="1"/>
  <c r="I102" i="1"/>
  <c r="H102" i="1"/>
  <c r="G102" i="1"/>
  <c r="F102" i="1"/>
  <c r="E102" i="1"/>
  <c r="N101" i="1"/>
  <c r="M101" i="1"/>
  <c r="L101" i="1"/>
  <c r="K101" i="1"/>
  <c r="J101" i="1"/>
  <c r="I101" i="1"/>
  <c r="H101" i="1"/>
  <c r="G101" i="1"/>
  <c r="F101" i="1"/>
  <c r="E101" i="1"/>
  <c r="N100" i="1"/>
  <c r="M100" i="1"/>
  <c r="L100" i="1"/>
  <c r="K100" i="1"/>
  <c r="J100" i="1"/>
  <c r="I100" i="1"/>
  <c r="H100" i="1"/>
  <c r="G100" i="1"/>
  <c r="F100" i="1"/>
  <c r="E100" i="1"/>
  <c r="N99" i="1"/>
  <c r="M99" i="1"/>
  <c r="L99" i="1"/>
  <c r="K99" i="1"/>
  <c r="J99" i="1"/>
  <c r="I99" i="1"/>
  <c r="H99" i="1"/>
  <c r="G99" i="1"/>
  <c r="F99" i="1"/>
  <c r="E99" i="1"/>
  <c r="G11" i="1"/>
  <c r="U3" i="1"/>
  <c r="T3" i="1"/>
  <c r="N95" i="1"/>
  <c r="M95" i="1"/>
  <c r="L95" i="1"/>
  <c r="K95" i="1"/>
  <c r="J95" i="1"/>
  <c r="I95" i="1"/>
  <c r="H95" i="1"/>
  <c r="G95" i="1"/>
  <c r="F95" i="1"/>
  <c r="E95" i="1"/>
  <c r="B95" i="1"/>
  <c r="N94" i="1"/>
  <c r="M94" i="1"/>
  <c r="L94" i="1"/>
  <c r="K94" i="1"/>
  <c r="J94" i="1"/>
  <c r="I94" i="1"/>
  <c r="H94" i="1"/>
  <c r="G94" i="1"/>
  <c r="F94" i="1"/>
  <c r="E94" i="1"/>
  <c r="B94" i="1"/>
  <c r="N93" i="1"/>
  <c r="M93" i="1"/>
  <c r="L93" i="1"/>
  <c r="K93" i="1"/>
  <c r="J93" i="1"/>
  <c r="I93" i="1"/>
  <c r="H93" i="1"/>
  <c r="G93" i="1"/>
  <c r="F93" i="1"/>
  <c r="E93" i="1"/>
  <c r="B93" i="1"/>
  <c r="N92" i="1"/>
  <c r="M92" i="1"/>
  <c r="L92" i="1"/>
  <c r="K92" i="1"/>
  <c r="J92" i="1"/>
  <c r="I92" i="1"/>
  <c r="H92" i="1"/>
  <c r="G92" i="1"/>
  <c r="F92" i="1"/>
  <c r="E92" i="1"/>
  <c r="B92" i="1"/>
  <c r="N91" i="1"/>
  <c r="M91" i="1"/>
  <c r="L91" i="1"/>
  <c r="K91" i="1"/>
  <c r="J91" i="1"/>
  <c r="I91" i="1"/>
  <c r="H91" i="1"/>
  <c r="G91" i="1"/>
  <c r="F91" i="1"/>
  <c r="E91" i="1"/>
  <c r="B91" i="1"/>
  <c r="N90" i="1"/>
  <c r="M90" i="1"/>
  <c r="L90" i="1"/>
  <c r="K90" i="1"/>
  <c r="J90" i="1"/>
  <c r="I90" i="1"/>
  <c r="H90" i="1"/>
  <c r="G90" i="1"/>
  <c r="F90" i="1"/>
  <c r="E90" i="1"/>
  <c r="B90" i="1"/>
  <c r="N89" i="1"/>
  <c r="M89" i="1"/>
  <c r="L89" i="1"/>
  <c r="K89" i="1"/>
  <c r="J89" i="1"/>
  <c r="I89" i="1"/>
  <c r="H89" i="1"/>
  <c r="G89" i="1"/>
  <c r="F89" i="1"/>
  <c r="E89" i="1"/>
  <c r="B89" i="1"/>
  <c r="N88" i="1"/>
  <c r="M88" i="1"/>
  <c r="L88" i="1"/>
  <c r="K88" i="1"/>
  <c r="J88" i="1"/>
  <c r="I88" i="1"/>
  <c r="H88" i="1"/>
  <c r="G88" i="1"/>
  <c r="F88" i="1"/>
  <c r="E88" i="1"/>
  <c r="B88" i="1"/>
  <c r="N87" i="1"/>
  <c r="M87" i="1"/>
  <c r="L87" i="1"/>
  <c r="K87" i="1"/>
  <c r="J87" i="1"/>
  <c r="I87" i="1"/>
  <c r="H87" i="1"/>
  <c r="G87" i="1"/>
  <c r="F87" i="1"/>
  <c r="E87" i="1"/>
  <c r="B87" i="1"/>
  <c r="N86" i="1"/>
  <c r="M86" i="1"/>
  <c r="L86" i="1"/>
  <c r="K86" i="1"/>
  <c r="J86" i="1"/>
  <c r="I86" i="1"/>
  <c r="H86" i="1"/>
  <c r="G86" i="1"/>
  <c r="F86" i="1"/>
  <c r="E86" i="1"/>
  <c r="B86" i="1"/>
  <c r="N85" i="1"/>
  <c r="M85" i="1"/>
  <c r="L85" i="1"/>
  <c r="K85" i="1"/>
  <c r="J85" i="1"/>
  <c r="I85" i="1"/>
  <c r="H85" i="1"/>
  <c r="G85" i="1"/>
  <c r="F85" i="1"/>
  <c r="E85" i="1"/>
  <c r="B85" i="1"/>
  <c r="N84" i="1"/>
  <c r="M84" i="1"/>
  <c r="L84" i="1"/>
  <c r="K84" i="1"/>
  <c r="J84" i="1"/>
  <c r="I84" i="1"/>
  <c r="H84" i="1"/>
  <c r="G84" i="1"/>
  <c r="F84" i="1"/>
  <c r="E84" i="1"/>
  <c r="B84" i="1"/>
  <c r="N83" i="1"/>
  <c r="M83" i="1"/>
  <c r="L83" i="1"/>
  <c r="K83" i="1"/>
  <c r="J83" i="1"/>
  <c r="I83" i="1"/>
  <c r="H83" i="1"/>
  <c r="G83" i="1"/>
  <c r="F83" i="1"/>
  <c r="E83" i="1"/>
  <c r="B83" i="1"/>
  <c r="N82" i="1"/>
  <c r="M82" i="1"/>
  <c r="L82" i="1"/>
  <c r="K82" i="1"/>
  <c r="J82" i="1"/>
  <c r="I82" i="1"/>
  <c r="H82" i="1"/>
  <c r="G82" i="1"/>
  <c r="F82" i="1"/>
  <c r="E82" i="1"/>
  <c r="B82" i="1"/>
  <c r="N81" i="1"/>
  <c r="M81" i="1"/>
  <c r="L81" i="1"/>
  <c r="K81" i="1"/>
  <c r="J81" i="1"/>
  <c r="I81" i="1"/>
  <c r="H81" i="1"/>
  <c r="G81" i="1"/>
  <c r="F81" i="1"/>
  <c r="E81" i="1"/>
  <c r="B81" i="1"/>
  <c r="N80" i="1"/>
  <c r="M80" i="1"/>
  <c r="L80" i="1"/>
  <c r="K80" i="1"/>
  <c r="J80" i="1"/>
  <c r="I80" i="1"/>
  <c r="H80" i="1"/>
  <c r="G80" i="1"/>
  <c r="F80" i="1"/>
  <c r="E80" i="1"/>
  <c r="B80" i="1"/>
  <c r="N79" i="1"/>
  <c r="M79" i="1"/>
  <c r="L79" i="1"/>
  <c r="K79" i="1"/>
  <c r="J79" i="1"/>
  <c r="I79" i="1"/>
  <c r="H79" i="1"/>
  <c r="G79" i="1"/>
  <c r="F79" i="1"/>
  <c r="E79" i="1"/>
  <c r="B79" i="1"/>
  <c r="N78" i="1"/>
  <c r="M78" i="1"/>
  <c r="L78" i="1"/>
  <c r="K78" i="1"/>
  <c r="J78" i="1"/>
  <c r="I78" i="1"/>
  <c r="H78" i="1"/>
  <c r="G78" i="1"/>
  <c r="F78" i="1"/>
  <c r="E78" i="1"/>
  <c r="B78" i="1"/>
  <c r="N77" i="1"/>
  <c r="M77" i="1"/>
  <c r="L77" i="1"/>
  <c r="K77" i="1"/>
  <c r="J77" i="1"/>
  <c r="I77" i="1"/>
  <c r="H77" i="1"/>
  <c r="G77" i="1"/>
  <c r="F77" i="1"/>
  <c r="E77" i="1"/>
  <c r="B77" i="1"/>
  <c r="N76" i="1"/>
  <c r="M76" i="1"/>
  <c r="L76" i="1"/>
  <c r="K76" i="1"/>
  <c r="J76" i="1"/>
  <c r="I76" i="1"/>
  <c r="H76" i="1"/>
  <c r="G76" i="1"/>
  <c r="F76" i="1"/>
  <c r="E76" i="1"/>
  <c r="B76" i="1"/>
  <c r="N75" i="1"/>
  <c r="M75" i="1"/>
  <c r="L75" i="1"/>
  <c r="K75" i="1"/>
  <c r="J75" i="1"/>
  <c r="I75" i="1"/>
  <c r="H75" i="1"/>
  <c r="G75" i="1"/>
  <c r="F75" i="1"/>
  <c r="E75" i="1"/>
  <c r="B75" i="1"/>
  <c r="N74" i="1"/>
  <c r="M74" i="1"/>
  <c r="L74" i="1"/>
  <c r="K74" i="1"/>
  <c r="J74" i="1"/>
  <c r="I74" i="1"/>
  <c r="H74" i="1"/>
  <c r="G74" i="1"/>
  <c r="F74" i="1"/>
  <c r="E74" i="1"/>
  <c r="B74" i="1"/>
  <c r="N73" i="1"/>
  <c r="M73" i="1"/>
  <c r="L73" i="1"/>
  <c r="K73" i="1"/>
  <c r="J73" i="1"/>
  <c r="I73" i="1"/>
  <c r="H73" i="1"/>
  <c r="G73" i="1"/>
  <c r="F73" i="1"/>
  <c r="E73" i="1"/>
  <c r="B73" i="1"/>
  <c r="N72" i="1"/>
  <c r="M72" i="1"/>
  <c r="L72" i="1"/>
  <c r="K72" i="1"/>
  <c r="J72" i="1"/>
  <c r="I72" i="1"/>
  <c r="H72" i="1"/>
  <c r="G72" i="1"/>
  <c r="F72" i="1"/>
  <c r="E72" i="1"/>
  <c r="B72" i="1"/>
  <c r="N71" i="1"/>
  <c r="M71" i="1"/>
  <c r="L71" i="1"/>
  <c r="K71" i="1"/>
  <c r="J71" i="1"/>
  <c r="I71" i="1"/>
  <c r="H71" i="1"/>
  <c r="G71" i="1"/>
  <c r="F71" i="1"/>
  <c r="E71" i="1"/>
  <c r="B71" i="1"/>
  <c r="N70" i="1"/>
  <c r="M70" i="1"/>
  <c r="L70" i="1"/>
  <c r="K70" i="1"/>
  <c r="J70" i="1"/>
  <c r="I70" i="1"/>
  <c r="H70" i="1"/>
  <c r="G70" i="1"/>
  <c r="F70" i="1"/>
  <c r="E70" i="1"/>
  <c r="B70" i="1"/>
  <c r="N69" i="1"/>
  <c r="M69" i="1"/>
  <c r="L69" i="1"/>
  <c r="K69" i="1"/>
  <c r="J69" i="1"/>
  <c r="I69" i="1"/>
  <c r="H69" i="1"/>
  <c r="G69" i="1"/>
  <c r="F69" i="1"/>
  <c r="E69" i="1"/>
  <c r="B69" i="1"/>
  <c r="N68" i="1"/>
  <c r="M68" i="1"/>
  <c r="L68" i="1"/>
  <c r="K68" i="1"/>
  <c r="J68" i="1"/>
  <c r="I68" i="1"/>
  <c r="H68" i="1"/>
  <c r="G68" i="1"/>
  <c r="F68" i="1"/>
  <c r="E68" i="1"/>
  <c r="B68" i="1"/>
  <c r="N67" i="1"/>
  <c r="M67" i="1"/>
  <c r="L67" i="1"/>
  <c r="K67" i="1"/>
  <c r="J67" i="1"/>
  <c r="I67" i="1"/>
  <c r="H67" i="1"/>
  <c r="G67" i="1"/>
  <c r="F67" i="1"/>
  <c r="E67" i="1"/>
  <c r="B67" i="1"/>
  <c r="N66" i="1"/>
  <c r="M66" i="1"/>
  <c r="L66" i="1"/>
  <c r="K66" i="1"/>
  <c r="J66" i="1"/>
  <c r="I66" i="1"/>
  <c r="H66" i="1"/>
  <c r="G66" i="1"/>
  <c r="F66" i="1"/>
  <c r="E66" i="1"/>
  <c r="B66" i="1"/>
  <c r="N65" i="1"/>
  <c r="M65" i="1"/>
  <c r="L65" i="1"/>
  <c r="K65" i="1"/>
  <c r="J65" i="1"/>
  <c r="I65" i="1"/>
  <c r="H65" i="1"/>
  <c r="G65" i="1"/>
  <c r="F65" i="1"/>
  <c r="E65" i="1"/>
  <c r="B65" i="1"/>
  <c r="N64" i="1"/>
  <c r="M64" i="1"/>
  <c r="L64" i="1"/>
  <c r="K64" i="1"/>
  <c r="J64" i="1"/>
  <c r="I64" i="1"/>
  <c r="H64" i="1"/>
  <c r="G64" i="1"/>
  <c r="F64" i="1"/>
  <c r="E64" i="1"/>
  <c r="B64" i="1"/>
  <c r="N63" i="1"/>
  <c r="M63" i="1"/>
  <c r="L63" i="1"/>
  <c r="K63" i="1"/>
  <c r="J63" i="1"/>
  <c r="I63" i="1"/>
  <c r="H63" i="1"/>
  <c r="G63" i="1"/>
  <c r="F63" i="1"/>
  <c r="E63" i="1"/>
  <c r="B63" i="1"/>
  <c r="N62" i="1"/>
  <c r="M62" i="1"/>
  <c r="L62" i="1"/>
  <c r="K62" i="1"/>
  <c r="J62" i="1"/>
  <c r="I62" i="1"/>
  <c r="H62" i="1"/>
  <c r="G62" i="1"/>
  <c r="F62" i="1"/>
  <c r="E62" i="1"/>
  <c r="B62" i="1"/>
  <c r="N61" i="1"/>
  <c r="M61" i="1"/>
  <c r="L61" i="1"/>
  <c r="K61" i="1"/>
  <c r="J61" i="1"/>
  <c r="I61" i="1"/>
  <c r="H61" i="1"/>
  <c r="G61" i="1"/>
  <c r="F61" i="1"/>
  <c r="E61" i="1"/>
  <c r="B61" i="1"/>
  <c r="N60" i="1"/>
  <c r="M60" i="1"/>
  <c r="L60" i="1"/>
  <c r="K60" i="1"/>
  <c r="J60" i="1"/>
  <c r="I60" i="1"/>
  <c r="H60" i="1"/>
  <c r="G60" i="1"/>
  <c r="F60" i="1"/>
  <c r="E60" i="1"/>
  <c r="B60" i="1"/>
  <c r="N59" i="1"/>
  <c r="M59" i="1"/>
  <c r="L59" i="1"/>
  <c r="K59" i="1"/>
  <c r="J59" i="1"/>
  <c r="I59" i="1"/>
  <c r="H59" i="1"/>
  <c r="G59" i="1"/>
  <c r="F59" i="1"/>
  <c r="E59" i="1"/>
  <c r="B59" i="1"/>
  <c r="N58" i="1"/>
  <c r="M58" i="1"/>
  <c r="L58" i="1"/>
  <c r="K58" i="1"/>
  <c r="J58" i="1"/>
  <c r="I58" i="1"/>
  <c r="H58" i="1"/>
  <c r="G58" i="1"/>
  <c r="F58" i="1"/>
  <c r="E58" i="1"/>
  <c r="B58" i="1"/>
  <c r="N57" i="1"/>
  <c r="M57" i="1"/>
  <c r="L57" i="1"/>
  <c r="K57" i="1"/>
  <c r="J57" i="1"/>
  <c r="I57" i="1"/>
  <c r="H57" i="1"/>
  <c r="G57" i="1"/>
  <c r="F57" i="1"/>
  <c r="E57" i="1"/>
  <c r="B57" i="1"/>
  <c r="N56" i="1"/>
  <c r="M56" i="1"/>
  <c r="L56" i="1"/>
  <c r="K56" i="1"/>
  <c r="J56" i="1"/>
  <c r="I56" i="1"/>
  <c r="H56" i="1"/>
  <c r="G56" i="1"/>
  <c r="F56" i="1"/>
  <c r="E56" i="1"/>
  <c r="B56" i="1"/>
  <c r="N55" i="1"/>
  <c r="M55" i="1"/>
  <c r="L55" i="1"/>
  <c r="K55" i="1"/>
  <c r="J55" i="1"/>
  <c r="I55" i="1"/>
  <c r="H55" i="1"/>
  <c r="G55" i="1"/>
  <c r="F55" i="1"/>
  <c r="E55" i="1"/>
  <c r="B55" i="1"/>
  <c r="N54" i="1"/>
  <c r="M54" i="1"/>
  <c r="L54" i="1"/>
  <c r="K54" i="1"/>
  <c r="J54" i="1"/>
  <c r="I54" i="1"/>
  <c r="H54" i="1"/>
  <c r="G54" i="1"/>
  <c r="F54" i="1"/>
  <c r="E54" i="1"/>
  <c r="B54" i="1"/>
  <c r="N53" i="1"/>
  <c r="M53" i="1"/>
  <c r="L53" i="1"/>
  <c r="K53" i="1"/>
  <c r="J53" i="1"/>
  <c r="I53" i="1"/>
  <c r="H53" i="1"/>
  <c r="G53" i="1"/>
  <c r="F53" i="1"/>
  <c r="E53" i="1"/>
  <c r="B53" i="1"/>
  <c r="N52" i="1"/>
  <c r="M52" i="1"/>
  <c r="L52" i="1"/>
  <c r="K52" i="1"/>
  <c r="J52" i="1"/>
  <c r="I52" i="1"/>
  <c r="H52" i="1"/>
  <c r="G52" i="1"/>
  <c r="F52" i="1"/>
  <c r="E52" i="1"/>
  <c r="B52" i="1"/>
  <c r="N51" i="1"/>
  <c r="M51" i="1"/>
  <c r="L51" i="1"/>
  <c r="K51" i="1"/>
  <c r="J51" i="1"/>
  <c r="I51" i="1"/>
  <c r="H51" i="1"/>
  <c r="G51" i="1"/>
  <c r="F51" i="1"/>
  <c r="E51" i="1"/>
  <c r="B51" i="1"/>
  <c r="N50" i="1"/>
  <c r="M50" i="1"/>
  <c r="L50" i="1"/>
  <c r="K50" i="1"/>
  <c r="J50" i="1"/>
  <c r="I50" i="1"/>
  <c r="H50" i="1"/>
  <c r="G50" i="1"/>
  <c r="F50" i="1"/>
  <c r="E50" i="1"/>
  <c r="B50" i="1"/>
  <c r="N49" i="1"/>
  <c r="M49" i="1"/>
  <c r="L49" i="1"/>
  <c r="K49" i="1"/>
  <c r="J49" i="1"/>
  <c r="I49" i="1"/>
  <c r="H49" i="1"/>
  <c r="G49" i="1"/>
  <c r="F49" i="1"/>
  <c r="E49" i="1"/>
  <c r="B49" i="1"/>
  <c r="N48" i="1"/>
  <c r="M48" i="1"/>
  <c r="L48" i="1"/>
  <c r="K48" i="1"/>
  <c r="J48" i="1"/>
  <c r="I48" i="1"/>
  <c r="H48" i="1"/>
  <c r="G48" i="1"/>
  <c r="F48" i="1"/>
  <c r="E48" i="1"/>
  <c r="B48" i="1"/>
  <c r="N47" i="1"/>
  <c r="M47" i="1"/>
  <c r="L47" i="1"/>
  <c r="K47" i="1"/>
  <c r="J47" i="1"/>
  <c r="I47" i="1"/>
  <c r="H47" i="1"/>
  <c r="G47" i="1"/>
  <c r="F47" i="1"/>
  <c r="E47" i="1"/>
  <c r="B47" i="1"/>
  <c r="N46" i="1"/>
  <c r="M46" i="1"/>
  <c r="L46" i="1"/>
  <c r="K46" i="1"/>
  <c r="J46" i="1"/>
  <c r="I46" i="1"/>
  <c r="H46" i="1"/>
  <c r="G46" i="1"/>
  <c r="F46" i="1"/>
  <c r="E46" i="1"/>
  <c r="B46" i="1"/>
  <c r="N45" i="1"/>
  <c r="M45" i="1"/>
  <c r="L45" i="1"/>
  <c r="K45" i="1"/>
  <c r="J45" i="1"/>
  <c r="I45" i="1"/>
  <c r="H45" i="1"/>
  <c r="G45" i="1"/>
  <c r="F45" i="1"/>
  <c r="E45" i="1"/>
  <c r="B45" i="1"/>
  <c r="N44" i="1"/>
  <c r="M44" i="1"/>
  <c r="L44" i="1"/>
  <c r="K44" i="1"/>
  <c r="J44" i="1"/>
  <c r="I44" i="1"/>
  <c r="H44" i="1"/>
  <c r="G44" i="1"/>
  <c r="F44" i="1"/>
  <c r="E44" i="1"/>
  <c r="B44" i="1"/>
  <c r="N43" i="1"/>
  <c r="M43" i="1"/>
  <c r="L43" i="1"/>
  <c r="K43" i="1"/>
  <c r="J43" i="1"/>
  <c r="I43" i="1"/>
  <c r="H43" i="1"/>
  <c r="G43" i="1"/>
  <c r="F43" i="1"/>
  <c r="E43" i="1"/>
  <c r="N42" i="1"/>
  <c r="M42" i="1"/>
  <c r="L42" i="1"/>
  <c r="K42" i="1"/>
  <c r="J42" i="1"/>
  <c r="I42" i="1"/>
  <c r="H42" i="1"/>
  <c r="G42" i="1"/>
  <c r="F42" i="1"/>
  <c r="E42" i="1"/>
  <c r="N41" i="1"/>
  <c r="M41" i="1"/>
  <c r="L41" i="1"/>
  <c r="K41" i="1"/>
  <c r="J41" i="1"/>
  <c r="I41" i="1"/>
  <c r="H41" i="1"/>
  <c r="G41" i="1"/>
  <c r="F41" i="1"/>
  <c r="E41" i="1"/>
  <c r="N40" i="1"/>
  <c r="M40" i="1"/>
  <c r="L40" i="1"/>
  <c r="K40" i="1"/>
  <c r="J40" i="1"/>
  <c r="I40" i="1"/>
  <c r="H40" i="1"/>
  <c r="G40" i="1"/>
  <c r="F40" i="1"/>
  <c r="E40" i="1"/>
  <c r="N39" i="1"/>
  <c r="M39" i="1"/>
  <c r="L39" i="1"/>
  <c r="K39" i="1"/>
  <c r="J39" i="1"/>
  <c r="I39" i="1"/>
  <c r="H39" i="1"/>
  <c r="G39" i="1"/>
  <c r="F39" i="1"/>
  <c r="E39" i="1"/>
  <c r="N38" i="1"/>
  <c r="M38" i="1"/>
  <c r="L38" i="1"/>
  <c r="K38" i="1"/>
  <c r="J38" i="1"/>
  <c r="I38" i="1"/>
  <c r="H38" i="1"/>
  <c r="G38" i="1"/>
  <c r="F38" i="1"/>
  <c r="E38" i="1"/>
  <c r="N37" i="1"/>
  <c r="M37" i="1"/>
  <c r="L37" i="1"/>
  <c r="K37" i="1"/>
  <c r="J37" i="1"/>
  <c r="I37" i="1"/>
  <c r="H37" i="1"/>
  <c r="G37" i="1"/>
  <c r="F37" i="1"/>
  <c r="E37" i="1"/>
  <c r="N36" i="1"/>
  <c r="M36" i="1"/>
  <c r="L36" i="1"/>
  <c r="K36" i="1"/>
  <c r="J36" i="1"/>
  <c r="I36" i="1"/>
  <c r="H36" i="1"/>
  <c r="G36" i="1"/>
  <c r="F36" i="1"/>
  <c r="E36" i="1"/>
  <c r="N35" i="1"/>
  <c r="M35" i="1"/>
  <c r="L35" i="1"/>
  <c r="K35" i="1"/>
  <c r="J35" i="1"/>
  <c r="I35" i="1"/>
  <c r="H35" i="1"/>
  <c r="G35" i="1"/>
  <c r="F35" i="1"/>
  <c r="E35" i="1"/>
  <c r="N34" i="1"/>
  <c r="M34" i="1"/>
  <c r="L34" i="1"/>
  <c r="K34" i="1"/>
  <c r="J34" i="1"/>
  <c r="I34" i="1"/>
  <c r="H34" i="1"/>
  <c r="G34" i="1"/>
  <c r="F34" i="1"/>
  <c r="E34" i="1"/>
  <c r="N33" i="1"/>
  <c r="M33" i="1"/>
  <c r="L33" i="1"/>
  <c r="K33" i="1"/>
  <c r="J33" i="1"/>
  <c r="I33" i="1"/>
  <c r="H33" i="1"/>
  <c r="G33" i="1"/>
  <c r="F33" i="1"/>
  <c r="E33" i="1"/>
  <c r="N32" i="1"/>
  <c r="M32" i="1"/>
  <c r="L32" i="1"/>
  <c r="K32" i="1"/>
  <c r="J32" i="1"/>
  <c r="I32" i="1"/>
  <c r="H32" i="1"/>
  <c r="G32" i="1"/>
  <c r="F32" i="1"/>
  <c r="E32" i="1"/>
  <c r="N31" i="1"/>
  <c r="M31" i="1"/>
  <c r="L31" i="1"/>
  <c r="K31" i="1"/>
  <c r="J31" i="1"/>
  <c r="I31" i="1"/>
  <c r="H31" i="1"/>
  <c r="G31" i="1"/>
  <c r="F31" i="1"/>
  <c r="E31" i="1"/>
  <c r="N30" i="1"/>
  <c r="M30" i="1"/>
  <c r="L30" i="1"/>
  <c r="K30" i="1"/>
  <c r="J30" i="1"/>
  <c r="I30" i="1"/>
  <c r="H30" i="1"/>
  <c r="G30" i="1"/>
  <c r="F30" i="1"/>
  <c r="E30" i="1"/>
  <c r="N29" i="1"/>
  <c r="M29" i="1"/>
  <c r="L29" i="1"/>
  <c r="K29" i="1"/>
  <c r="J29" i="1"/>
  <c r="I29" i="1"/>
  <c r="H29" i="1"/>
  <c r="G29" i="1"/>
  <c r="F29" i="1"/>
  <c r="E29" i="1"/>
  <c r="N28" i="1"/>
  <c r="M28" i="1"/>
  <c r="L28" i="1"/>
  <c r="K28" i="1"/>
  <c r="J28" i="1"/>
  <c r="I28" i="1"/>
  <c r="H28" i="1"/>
  <c r="G28" i="1"/>
  <c r="F28" i="1"/>
  <c r="E28" i="1"/>
  <c r="N27" i="1"/>
  <c r="M27" i="1"/>
  <c r="L27" i="1"/>
  <c r="K27" i="1"/>
  <c r="J27" i="1"/>
  <c r="I27" i="1"/>
  <c r="H27" i="1"/>
  <c r="G27" i="1"/>
  <c r="F27" i="1"/>
  <c r="E27" i="1"/>
  <c r="N26" i="1"/>
  <c r="M26" i="1"/>
  <c r="L26" i="1"/>
  <c r="K26" i="1"/>
  <c r="J26" i="1"/>
  <c r="I26" i="1"/>
  <c r="H26" i="1"/>
  <c r="G26" i="1"/>
  <c r="F26" i="1"/>
  <c r="E26" i="1"/>
  <c r="N25" i="1"/>
  <c r="M25" i="1"/>
  <c r="L25" i="1"/>
  <c r="K25" i="1"/>
  <c r="J25" i="1"/>
  <c r="I25" i="1"/>
  <c r="H25" i="1"/>
  <c r="G25" i="1"/>
  <c r="F25" i="1"/>
  <c r="E25" i="1"/>
  <c r="N24" i="1"/>
  <c r="M24" i="1"/>
  <c r="L24" i="1"/>
  <c r="K24" i="1"/>
  <c r="J24" i="1"/>
  <c r="I24" i="1"/>
  <c r="H24" i="1"/>
  <c r="G24" i="1"/>
  <c r="F24" i="1"/>
  <c r="E24" i="1"/>
  <c r="N23" i="1"/>
  <c r="M23" i="1"/>
  <c r="L23" i="1"/>
  <c r="K23" i="1"/>
  <c r="J23" i="1"/>
  <c r="I23" i="1"/>
  <c r="H23" i="1"/>
  <c r="G23" i="1"/>
  <c r="F23" i="1"/>
  <c r="E23" i="1"/>
  <c r="N22" i="1"/>
  <c r="M22" i="1"/>
  <c r="L22" i="1"/>
  <c r="K22" i="1"/>
  <c r="J22" i="1"/>
  <c r="I22" i="1"/>
  <c r="H22" i="1"/>
  <c r="G22" i="1"/>
  <c r="F22" i="1"/>
  <c r="E22" i="1"/>
  <c r="N21" i="1"/>
  <c r="M21" i="1"/>
  <c r="L21" i="1"/>
  <c r="K21" i="1"/>
  <c r="J21" i="1"/>
  <c r="I21" i="1"/>
  <c r="H21" i="1"/>
  <c r="G21" i="1"/>
  <c r="F21" i="1"/>
  <c r="E21" i="1"/>
  <c r="N20" i="1"/>
  <c r="M20" i="1"/>
  <c r="L20" i="1"/>
  <c r="K20" i="1"/>
  <c r="J20" i="1"/>
  <c r="I20" i="1"/>
  <c r="H20" i="1"/>
  <c r="G20" i="1"/>
  <c r="F20" i="1"/>
  <c r="E20" i="1"/>
  <c r="N19" i="1"/>
  <c r="M19" i="1"/>
  <c r="L19" i="1"/>
  <c r="K19" i="1"/>
  <c r="J19" i="1"/>
  <c r="I19" i="1"/>
  <c r="H19" i="1"/>
  <c r="G19" i="1"/>
  <c r="F19" i="1"/>
  <c r="E19" i="1"/>
  <c r="N18" i="1"/>
  <c r="M18" i="1"/>
  <c r="L18" i="1"/>
  <c r="K18" i="1"/>
  <c r="J18" i="1"/>
  <c r="I18" i="1"/>
  <c r="H18" i="1"/>
  <c r="G18" i="1"/>
  <c r="F18" i="1"/>
  <c r="E18" i="1"/>
  <c r="N17" i="1"/>
  <c r="M17" i="1"/>
  <c r="L17" i="1"/>
  <c r="K17" i="1"/>
  <c r="J17" i="1"/>
  <c r="I17" i="1"/>
  <c r="H17" i="1"/>
  <c r="G17" i="1"/>
  <c r="F17" i="1"/>
  <c r="E17" i="1"/>
  <c r="N16" i="1"/>
  <c r="M16" i="1"/>
  <c r="L16" i="1"/>
  <c r="K16" i="1"/>
  <c r="J16" i="1"/>
  <c r="I16" i="1"/>
  <c r="H16" i="1"/>
  <c r="G16" i="1"/>
  <c r="F16" i="1"/>
  <c r="E16" i="1"/>
  <c r="N15" i="1"/>
  <c r="M15" i="1"/>
  <c r="L15" i="1"/>
  <c r="K15" i="1"/>
  <c r="J15" i="1"/>
  <c r="I15" i="1"/>
  <c r="H15" i="1"/>
  <c r="G15" i="1"/>
  <c r="F15" i="1"/>
  <c r="E15" i="1"/>
  <c r="N14" i="1"/>
  <c r="M14" i="1"/>
  <c r="L14" i="1"/>
  <c r="K14" i="1"/>
  <c r="J14" i="1"/>
  <c r="I14" i="1"/>
  <c r="H14" i="1"/>
  <c r="G14" i="1"/>
  <c r="F14" i="1"/>
  <c r="E14" i="1"/>
  <c r="N13" i="1"/>
  <c r="T46" i="1" s="1"/>
  <c r="M13" i="1"/>
  <c r="L13" i="1"/>
  <c r="K13" i="1"/>
  <c r="J13" i="1"/>
  <c r="I13" i="1"/>
  <c r="H13" i="1"/>
  <c r="G13" i="1"/>
  <c r="F13" i="1"/>
  <c r="E13" i="1"/>
  <c r="N12" i="1"/>
  <c r="M12" i="1"/>
  <c r="L12" i="1"/>
  <c r="K12" i="1"/>
  <c r="J12" i="1"/>
  <c r="I12" i="1"/>
  <c r="H12" i="1"/>
  <c r="G12" i="1"/>
  <c r="F12" i="1"/>
  <c r="E12" i="1"/>
  <c r="N11" i="1"/>
  <c r="M11" i="1"/>
  <c r="L11" i="1"/>
  <c r="K11" i="1"/>
  <c r="J11" i="1"/>
  <c r="I11" i="1"/>
  <c r="H11" i="1"/>
  <c r="F11" i="1"/>
  <c r="E11" i="1"/>
  <c r="B11" i="1"/>
  <c r="N10" i="1"/>
  <c r="M10" i="1"/>
  <c r="L10" i="1"/>
  <c r="K10" i="1"/>
  <c r="J10" i="1"/>
  <c r="I10" i="1"/>
  <c r="H10" i="1"/>
  <c r="G10" i="1"/>
  <c r="F10" i="1"/>
  <c r="E10" i="1"/>
  <c r="N9" i="1"/>
  <c r="M9" i="1"/>
  <c r="L9" i="1"/>
  <c r="K9" i="1"/>
  <c r="J9" i="1"/>
  <c r="I9" i="1"/>
  <c r="H9" i="1"/>
  <c r="G9" i="1"/>
  <c r="F9" i="1"/>
  <c r="E9" i="1"/>
  <c r="N8" i="1"/>
  <c r="M8" i="1"/>
  <c r="L8" i="1"/>
  <c r="K8" i="1"/>
  <c r="J8" i="1"/>
  <c r="I8" i="1"/>
  <c r="H8" i="1"/>
  <c r="G8" i="1"/>
  <c r="F8" i="1"/>
  <c r="E8" i="1"/>
  <c r="N7" i="1"/>
  <c r="M7" i="1"/>
  <c r="L7" i="1"/>
  <c r="K7" i="1"/>
  <c r="J7" i="1"/>
  <c r="I7" i="1"/>
  <c r="H7" i="1"/>
  <c r="G7" i="1"/>
  <c r="F7" i="1"/>
  <c r="E7" i="1"/>
  <c r="B7" i="1"/>
  <c r="N6" i="1"/>
  <c r="M6" i="1"/>
  <c r="L6" i="1"/>
  <c r="K6" i="1"/>
  <c r="J6" i="1"/>
  <c r="I6" i="1"/>
  <c r="H6" i="1"/>
  <c r="G6" i="1"/>
  <c r="F6" i="1"/>
  <c r="E6" i="1"/>
  <c r="N5" i="1"/>
  <c r="M5" i="1"/>
  <c r="L5" i="1"/>
  <c r="K5" i="1"/>
  <c r="J5" i="1"/>
  <c r="I5" i="1"/>
  <c r="H5" i="1"/>
  <c r="G5" i="1"/>
  <c r="F5" i="1"/>
  <c r="E5" i="1"/>
  <c r="N4" i="1"/>
  <c r="M4" i="1"/>
  <c r="L4" i="1"/>
  <c r="K4" i="1"/>
  <c r="J4" i="1"/>
  <c r="I4" i="1"/>
  <c r="H4" i="1"/>
  <c r="G4" i="1"/>
  <c r="F4" i="1"/>
  <c r="E4" i="1"/>
  <c r="N3" i="1"/>
  <c r="M3" i="1"/>
  <c r="L3" i="1"/>
  <c r="K3" i="1"/>
  <c r="J3" i="1"/>
  <c r="I3" i="1"/>
  <c r="H3" i="1"/>
  <c r="G3" i="1"/>
  <c r="F3" i="1"/>
  <c r="E3" i="1"/>
  <c r="V117" i="1" l="1"/>
  <c r="T231" i="1"/>
  <c r="S41" i="1"/>
  <c r="S109" i="1" s="1"/>
  <c r="U206" i="1"/>
  <c r="T211" i="1"/>
  <c r="T116" i="1"/>
  <c r="V116" i="1" s="1"/>
  <c r="U205" i="1"/>
  <c r="U231" i="1" s="1"/>
  <c r="S35" i="1"/>
  <c r="T30" i="1"/>
  <c r="U116" i="1"/>
  <c r="U126" i="1"/>
  <c r="V126" i="1" s="1"/>
  <c r="T196" i="1"/>
  <c r="V196" i="1" s="1"/>
  <c r="S204" i="1"/>
  <c r="V204" i="1" s="1"/>
  <c r="T40" i="1"/>
  <c r="S177" i="1"/>
  <c r="V177" i="1" s="1"/>
  <c r="S209" i="1"/>
  <c r="U211" i="1"/>
  <c r="U45" i="1"/>
  <c r="S206" i="1"/>
  <c r="S210" i="1"/>
  <c r="S214" i="1"/>
  <c r="S36" i="1"/>
  <c r="S37" i="1"/>
  <c r="U23" i="1"/>
  <c r="S123" i="1"/>
  <c r="T200" i="1"/>
  <c r="V200" i="1" s="1"/>
  <c r="S215" i="1"/>
  <c r="U210" i="1"/>
  <c r="T123" i="1"/>
  <c r="V123" i="1" s="1"/>
  <c r="T209" i="1"/>
  <c r="V209" i="1" s="1"/>
  <c r="T214" i="1"/>
  <c r="S14" i="1"/>
  <c r="S32" i="1"/>
  <c r="S42" i="1"/>
  <c r="T27" i="1"/>
  <c r="U22" i="1"/>
  <c r="T192" i="1"/>
  <c r="V192" i="1" s="1"/>
  <c r="S201" i="1"/>
  <c r="T31" i="1"/>
  <c r="S22" i="1"/>
  <c r="S26" i="1"/>
  <c r="U46" i="1"/>
  <c r="U35" i="1"/>
  <c r="U24" i="1"/>
  <c r="U10" i="1"/>
  <c r="T7" i="1"/>
  <c r="U27" i="1"/>
  <c r="U31" i="1"/>
  <c r="T35" i="1"/>
  <c r="U40" i="1"/>
  <c r="S46" i="1"/>
  <c r="U6" i="1"/>
  <c r="T41" i="1"/>
  <c r="T109" i="1" s="1"/>
  <c r="U18" i="1"/>
  <c r="S5" i="1"/>
  <c r="T22" i="1"/>
  <c r="T32" i="1"/>
  <c r="T36" i="1"/>
  <c r="T42" i="1"/>
  <c r="U11" i="1"/>
  <c r="T26" i="1"/>
  <c r="S30" i="1"/>
  <c r="V30" i="1" s="1"/>
  <c r="U32" i="1"/>
  <c r="U36" i="1"/>
  <c r="U42" i="1"/>
  <c r="U30" i="1"/>
  <c r="U5" i="1"/>
  <c r="S15" i="1"/>
  <c r="S23" i="1"/>
  <c r="S24" i="1" s="1"/>
  <c r="U26" i="1"/>
  <c r="T37" i="1"/>
  <c r="S40" i="1"/>
  <c r="S43" i="1" s="1"/>
  <c r="U41" i="1"/>
  <c r="U109" i="1" s="1"/>
  <c r="S45" i="1"/>
  <c r="T23" i="1"/>
  <c r="S31" i="1"/>
  <c r="U37" i="1"/>
  <c r="T45" i="1"/>
  <c r="U15" i="1"/>
  <c r="S27" i="1"/>
  <c r="U19" i="1"/>
  <c r="U7" i="1"/>
  <c r="U8" i="1" s="1"/>
  <c r="T14" i="1"/>
  <c r="T18" i="1"/>
  <c r="T5" i="1"/>
  <c r="S10" i="1"/>
  <c r="U14" i="1"/>
  <c r="S18" i="1"/>
  <c r="T10" i="1"/>
  <c r="T15" i="1"/>
  <c r="S6" i="1"/>
  <c r="S19" i="1"/>
  <c r="T6" i="1"/>
  <c r="T8" i="1" s="1"/>
  <c r="S11" i="1"/>
  <c r="S12" i="1" s="1"/>
  <c r="T19" i="1"/>
  <c r="T11" i="1"/>
  <c r="S7" i="1"/>
  <c r="S16" i="1"/>
  <c r="V3" i="1"/>
  <c r="U16" i="1" l="1"/>
  <c r="V27" i="1"/>
  <c r="S38" i="1"/>
  <c r="T43" i="1"/>
  <c r="S47" i="1"/>
  <c r="V231" i="1"/>
  <c r="U28" i="1"/>
  <c r="V32" i="1"/>
  <c r="U47" i="1"/>
  <c r="U20" i="1"/>
  <c r="T28" i="1"/>
  <c r="V109" i="1"/>
  <c r="V14" i="1"/>
  <c r="V31" i="1"/>
  <c r="W29" i="1" s="1"/>
  <c r="U12" i="1"/>
  <c r="V214" i="1"/>
  <c r="V205" i="1"/>
  <c r="U38" i="1"/>
  <c r="T33" i="1"/>
  <c r="U33" i="1"/>
  <c r="U43" i="1"/>
  <c r="V7" i="1"/>
  <c r="V11" i="1"/>
  <c r="S20" i="1"/>
  <c r="V35" i="1"/>
  <c r="T38" i="1"/>
  <c r="V22" i="1"/>
  <c r="W21" i="1" s="1"/>
  <c r="T24" i="1"/>
  <c r="W25" i="1"/>
  <c r="V37" i="1"/>
  <c r="W34" i="1" s="1"/>
  <c r="S28" i="1"/>
  <c r="T47" i="1"/>
  <c r="V45" i="1"/>
  <c r="W44" i="1" s="1"/>
  <c r="V26" i="1"/>
  <c r="S33" i="1"/>
  <c r="T20" i="1"/>
  <c r="V41" i="1"/>
  <c r="V40" i="1"/>
  <c r="W39" i="1" s="1"/>
  <c r="S8" i="1"/>
  <c r="V6" i="1"/>
  <c r="V10" i="1"/>
  <c r="V18" i="1"/>
  <c r="W17" i="1" s="1"/>
  <c r="T16" i="1"/>
  <c r="T12" i="1"/>
  <c r="W13" i="1"/>
  <c r="W332" i="1" l="1"/>
  <c r="W337" i="1"/>
  <c r="W312" i="1"/>
  <c r="W328" i="1"/>
  <c r="W324" i="1"/>
  <c r="W316" i="1"/>
  <c r="W320" i="1"/>
  <c r="W237" i="1"/>
  <c r="W9" i="1"/>
  <c r="W48" i="1" s="1"/>
  <c r="W4" i="1"/>
  <c r="W203" i="1"/>
  <c r="W195" i="1"/>
  <c r="W190" i="1"/>
  <c r="W149" i="1"/>
  <c r="W119" i="1"/>
  <c r="W199" i="1"/>
  <c r="W112" i="1"/>
  <c r="W208" i="1"/>
  <c r="W213" i="1"/>
  <c r="W216" i="1" l="1"/>
</calcChain>
</file>

<file path=xl/sharedStrings.xml><?xml version="1.0" encoding="utf-8"?>
<sst xmlns="http://schemas.openxmlformats.org/spreadsheetml/2006/main" count="1110" uniqueCount="188">
  <si>
    <t xml:space="preserve">No. </t>
  </si>
  <si>
    <t xml:space="preserve">No KK </t>
  </si>
  <si>
    <t xml:space="preserve">Nama Kepala Keluarga </t>
  </si>
  <si>
    <t>RT / RW</t>
  </si>
  <si>
    <t xml:space="preserve">Penghasilan </t>
  </si>
  <si>
    <t>Luas Rumah</t>
  </si>
  <si>
    <t xml:space="preserve">Status Kepemilikan Rumah </t>
  </si>
  <si>
    <t>Sumber Air</t>
  </si>
  <si>
    <t>ibu Hamil / menyusui</t>
  </si>
  <si>
    <t>lansia</t>
  </si>
  <si>
    <t>jumlah tanggungan (Anak)</t>
  </si>
  <si>
    <t>jenis dinding</t>
  </si>
  <si>
    <t xml:space="preserve">jenis lantai </t>
  </si>
  <si>
    <t>jenis atap</t>
  </si>
  <si>
    <t>Keputusan</t>
  </si>
  <si>
    <t>3523151708700001</t>
  </si>
  <si>
    <t>MUHAMMAD ABIDIN</t>
  </si>
  <si>
    <t>01 / 05</t>
  </si>
  <si>
    <t>Tidak</t>
  </si>
  <si>
    <t>3523151403061494</t>
  </si>
  <si>
    <t>MULYONO</t>
  </si>
  <si>
    <t>3523150803680008</t>
  </si>
  <si>
    <t>CAMPUN</t>
  </si>
  <si>
    <t>3523152312110002</t>
  </si>
  <si>
    <t>SUNTONO</t>
  </si>
  <si>
    <t xml:space="preserve">DEDDY MUDHIATAMA </t>
  </si>
  <si>
    <t>02 / 05</t>
  </si>
  <si>
    <t>3523153010120005</t>
  </si>
  <si>
    <t>IWAN SUGIYANTO</t>
  </si>
  <si>
    <t>3523151005780008</t>
  </si>
  <si>
    <t>MUNIR MUSTAQIM</t>
  </si>
  <si>
    <t>3523155002670004</t>
  </si>
  <si>
    <t>KASMINI</t>
  </si>
  <si>
    <t>MOKH YUSUF</t>
  </si>
  <si>
    <t>3523151403061495</t>
  </si>
  <si>
    <t>TARNO</t>
  </si>
  <si>
    <t>Layak</t>
  </si>
  <si>
    <t>3523151403061490</t>
  </si>
  <si>
    <t>MURSID</t>
  </si>
  <si>
    <t>3523151403061489</t>
  </si>
  <si>
    <t>ABDUL MAJID</t>
  </si>
  <si>
    <t>3523151210160002</t>
  </si>
  <si>
    <t>SUGENG WAHONO</t>
  </si>
  <si>
    <t>3523153012090392</t>
  </si>
  <si>
    <t>TAMIN</t>
  </si>
  <si>
    <t>3523153112090174</t>
  </si>
  <si>
    <t xml:space="preserve">ABDUH NAHLIAN </t>
  </si>
  <si>
    <t>3523151403061485</t>
  </si>
  <si>
    <t>TARMUDJI</t>
  </si>
  <si>
    <t>3523150305120003</t>
  </si>
  <si>
    <t>SUWANTO</t>
  </si>
  <si>
    <t>3523153112090228</t>
  </si>
  <si>
    <t>KASIMO</t>
  </si>
  <si>
    <t>3523152608190006</t>
  </si>
  <si>
    <t>KASMINAH</t>
  </si>
  <si>
    <t>3523150603820007</t>
  </si>
  <si>
    <t>DIDIK PRIANTO</t>
  </si>
  <si>
    <t>3523151403061487</t>
  </si>
  <si>
    <t>DASMIATI</t>
  </si>
  <si>
    <t>3523153112090184</t>
  </si>
  <si>
    <t>IMAM KHOIRI</t>
  </si>
  <si>
    <t>3523151403061482</t>
  </si>
  <si>
    <t>IMAM TOKO</t>
  </si>
  <si>
    <t>3523150212140009</t>
  </si>
  <si>
    <t>TUTIK</t>
  </si>
  <si>
    <t>3523151403061478</t>
  </si>
  <si>
    <t>RAKIJAH</t>
  </si>
  <si>
    <t>3523151403061480</t>
  </si>
  <si>
    <t>SARDI</t>
  </si>
  <si>
    <t>3523150507190002</t>
  </si>
  <si>
    <t>KASLIK</t>
  </si>
  <si>
    <t>3523152906120007</t>
  </si>
  <si>
    <t>TOTOK AGUSTARI</t>
  </si>
  <si>
    <t>3523151403061479</t>
  </si>
  <si>
    <t>WASIR</t>
  </si>
  <si>
    <t>3523151403061477</t>
  </si>
  <si>
    <t xml:space="preserve">SUDIRO </t>
  </si>
  <si>
    <t>3523153112090244</t>
  </si>
  <si>
    <t>SUYANTO</t>
  </si>
  <si>
    <t>3523141108840001</t>
  </si>
  <si>
    <t>SUWANDI</t>
  </si>
  <si>
    <t>3523150107580287</t>
  </si>
  <si>
    <t>LIK DJOYO</t>
  </si>
  <si>
    <t>3523150202500002</t>
  </si>
  <si>
    <t>KARMADI</t>
  </si>
  <si>
    <t>3523150107510085</t>
  </si>
  <si>
    <t>WIBOWO SLAMET</t>
  </si>
  <si>
    <t>3523151604600002</t>
  </si>
  <si>
    <t>WINARTO</t>
  </si>
  <si>
    <t>3523152603110001</t>
  </si>
  <si>
    <t>HADI</t>
  </si>
  <si>
    <t>3523152212200001</t>
  </si>
  <si>
    <t>NGATOLAN</t>
  </si>
  <si>
    <t>3523154107540103</t>
  </si>
  <si>
    <t>KARSIYAH</t>
  </si>
  <si>
    <t>3523151403170009</t>
  </si>
  <si>
    <t>KARDIYONO</t>
  </si>
  <si>
    <t>3523151403061471</t>
  </si>
  <si>
    <t>LILIK</t>
  </si>
  <si>
    <t>WARIYANTO</t>
  </si>
  <si>
    <t xml:space="preserve">02 / 05 </t>
  </si>
  <si>
    <t>SUJONO</t>
  </si>
  <si>
    <t>SUMIJAH</t>
  </si>
  <si>
    <t>SUPRAPTO</t>
  </si>
  <si>
    <t>SUGIYONO</t>
  </si>
  <si>
    <t>MARSILAN</t>
  </si>
  <si>
    <t xml:space="preserve">NURHAMID </t>
  </si>
  <si>
    <t>SAMIDAH</t>
  </si>
  <si>
    <t>MUNASIR</t>
  </si>
  <si>
    <t>PURWANTO</t>
  </si>
  <si>
    <t>PANLIK</t>
  </si>
  <si>
    <t>MACTIUS RICKY LEONALDO</t>
  </si>
  <si>
    <t>PUJI PRASETYO</t>
  </si>
  <si>
    <t>TRI ABDUL AZIZ</t>
  </si>
  <si>
    <t>TOTOK PUJI WALUYO</t>
  </si>
  <si>
    <t>DEBBY TARUNA VIRGO</t>
  </si>
  <si>
    <t>TTITIK MUJIATI</t>
  </si>
  <si>
    <t>DARMUJI</t>
  </si>
  <si>
    <t>DASRIK</t>
  </si>
  <si>
    <t>JUATMUN</t>
  </si>
  <si>
    <t>WITAWIKNINGSIH</t>
  </si>
  <si>
    <t>SOEWITO</t>
  </si>
  <si>
    <t>SARTI</t>
  </si>
  <si>
    <t xml:space="preserve"> 02 / 05</t>
  </si>
  <si>
    <t>SUMADI</t>
  </si>
  <si>
    <t>SUTARTO</t>
  </si>
  <si>
    <t>TARMUJI</t>
  </si>
  <si>
    <t xml:space="preserve">ADENAN </t>
  </si>
  <si>
    <t>MARSINAH</t>
  </si>
  <si>
    <t xml:space="preserve"> 02 / 05 </t>
  </si>
  <si>
    <t>JUNAEDI</t>
  </si>
  <si>
    <t>ANTON WAHYUDIN</t>
  </si>
  <si>
    <t>SAMAD</t>
  </si>
  <si>
    <t>DARKUN</t>
  </si>
  <si>
    <t>M.SUEB</t>
  </si>
  <si>
    <t>DHIQ PRIHADI</t>
  </si>
  <si>
    <t>GENDUT HARIYANTO</t>
  </si>
  <si>
    <t>SUTARSIH</t>
  </si>
  <si>
    <t>RUJU ALIP</t>
  </si>
  <si>
    <t>PATMI</t>
  </si>
  <si>
    <t>DIDIK PURNOMO</t>
  </si>
  <si>
    <t>SUTARTI</t>
  </si>
  <si>
    <t>YONO</t>
  </si>
  <si>
    <t>SAMSI</t>
  </si>
  <si>
    <t>SAKRUN</t>
  </si>
  <si>
    <t>DWI PURWANTO</t>
  </si>
  <si>
    <t>ASTRO DJOYO WARAS</t>
  </si>
  <si>
    <t>MAMPUANTO</t>
  </si>
  <si>
    <t>02 /05</t>
  </si>
  <si>
    <t>KARNADI</t>
  </si>
  <si>
    <t>SUKARDI</t>
  </si>
  <si>
    <t>WARJANI</t>
  </si>
  <si>
    <t>MOCHAMMAD ISWANDI</t>
  </si>
  <si>
    <t>MOH . MAHKIN NAUFAL</t>
  </si>
  <si>
    <t>node Akar</t>
  </si>
  <si>
    <t>jumlah</t>
  </si>
  <si>
    <t xml:space="preserve">Layak </t>
  </si>
  <si>
    <t>Tidak Layak</t>
  </si>
  <si>
    <t xml:space="preserve">Entrophy </t>
  </si>
  <si>
    <t>Gain</t>
  </si>
  <si>
    <t>total</t>
  </si>
  <si>
    <t>Penghasilan</t>
  </si>
  <si>
    <t>Banyak</t>
  </si>
  <si>
    <t xml:space="preserve">cukup </t>
  </si>
  <si>
    <t>sedikit</t>
  </si>
  <si>
    <t>tinggi</t>
  </si>
  <si>
    <t>Sangat tinggi</t>
  </si>
  <si>
    <t>Status pemilikan rumah</t>
  </si>
  <si>
    <t xml:space="preserve">Rendah </t>
  </si>
  <si>
    <t>sumber air</t>
  </si>
  <si>
    <t>ibu hamil / menyusui</t>
  </si>
  <si>
    <t xml:space="preserve">rendah </t>
  </si>
  <si>
    <t>jumlah tanggungan</t>
  </si>
  <si>
    <t>sedang</t>
  </si>
  <si>
    <t>sangat sedikit</t>
  </si>
  <si>
    <t>jenis lantai</t>
  </si>
  <si>
    <t>node 1.1</t>
  </si>
  <si>
    <t>Jenis Lantai = sedang</t>
  </si>
  <si>
    <t xml:space="preserve">Banyak </t>
  </si>
  <si>
    <t xml:space="preserve">Cukup </t>
  </si>
  <si>
    <t>Sedikit</t>
  </si>
  <si>
    <t>Tinggi</t>
  </si>
  <si>
    <t>Sangat Tinggi</t>
  </si>
  <si>
    <t>Status Pemilikan Rumah</t>
  </si>
  <si>
    <t>Rendah</t>
  </si>
  <si>
    <t>Cukup</t>
  </si>
  <si>
    <t>node 1.1.1</t>
  </si>
  <si>
    <t xml:space="preserve">Jenis lantai = Sedang | tanggungan sedikit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</si>
</sst>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"/>
    <numFmt numFmtId="166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quotePrefix="1" applyBorder="1"/>
    <xf numFmtId="0" fontId="0" fillId="0" borderId="1" xfId="0" applyBorder="1"/>
    <xf numFmtId="0" fontId="0" fillId="0" borderId="1" xfId="0" quotePrefix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quotePrefix="1" applyBorder="1"/>
    <xf numFmtId="0" fontId="0" fillId="0" borderId="3" xfId="0" applyBorder="1"/>
    <xf numFmtId="0" fontId="0" fillId="0" borderId="3" xfId="0" quotePrefix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" fontId="0" fillId="0" borderId="3" xfId="0" quotePrefix="1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3" xfId="0" quotePrefix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Fill="1" applyBorder="1"/>
    <xf numFmtId="164" fontId="0" fillId="0" borderId="0" xfId="0" applyNumberFormat="1" applyBorder="1"/>
    <xf numFmtId="0" fontId="0" fillId="0" borderId="0" xfId="0" applyFont="1" applyFill="1" applyBorder="1"/>
    <xf numFmtId="0" fontId="1" fillId="0" borderId="0" xfId="0" applyFont="1"/>
    <xf numFmtId="164" fontId="0" fillId="0" borderId="0" xfId="0" applyNumberFormat="1"/>
    <xf numFmtId="0" fontId="1" fillId="0" borderId="0" xfId="0" applyFont="1" applyBorder="1"/>
    <xf numFmtId="165" fontId="0" fillId="0" borderId="0" xfId="0" applyNumberFormat="1"/>
    <xf numFmtId="166" fontId="0" fillId="0" borderId="0" xfId="0" applyNumberFormat="1"/>
    <xf numFmtId="0" fontId="0" fillId="0" borderId="0" xfId="0" applyFont="1" applyBorder="1"/>
    <xf numFmtId="0" fontId="0" fillId="0" borderId="0" xfId="0" applyFont="1"/>
    <xf numFmtId="165" fontId="1" fillId="0" borderId="0" xfId="0" applyNumberFormat="1" applyFont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51"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border outline="0">
        <left style="double">
          <color auto="1"/>
        </left>
        <right style="thin">
          <color auto="1"/>
        </right>
        <top style="double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border outline="0">
        <left style="double">
          <color auto="1"/>
        </left>
        <right style="thin">
          <color auto="1"/>
        </right>
        <top style="double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border outline="0">
        <left style="double">
          <color auto="1"/>
        </left>
        <right style="thin">
          <color auto="1"/>
        </right>
        <top style="double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474134</xdr:colOff>
      <xdr:row>3</xdr:row>
      <xdr:rowOff>59267</xdr:rowOff>
    </xdr:from>
    <xdr:to>
      <xdr:col>30</xdr:col>
      <xdr:colOff>575734</xdr:colOff>
      <xdr:row>26</xdr:row>
      <xdr:rowOff>42332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5490F836-697A-4ABF-B726-29E2A09D15C0}"/>
            </a:ext>
          </a:extLst>
        </xdr:cNvPr>
        <xdr:cNvGrpSpPr/>
      </xdr:nvGrpSpPr>
      <xdr:grpSpPr>
        <a:xfrm>
          <a:off x="19693467" y="812800"/>
          <a:ext cx="3149600" cy="4267199"/>
          <a:chOff x="19693467" y="812800"/>
          <a:chExt cx="3149600" cy="4267199"/>
        </a:xfrm>
      </xdr:grpSpPr>
      <xdr:sp macro="" textlink="">
        <xdr:nvSpPr>
          <xdr:cNvPr id="2" name="Oval 1">
            <a:extLst>
              <a:ext uri="{FF2B5EF4-FFF2-40B4-BE49-F238E27FC236}">
                <a16:creationId xmlns:a16="http://schemas.microsoft.com/office/drawing/2014/main" id="{10521C24-A631-4D3A-A2AC-8C900C478C0C}"/>
              </a:ext>
            </a:extLst>
          </xdr:cNvPr>
          <xdr:cNvSpPr/>
        </xdr:nvSpPr>
        <xdr:spPr>
          <a:xfrm>
            <a:off x="20523200" y="812800"/>
            <a:ext cx="1236133" cy="550333"/>
          </a:xfrm>
          <a:prstGeom prst="ellipse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Jenis Lantai</a:t>
            </a:r>
          </a:p>
        </xdr:txBody>
      </xdr:sp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9B750717-AFF7-41B2-963A-6701CB6745E9}"/>
              </a:ext>
            </a:extLst>
          </xdr:cNvPr>
          <xdr:cNvSpPr/>
        </xdr:nvSpPr>
        <xdr:spPr>
          <a:xfrm>
            <a:off x="19718867" y="1845733"/>
            <a:ext cx="872066" cy="27940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Tidak Layak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B3125EA1-1A7B-4A9E-AFB5-A45933302AA3}"/>
              </a:ext>
            </a:extLst>
          </xdr:cNvPr>
          <xdr:cNvSpPr/>
        </xdr:nvSpPr>
        <xdr:spPr>
          <a:xfrm>
            <a:off x="21793201" y="1820333"/>
            <a:ext cx="872066" cy="27940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100"/>
              <a:t>Layak</a:t>
            </a:r>
          </a:p>
        </xdr:txBody>
      </xdr:sp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930FF595-63EC-4175-8A3D-43CFB2078B89}"/>
              </a:ext>
            </a:extLst>
          </xdr:cNvPr>
          <xdr:cNvCxnSpPr>
            <a:stCxn id="3" idx="0"/>
            <a:endCxn id="2" idx="3"/>
          </xdr:cNvCxnSpPr>
        </xdr:nvCxnSpPr>
        <xdr:spPr>
          <a:xfrm flipV="1">
            <a:off x="20154900" y="1282539"/>
            <a:ext cx="549327" cy="563194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3539977F-F25F-49EB-A7AE-9B9B9775250E}"/>
              </a:ext>
            </a:extLst>
          </xdr:cNvPr>
          <xdr:cNvCxnSpPr>
            <a:stCxn id="2" idx="5"/>
            <a:endCxn id="4" idx="0"/>
          </xdr:cNvCxnSpPr>
        </xdr:nvCxnSpPr>
        <xdr:spPr>
          <a:xfrm>
            <a:off x="21578306" y="1282539"/>
            <a:ext cx="650928" cy="537794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7072F6B0-D0F6-4408-AEFD-10FB2ECBBB3D}"/>
              </a:ext>
            </a:extLst>
          </xdr:cNvPr>
          <xdr:cNvSpPr/>
        </xdr:nvSpPr>
        <xdr:spPr>
          <a:xfrm>
            <a:off x="20133734" y="1430866"/>
            <a:ext cx="643466" cy="262467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Rendah</a:t>
            </a: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8AC89908-A6D6-41B3-A324-82E86EB53A3F}"/>
              </a:ext>
            </a:extLst>
          </xdr:cNvPr>
          <xdr:cNvSpPr/>
        </xdr:nvSpPr>
        <xdr:spPr>
          <a:xfrm>
            <a:off x="21649268" y="1430866"/>
            <a:ext cx="643466" cy="262467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Tinggi</a:t>
            </a:r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0552B327-E896-4ACF-A396-FEDFC22D6AE1}"/>
              </a:ext>
            </a:extLst>
          </xdr:cNvPr>
          <xdr:cNvSpPr/>
        </xdr:nvSpPr>
        <xdr:spPr>
          <a:xfrm>
            <a:off x="20353866" y="2277533"/>
            <a:ext cx="1600200" cy="550333"/>
          </a:xfrm>
          <a:prstGeom prst="ellipse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100"/>
              <a:t>Jml</a:t>
            </a:r>
            <a:r>
              <a:rPr lang="en-ID" sz="1100" baseline="0"/>
              <a:t> Tanggungan</a:t>
            </a:r>
            <a:endParaRPr lang="en-ID" sz="1100"/>
          </a:p>
        </xdr:txBody>
      </xdr: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EA007DCC-F805-42A5-8529-D4BE5D254D9E}"/>
              </a:ext>
            </a:extLst>
          </xdr:cNvPr>
          <xdr:cNvCxnSpPr>
            <a:stCxn id="2" idx="4"/>
            <a:endCxn id="11" idx="0"/>
          </xdr:cNvCxnSpPr>
        </xdr:nvCxnSpPr>
        <xdr:spPr>
          <a:xfrm>
            <a:off x="21141267" y="1363133"/>
            <a:ext cx="12699" cy="91440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0187398E-8343-47F7-A2BA-CC3022A1B436}"/>
              </a:ext>
            </a:extLst>
          </xdr:cNvPr>
          <xdr:cNvSpPr/>
        </xdr:nvSpPr>
        <xdr:spPr>
          <a:xfrm>
            <a:off x="20828001" y="1617133"/>
            <a:ext cx="643466" cy="262467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Sedang</a:t>
            </a: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FEB1E95-0413-4887-8C6F-527FDAE9A49D}"/>
              </a:ext>
            </a:extLst>
          </xdr:cNvPr>
          <xdr:cNvSpPr/>
        </xdr:nvSpPr>
        <xdr:spPr>
          <a:xfrm>
            <a:off x="19693467" y="3327399"/>
            <a:ext cx="872066" cy="27940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100"/>
              <a:t>Layak</a:t>
            </a:r>
          </a:p>
        </xdr:txBody>
      </xdr:sp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ACA9B064-AF03-4313-ADC5-10713EE2667D}"/>
              </a:ext>
            </a:extLst>
          </xdr:cNvPr>
          <xdr:cNvCxnSpPr>
            <a:stCxn id="15" idx="0"/>
          </xdr:cNvCxnSpPr>
        </xdr:nvCxnSpPr>
        <xdr:spPr>
          <a:xfrm flipV="1">
            <a:off x="20129500" y="2764205"/>
            <a:ext cx="549327" cy="563194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A1CA74AB-FBAA-4273-A479-D9B0730B2402}"/>
              </a:ext>
            </a:extLst>
          </xdr:cNvPr>
          <xdr:cNvSpPr/>
        </xdr:nvSpPr>
        <xdr:spPr>
          <a:xfrm>
            <a:off x="20108334" y="2912532"/>
            <a:ext cx="643466" cy="262467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Sedang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058A5489-E402-44E8-81EA-C9F3F874A300}"/>
              </a:ext>
            </a:extLst>
          </xdr:cNvPr>
          <xdr:cNvSpPr/>
        </xdr:nvSpPr>
        <xdr:spPr>
          <a:xfrm>
            <a:off x="21852468" y="3293533"/>
            <a:ext cx="872066" cy="27940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100"/>
              <a:t>Layak</a:t>
            </a:r>
          </a:p>
        </xdr:txBody>
      </xdr: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1D88D0BD-C577-4C09-AB17-A88A7DB1D753}"/>
              </a:ext>
            </a:extLst>
          </xdr:cNvPr>
          <xdr:cNvCxnSpPr>
            <a:endCxn id="18" idx="0"/>
          </xdr:cNvCxnSpPr>
        </xdr:nvCxnSpPr>
        <xdr:spPr>
          <a:xfrm>
            <a:off x="21637573" y="2755739"/>
            <a:ext cx="650928" cy="537794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76AD5B70-08D2-4B8E-AEC2-8949E73D0F0C}"/>
              </a:ext>
            </a:extLst>
          </xdr:cNvPr>
          <xdr:cNvSpPr/>
        </xdr:nvSpPr>
        <xdr:spPr>
          <a:xfrm>
            <a:off x="21708535" y="2912533"/>
            <a:ext cx="1041398" cy="245533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Sangat</a:t>
            </a:r>
            <a:r>
              <a:rPr lang="en-ID" sz="1100" baseline="0"/>
              <a:t> Sedikit</a:t>
            </a:r>
            <a:endParaRPr lang="en-ID" sz="1100"/>
          </a:p>
        </xdr:txBody>
      </xdr: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35343410-087C-499B-9125-4374A1D34488}"/>
              </a:ext>
            </a:extLst>
          </xdr:cNvPr>
          <xdr:cNvCxnSpPr/>
        </xdr:nvCxnSpPr>
        <xdr:spPr>
          <a:xfrm>
            <a:off x="21158200" y="2836333"/>
            <a:ext cx="12699" cy="91440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21315962-6B1F-4DF3-80B7-6AEB8309C807}"/>
              </a:ext>
            </a:extLst>
          </xdr:cNvPr>
          <xdr:cNvSpPr/>
        </xdr:nvSpPr>
        <xdr:spPr>
          <a:xfrm>
            <a:off x="20861868" y="2971799"/>
            <a:ext cx="643466" cy="262467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Sedikit</a:t>
            </a:r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979CDCBD-99C7-47CD-85F9-9E6EA04926AB}"/>
              </a:ext>
            </a:extLst>
          </xdr:cNvPr>
          <xdr:cNvSpPr/>
        </xdr:nvSpPr>
        <xdr:spPr>
          <a:xfrm>
            <a:off x="20362332" y="3742266"/>
            <a:ext cx="1600200" cy="550333"/>
          </a:xfrm>
          <a:prstGeom prst="ellipse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100"/>
              <a:t>Penghasilan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91F5E9E6-55E0-4D03-9581-26E78CFB88B9}"/>
              </a:ext>
            </a:extLst>
          </xdr:cNvPr>
          <xdr:cNvSpPr/>
        </xdr:nvSpPr>
        <xdr:spPr>
          <a:xfrm>
            <a:off x="19718867" y="4800599"/>
            <a:ext cx="872066" cy="27940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100"/>
              <a:t>Tidak</a:t>
            </a:r>
            <a:r>
              <a:rPr lang="en-ID" sz="1100" baseline="0"/>
              <a:t> Layak</a:t>
            </a:r>
          </a:p>
          <a:p>
            <a:pPr algn="ctr"/>
            <a:endParaRPr lang="en-ID" sz="1100"/>
          </a:p>
        </xdr:txBody>
      </xdr: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512FCBFD-1A79-4608-860C-767CD38C6CBA}"/>
              </a:ext>
            </a:extLst>
          </xdr:cNvPr>
          <xdr:cNvCxnSpPr>
            <a:stCxn id="24" idx="0"/>
          </xdr:cNvCxnSpPr>
        </xdr:nvCxnSpPr>
        <xdr:spPr>
          <a:xfrm flipV="1">
            <a:off x="20154900" y="4237405"/>
            <a:ext cx="549327" cy="563194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64010214-2949-429C-8457-D59595FF241B}"/>
              </a:ext>
            </a:extLst>
          </xdr:cNvPr>
          <xdr:cNvSpPr/>
        </xdr:nvSpPr>
        <xdr:spPr>
          <a:xfrm>
            <a:off x="20133734" y="4385732"/>
            <a:ext cx="643466" cy="262467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Banyak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205BC90B-E497-4077-9FF9-A4D588679AAC}"/>
              </a:ext>
            </a:extLst>
          </xdr:cNvPr>
          <xdr:cNvSpPr/>
        </xdr:nvSpPr>
        <xdr:spPr>
          <a:xfrm>
            <a:off x="21971001" y="4741333"/>
            <a:ext cx="872066" cy="27940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100"/>
              <a:t>Tidak</a:t>
            </a:r>
            <a:r>
              <a:rPr lang="en-ID" sz="1100" baseline="0"/>
              <a:t> Layak</a:t>
            </a:r>
            <a:endParaRPr lang="en-ID" sz="1100"/>
          </a:p>
        </xdr:txBody>
      </xdr: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80446530-17E1-40B8-8FB9-8FD996B47570}"/>
              </a:ext>
            </a:extLst>
          </xdr:cNvPr>
          <xdr:cNvCxnSpPr>
            <a:endCxn id="27" idx="0"/>
          </xdr:cNvCxnSpPr>
        </xdr:nvCxnSpPr>
        <xdr:spPr>
          <a:xfrm>
            <a:off x="21756106" y="4203539"/>
            <a:ext cx="650928" cy="537794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8DA690B7-6E93-4A36-9923-2DFEDAA94DF3}"/>
              </a:ext>
            </a:extLst>
          </xdr:cNvPr>
          <xdr:cNvSpPr/>
        </xdr:nvSpPr>
        <xdr:spPr>
          <a:xfrm>
            <a:off x="21827068" y="4360333"/>
            <a:ext cx="651932" cy="245533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100"/>
              <a:t>Cukup</a:t>
            </a:r>
            <a:r>
              <a:rPr lang="en-ID" sz="1100" baseline="0"/>
              <a:t> </a:t>
            </a:r>
            <a:endParaRPr lang="en-ID" sz="11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han/Data%20penduduk%20Desa%20Seman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set"/>
      <sheetName val="Penghasilan"/>
      <sheetName val="B.kriteria &amp; R.kecocokan"/>
      <sheetName val="t data &amp;hitung c4.5"/>
      <sheetName val="hitung c4.5 2"/>
      <sheetName val="data uji"/>
      <sheetName val="t.data &amp; p. k - means"/>
    </sheetNames>
    <sheetDataSet>
      <sheetData sheetId="0" refreshError="1"/>
      <sheetData sheetId="1">
        <row r="5">
          <cell r="B5" t="str">
            <v>No KK</v>
          </cell>
        </row>
        <row r="6">
          <cell r="B6" t="str">
            <v>3523151309090184</v>
          </cell>
        </row>
        <row r="7">
          <cell r="B7" t="str">
            <v>3523152906120006</v>
          </cell>
        </row>
        <row r="8">
          <cell r="B8" t="str">
            <v>3523151403061499</v>
          </cell>
        </row>
        <row r="9">
          <cell r="B9" t="str">
            <v>3523151403061502</v>
          </cell>
        </row>
        <row r="10">
          <cell r="B10" t="str">
            <v>3523151403061500</v>
          </cell>
        </row>
        <row r="11">
          <cell r="B11" t="str">
            <v>3523151403061497</v>
          </cell>
        </row>
        <row r="12">
          <cell r="B12" t="str">
            <v>3523151403061490</v>
          </cell>
        </row>
        <row r="13">
          <cell r="B13" t="str">
            <v>3523151008120009</v>
          </cell>
        </row>
        <row r="14">
          <cell r="B14" t="str">
            <v>3523152110200008</v>
          </cell>
        </row>
        <row r="15">
          <cell r="B15" t="str">
            <v>3523151403060759</v>
          </cell>
        </row>
        <row r="16">
          <cell r="B16" t="str">
            <v>3523150508150003</v>
          </cell>
        </row>
        <row r="17">
          <cell r="B17" t="str">
            <v>3523151403060761</v>
          </cell>
        </row>
        <row r="18">
          <cell r="B18" t="str">
            <v>3523152007120012</v>
          </cell>
        </row>
        <row r="19">
          <cell r="B19" t="str">
            <v>3523152901190003</v>
          </cell>
        </row>
        <row r="20">
          <cell r="B20" t="str">
            <v>3523151409180003</v>
          </cell>
        </row>
        <row r="21">
          <cell r="B21" t="str">
            <v>3523151309090186</v>
          </cell>
        </row>
        <row r="23">
          <cell r="B23" t="str">
            <v>3523151503061503</v>
          </cell>
        </row>
        <row r="24">
          <cell r="B24" t="str">
            <v>3523151403061467</v>
          </cell>
        </row>
        <row r="26">
          <cell r="B26" t="str">
            <v>3523151309090126</v>
          </cell>
        </row>
        <row r="27">
          <cell r="B27" t="str">
            <v>3523151403060779</v>
          </cell>
        </row>
        <row r="28">
          <cell r="B28" t="str">
            <v>3523152111210007</v>
          </cell>
        </row>
        <row r="29">
          <cell r="B29" t="str">
            <v>3523153112090187</v>
          </cell>
        </row>
        <row r="30">
          <cell r="B30" t="str">
            <v>3523151403061463</v>
          </cell>
        </row>
        <row r="31">
          <cell r="B31" t="str">
            <v>3523151403060769</v>
          </cell>
        </row>
        <row r="32">
          <cell r="B32" t="str">
            <v>3523151005110001</v>
          </cell>
        </row>
        <row r="33">
          <cell r="B33" t="str">
            <v>3523151403060778</v>
          </cell>
        </row>
        <row r="34">
          <cell r="B34" t="str">
            <v>3523151403061462</v>
          </cell>
        </row>
        <row r="35">
          <cell r="B35" t="str">
            <v>3523151303180005</v>
          </cell>
        </row>
        <row r="36">
          <cell r="B36" t="str">
            <v>3523151309090180</v>
          </cell>
        </row>
        <row r="37">
          <cell r="B37" t="str">
            <v>3523151403061466</v>
          </cell>
        </row>
        <row r="39">
          <cell r="B39" t="str">
            <v>3523151403060780</v>
          </cell>
        </row>
        <row r="40">
          <cell r="B40" t="str">
            <v>3523150209200001</v>
          </cell>
        </row>
        <row r="41">
          <cell r="B41" t="str">
            <v>3523153004190006</v>
          </cell>
        </row>
        <row r="42">
          <cell r="B42" t="str">
            <v>3523151309090188</v>
          </cell>
        </row>
        <row r="43">
          <cell r="B43" t="str">
            <v>3523152405190001</v>
          </cell>
        </row>
        <row r="44">
          <cell r="B44" t="str">
            <v>3523151403060777</v>
          </cell>
        </row>
        <row r="45">
          <cell r="B45" t="str">
            <v>3523151309090177</v>
          </cell>
        </row>
        <row r="46">
          <cell r="B46" t="str">
            <v>3523151403060771</v>
          </cell>
        </row>
        <row r="47">
          <cell r="B47" t="str">
            <v>3523151309090182</v>
          </cell>
        </row>
        <row r="48">
          <cell r="B48" t="str">
            <v>3523151403060776</v>
          </cell>
        </row>
        <row r="49">
          <cell r="B49" t="str">
            <v>3523152101140003</v>
          </cell>
        </row>
        <row r="50">
          <cell r="B50" t="str">
            <v>3523152212160003</v>
          </cell>
        </row>
        <row r="51">
          <cell r="B51" t="str">
            <v>3523151403063105</v>
          </cell>
        </row>
        <row r="52">
          <cell r="B52" t="str">
            <v>3523152207170003</v>
          </cell>
        </row>
        <row r="53">
          <cell r="B53" t="str">
            <v>3523151403060757</v>
          </cell>
        </row>
        <row r="54">
          <cell r="B54" t="str">
            <v>3523151403064641</v>
          </cell>
        </row>
        <row r="55">
          <cell r="B55" t="str">
            <v>3523151309090179</v>
          </cell>
        </row>
        <row r="56">
          <cell r="B56" t="str">
            <v>3523151309090183</v>
          </cell>
        </row>
        <row r="57">
          <cell r="B57" t="str">
            <v>3523152310180005</v>
          </cell>
        </row>
        <row r="58">
          <cell r="B58" t="str">
            <v>3523151403060766</v>
          </cell>
        </row>
        <row r="66">
          <cell r="B66" t="str">
            <v>No KK</v>
          </cell>
        </row>
        <row r="101">
          <cell r="B101" t="str">
            <v>3523151604600002</v>
          </cell>
        </row>
        <row r="102">
          <cell r="B102" t="str">
            <v>3523152603110001</v>
          </cell>
        </row>
        <row r="103">
          <cell r="B103" t="str">
            <v>3523152212200001</v>
          </cell>
        </row>
        <row r="104">
          <cell r="B104" t="str">
            <v>3523154107540103</v>
          </cell>
        </row>
        <row r="105">
          <cell r="B105" t="str">
            <v>3523151403170009</v>
          </cell>
        </row>
        <row r="106">
          <cell r="B106" t="str">
            <v>3523151403061471</v>
          </cell>
        </row>
      </sheetData>
      <sheetData sheetId="2">
        <row r="23">
          <cell r="B23" t="str">
            <v>Banyak</v>
          </cell>
        </row>
        <row r="24">
          <cell r="B24" t="str">
            <v>Cukup</v>
          </cell>
        </row>
        <row r="25">
          <cell r="B25" t="str">
            <v>Sedikit</v>
          </cell>
        </row>
        <row r="34">
          <cell r="B34" t="str">
            <v>Tinggi</v>
          </cell>
        </row>
        <row r="35">
          <cell r="B35" t="str">
            <v>Sangat Tinggi</v>
          </cell>
        </row>
        <row r="41">
          <cell r="B41" t="str">
            <v>Rendah</v>
          </cell>
        </row>
        <row r="43">
          <cell r="B43" t="str">
            <v>Tinggi</v>
          </cell>
        </row>
        <row r="49">
          <cell r="B49" t="str">
            <v>Rendah</v>
          </cell>
        </row>
        <row r="50">
          <cell r="B50" t="str">
            <v>Sedang</v>
          </cell>
        </row>
        <row r="51">
          <cell r="B51" t="str">
            <v>Tinggi</v>
          </cell>
        </row>
        <row r="57">
          <cell r="B57" t="str">
            <v>Rendah</v>
          </cell>
        </row>
        <row r="58">
          <cell r="B58" t="str">
            <v>Sedang</v>
          </cell>
        </row>
        <row r="59">
          <cell r="B59" t="str">
            <v>Tinggi</v>
          </cell>
        </row>
        <row r="65">
          <cell r="B65" t="str">
            <v>Rendah</v>
          </cell>
        </row>
        <row r="66">
          <cell r="B66" t="str">
            <v>Sedang</v>
          </cell>
        </row>
        <row r="72">
          <cell r="B72" t="str">
            <v>Rendah</v>
          </cell>
        </row>
        <row r="74">
          <cell r="B74" t="str">
            <v>Tinggi</v>
          </cell>
        </row>
        <row r="80">
          <cell r="B80" t="str">
            <v>Rendah</v>
          </cell>
        </row>
        <row r="81">
          <cell r="B81" t="str">
            <v>Tinggi</v>
          </cell>
        </row>
        <row r="88">
          <cell r="B88" t="str">
            <v>Sedang</v>
          </cell>
        </row>
        <row r="89">
          <cell r="B89" t="str">
            <v>Sedikit</v>
          </cell>
        </row>
        <row r="90">
          <cell r="B90" t="str">
            <v>Sangat Sedikit</v>
          </cell>
        </row>
        <row r="95">
          <cell r="B95" t="str">
            <v>Rendah</v>
          </cell>
        </row>
        <row r="96">
          <cell r="B96" t="str">
            <v>Tinggi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ED6932-6FD5-4CA5-ADA3-012791F1F5D4}" name="Table1" displayName="Table1" ref="A2:O95" totalsRowShown="0" headerRowDxfId="50" tableBorderDxfId="49">
  <autoFilter ref="A2:O95" xr:uid="{6DED6932-6FD5-4CA5-ADA3-012791F1F5D4}"/>
  <tableColumns count="15">
    <tableColumn id="1" xr3:uid="{58A1DCA8-1247-40E1-A2B6-B349EDEE5847}" name="No. " dataDxfId="48"/>
    <tableColumn id="2" xr3:uid="{5D8709F8-3F3E-4491-808C-17F3D1BFD2E3}" name="No KK " dataDxfId="47"/>
    <tableColumn id="3" xr3:uid="{9344436F-7984-443B-AEE2-C5DCDE8A3578}" name="Nama Kepala Keluarga " dataDxfId="46"/>
    <tableColumn id="4" xr3:uid="{C063143D-C92C-494D-B56D-F05736207D58}" name="RT / RW" dataDxfId="45"/>
    <tableColumn id="5" xr3:uid="{BB69FCD9-78B5-41B7-A93D-0C1DFECA37D9}" name="Penghasilan " dataDxfId="44"/>
    <tableColumn id="6" xr3:uid="{B544267A-FEFF-474C-B826-381C0B6D37B3}" name="Luas Rumah" dataDxfId="43">
      <calculatedColumnFormula>'[1]B.kriteria &amp; R.kecocokan'!$B$34</calculatedColumnFormula>
    </tableColumn>
    <tableColumn id="7" xr3:uid="{A13DF804-55FF-4C6D-B07D-9222B1ABA4E4}" name="Status Kepemilikan Rumah " dataDxfId="42">
      <calculatedColumnFormula>'[1]B.kriteria &amp; R.kecocokan'!$B$41</calculatedColumnFormula>
    </tableColumn>
    <tableColumn id="8" xr3:uid="{A43B51EC-EA14-414E-BA0B-E2D5FDBC9002}" name="Sumber Air" dataDxfId="41">
      <calculatedColumnFormula>'[1]B.kriteria &amp; R.kecocokan'!$B$72</calculatedColumnFormula>
    </tableColumn>
    <tableColumn id="9" xr3:uid="{ABDD6462-8307-4C5C-A916-ADE94923C59D}" name="ibu Hamil / menyusui" dataDxfId="40">
      <calculatedColumnFormula>'[1]B.kriteria &amp; R.kecocokan'!$B$95</calculatedColumnFormula>
    </tableColumn>
    <tableColumn id="10" xr3:uid="{E78AFB18-B859-40AC-B473-1426E53639C5}" name="lansia" dataDxfId="39"/>
    <tableColumn id="11" xr3:uid="{D74932B3-CD01-49AC-BDDD-A398400D5DF9}" name="jumlah tanggungan (Anak)" dataDxfId="38"/>
    <tableColumn id="12" xr3:uid="{533328D1-77EA-4FE8-9142-CB88FE7DC06C}" name="jenis dinding" dataDxfId="37">
      <calculatedColumnFormula>'[1]B.kriteria &amp; R.kecocokan'!$B$49</calculatedColumnFormula>
    </tableColumn>
    <tableColumn id="13" xr3:uid="{60AA2A80-CB1B-48F4-B2FD-7814389F84CA}" name="jenis lantai " dataDxfId="36"/>
    <tableColumn id="14" xr3:uid="{A55C77C7-AC34-4015-9FD2-F1B580284BF7}" name="jenis atap" dataDxfId="35">
      <calculatedColumnFormula>'[1]B.kriteria &amp; R.kecocokan'!$B$65</calculatedColumnFormula>
    </tableColumn>
    <tableColumn id="15" xr3:uid="{019B0E9F-BE46-4CF8-B8A5-DC859B0CA201}" name="Keputusan" dataDxfId="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961A3B-DE8D-4173-AD4D-F94E5B760985}" name="Table13" displayName="Table13" ref="A98:O191" totalsRowShown="0" headerRowDxfId="33" tableBorderDxfId="32">
  <autoFilter ref="A98:O191" xr:uid="{12961A3B-DE8D-4173-AD4D-F94E5B760985}">
    <filterColumn colId="12">
      <filters>
        <filter val="Sedang"/>
      </filters>
    </filterColumn>
  </autoFilter>
  <tableColumns count="15">
    <tableColumn id="1" xr3:uid="{C82D532E-6E1B-4B1B-BB19-5AE88F3A11C7}" name="No. " dataDxfId="31"/>
    <tableColumn id="2" xr3:uid="{19D89586-5C35-42A5-A644-5C62A07FC5EE}" name="No KK " dataDxfId="30"/>
    <tableColumn id="3" xr3:uid="{C6DD5BDA-1EE9-4A61-8A18-D794DF7D4401}" name="Nama Kepala Keluarga " dataDxfId="29"/>
    <tableColumn id="4" xr3:uid="{0E2DBE49-3429-4F04-B841-2435FDE83777}" name="RT / RW" dataDxfId="28"/>
    <tableColumn id="5" xr3:uid="{0BB8BA05-6A2A-4FE0-8A2B-0C9E60D6135E}" name="Penghasilan " dataDxfId="27"/>
    <tableColumn id="6" xr3:uid="{CE9146FC-58A7-499C-860E-A91234F32D35}" name="Luas Rumah" dataDxfId="26">
      <calculatedColumnFormula>'[1]B.kriteria &amp; R.kecocokan'!$B$34</calculatedColumnFormula>
    </tableColumn>
    <tableColumn id="7" xr3:uid="{75326833-497C-40B1-BCFA-967BB58A2CBF}" name="Status Kepemilikan Rumah " dataDxfId="25">
      <calculatedColumnFormula>'[1]B.kriteria &amp; R.kecocokan'!$B$41</calculatedColumnFormula>
    </tableColumn>
    <tableColumn id="8" xr3:uid="{4ACDF32B-C9B1-4F7F-9471-E1CEC0E97762}" name="Sumber Air" dataDxfId="24">
      <calculatedColumnFormula>'[1]B.kriteria &amp; R.kecocokan'!$B$72</calculatedColumnFormula>
    </tableColumn>
    <tableColumn id="9" xr3:uid="{2BD90339-FB66-4C3D-8BA2-A30595D3B288}" name="ibu Hamil / menyusui" dataDxfId="23">
      <calculatedColumnFormula>'[1]B.kriteria &amp; R.kecocokan'!$B$95</calculatedColumnFormula>
    </tableColumn>
    <tableColumn id="10" xr3:uid="{DA505747-AC96-46BD-B196-68500BDD603A}" name="lansia" dataDxfId="22"/>
    <tableColumn id="11" xr3:uid="{421F7173-397E-4071-8448-0C6D3B6C6994}" name="jumlah tanggungan (Anak)" dataDxfId="21"/>
    <tableColumn id="12" xr3:uid="{E205BB06-743B-4B46-8FD8-AD59F0B5A577}" name="jenis dinding" dataDxfId="20">
      <calculatedColumnFormula>'[1]B.kriteria &amp; R.kecocokan'!$B$49</calculatedColumnFormula>
    </tableColumn>
    <tableColumn id="13" xr3:uid="{CCC32296-52F9-4F26-98A5-9E8C87745561}" name="jenis lantai " dataDxfId="19"/>
    <tableColumn id="14" xr3:uid="{7A501C38-0FF6-486C-9161-6CC0B335310D}" name="jenis atap" dataDxfId="18">
      <calculatedColumnFormula>'[1]B.kriteria &amp; R.kecocokan'!$B$65</calculatedColumnFormula>
    </tableColumn>
    <tableColumn id="15" xr3:uid="{F59DB699-B442-4425-BB2A-D25CCB932E92}" name="Keputusan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C50904-8174-46D9-8971-359A1DD3691A}" name="Table15" displayName="Table15" ref="A217:O310" totalsRowShown="0" headerRowDxfId="16" tableBorderDxfId="15">
  <autoFilter ref="A217:O310" xr:uid="{94C50904-8174-46D9-8971-359A1DD3691A}">
    <filterColumn colId="10">
      <filters>
        <filter val="Sedikit"/>
      </filters>
    </filterColumn>
    <filterColumn colId="12">
      <filters>
        <filter val="Sedang"/>
      </filters>
    </filterColumn>
  </autoFilter>
  <tableColumns count="15">
    <tableColumn id="1" xr3:uid="{C396FE1D-AF90-4CDE-8FCB-0CCC01574D98}" name="No. " dataDxfId="14"/>
    <tableColumn id="2" xr3:uid="{5C0ACAD6-2AC6-4B39-B3D6-35C60EBBA360}" name="No KK " dataDxfId="13"/>
    <tableColumn id="3" xr3:uid="{03AA5A9D-2286-4946-A67C-A0E5CCCAA184}" name="Nama Kepala Keluarga " dataDxfId="12"/>
    <tableColumn id="4" xr3:uid="{CE8E3830-E71A-4BD0-985F-DDD6F395693E}" name="RT / RW" dataDxfId="11"/>
    <tableColumn id="5" xr3:uid="{E3B04D2D-A432-4A6D-853A-678215D7CE4A}" name="Penghasilan " dataDxfId="10"/>
    <tableColumn id="6" xr3:uid="{6D1696BA-93EC-4E07-9A58-30521EFB52E6}" name="Luas Rumah" dataDxfId="9">
      <calculatedColumnFormula>'[1]B.kriteria &amp; R.kecocokan'!$B$34</calculatedColumnFormula>
    </tableColumn>
    <tableColumn id="7" xr3:uid="{8D9C4CED-FDCD-4FAC-A443-81179806DE0D}" name="Status Kepemilikan Rumah " dataDxfId="8">
      <calculatedColumnFormula>'[1]B.kriteria &amp; R.kecocokan'!$B$41</calculatedColumnFormula>
    </tableColumn>
    <tableColumn id="8" xr3:uid="{0E6D298F-3C83-46DC-9C82-201D6947A59F}" name="Sumber Air" dataDxfId="7">
      <calculatedColumnFormula>'[1]B.kriteria &amp; R.kecocokan'!$B$72</calculatedColumnFormula>
    </tableColumn>
    <tableColumn id="9" xr3:uid="{08683D4A-FD3B-4FB8-9C68-DAAB7A91EAA5}" name="ibu Hamil / menyusui" dataDxfId="6">
      <calculatedColumnFormula>'[1]B.kriteria &amp; R.kecocokan'!$B$95</calculatedColumnFormula>
    </tableColumn>
    <tableColumn id="10" xr3:uid="{24B24E87-F3CF-4CA6-AEA6-5C3E88D1686F}" name="lansia" dataDxfId="5"/>
    <tableColumn id="11" xr3:uid="{DED6DA8E-2EA1-4005-A3FD-EB8987653B18}" name="jumlah tanggungan (Anak)" dataDxfId="4"/>
    <tableColumn id="12" xr3:uid="{EDA9892C-4A76-44C9-840E-9F642684DB2C}" name="jenis dinding" dataDxfId="3">
      <calculatedColumnFormula>'[1]B.kriteria &amp; R.kecocokan'!$B$49</calculatedColumnFormula>
    </tableColumn>
    <tableColumn id="13" xr3:uid="{2B1C1DC6-7998-43B9-BC2D-F735DD48C313}" name="jenis lantai " dataDxfId="2"/>
    <tableColumn id="14" xr3:uid="{A4B5434F-E86E-4427-942A-F58B36F44DF1}" name="jenis atap" dataDxfId="1">
      <calculatedColumnFormula>'[1]B.kriteria &amp; R.kecocokan'!$B$65</calculatedColumnFormula>
    </tableColumn>
    <tableColumn id="15" xr3:uid="{7BD3673E-78B2-497C-B79C-EBB619BF5578}" name="Keputusa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23453-CE8E-43FF-8994-CA5887C57ABB}">
  <dimension ref="A2:W365"/>
  <sheetViews>
    <sheetView tabSelected="1" zoomScale="75" zoomScaleNormal="75" workbookViewId="0">
      <selection activeCell="P5" sqref="P5"/>
    </sheetView>
  </sheetViews>
  <sheetFormatPr defaultRowHeight="14.5" x14ac:dyDescent="0.35"/>
  <cols>
    <col min="1" max="1" width="6.26953125" customWidth="1"/>
    <col min="2" max="2" width="17" hidden="1" customWidth="1"/>
    <col min="3" max="3" width="18.7265625" customWidth="1"/>
    <col min="4" max="4" width="9.54296875" customWidth="1"/>
    <col min="5" max="5" width="13.54296875" customWidth="1"/>
    <col min="6" max="6" width="12.81640625" customWidth="1"/>
    <col min="7" max="7" width="17.7265625" customWidth="1"/>
    <col min="8" max="8" width="12.26953125" customWidth="1"/>
    <col min="9" max="9" width="15" customWidth="1"/>
    <col min="10" max="10" width="7.81640625" customWidth="1"/>
    <col min="11" max="11" width="18.453125" customWidth="1"/>
    <col min="12" max="12" width="13.81640625" customWidth="1"/>
    <col min="13" max="13" width="12.54296875" customWidth="1"/>
    <col min="14" max="14" width="11.08984375" customWidth="1"/>
    <col min="15" max="15" width="11.90625" customWidth="1"/>
    <col min="18" max="18" width="13.1796875" bestFit="1" customWidth="1"/>
    <col min="23" max="23" width="10.26953125" bestFit="1" customWidth="1"/>
  </cols>
  <sheetData>
    <row r="2" spans="1:23" ht="29.5" customHeight="1" thickBot="1" x14ac:dyDescent="0.4">
      <c r="A2" s="25" t="s">
        <v>0</v>
      </c>
      <c r="B2" s="26" t="s">
        <v>1</v>
      </c>
      <c r="C2" s="27" t="s">
        <v>2</v>
      </c>
      <c r="D2" s="26" t="s">
        <v>3</v>
      </c>
      <c r="E2" s="26" t="s">
        <v>4</v>
      </c>
      <c r="F2" s="27" t="s">
        <v>5</v>
      </c>
      <c r="G2" s="27" t="s">
        <v>6</v>
      </c>
      <c r="H2" s="27" t="s">
        <v>7</v>
      </c>
      <c r="I2" s="27" t="s">
        <v>8</v>
      </c>
      <c r="J2" s="27" t="s">
        <v>9</v>
      </c>
      <c r="K2" s="27" t="s">
        <v>10</v>
      </c>
      <c r="L2" s="27" t="s">
        <v>11</v>
      </c>
      <c r="M2" s="27" t="s">
        <v>12</v>
      </c>
      <c r="N2" s="28" t="s">
        <v>13</v>
      </c>
      <c r="O2" s="29" t="s">
        <v>14</v>
      </c>
      <c r="Q2" s="30" t="s">
        <v>154</v>
      </c>
      <c r="R2" s="30"/>
      <c r="S2" s="31" t="s">
        <v>155</v>
      </c>
      <c r="T2" s="31" t="s">
        <v>156</v>
      </c>
      <c r="U2" s="32" t="s">
        <v>157</v>
      </c>
      <c r="V2" s="31" t="s">
        <v>158</v>
      </c>
      <c r="W2" s="31" t="s">
        <v>159</v>
      </c>
    </row>
    <row r="3" spans="1:23" ht="15" thickTop="1" x14ac:dyDescent="0.35">
      <c r="A3" s="15">
        <v>1</v>
      </c>
      <c r="B3" s="1" t="s">
        <v>15</v>
      </c>
      <c r="C3" s="2" t="s">
        <v>16</v>
      </c>
      <c r="D3" s="3" t="s">
        <v>17</v>
      </c>
      <c r="E3" s="4" t="str">
        <f>'[1]B.kriteria &amp; R.kecocokan'!$B$24</f>
        <v>Cukup</v>
      </c>
      <c r="F3" s="5" t="str">
        <f>'[1]B.kriteria &amp; R.kecocokan'!$B$34</f>
        <v>Tinggi</v>
      </c>
      <c r="G3" s="5" t="str">
        <f>'[1]B.kriteria &amp; R.kecocokan'!$B$41</f>
        <v>Rendah</v>
      </c>
      <c r="H3" s="5" t="str">
        <f>'[1]B.kriteria &amp; R.kecocokan'!$B$72</f>
        <v>Rendah</v>
      </c>
      <c r="I3" s="5" t="str">
        <f>'[1]B.kriteria &amp; R.kecocokan'!$B$95</f>
        <v>Rendah</v>
      </c>
      <c r="J3" s="5" t="str">
        <f>'[1]B.kriteria &amp; R.kecocokan'!$B$80</f>
        <v>Rendah</v>
      </c>
      <c r="K3" s="5" t="str">
        <f>'[1]B.kriteria &amp; R.kecocokan'!$B$89</f>
        <v>Sedikit</v>
      </c>
      <c r="L3" s="5" t="str">
        <f>'[1]B.kriteria &amp; R.kecocokan'!$B$49</f>
        <v>Rendah</v>
      </c>
      <c r="M3" s="5" t="str">
        <f>'[1]B.kriteria &amp; R.kecocokan'!$B$57</f>
        <v>Rendah</v>
      </c>
      <c r="N3" s="6" t="str">
        <f>'[1]B.kriteria &amp; R.kecocokan'!$B$65</f>
        <v>Rendah</v>
      </c>
      <c r="O3" s="17" t="s">
        <v>18</v>
      </c>
      <c r="Q3" s="33" t="s">
        <v>160</v>
      </c>
      <c r="R3" s="33"/>
      <c r="S3" s="30">
        <v>93</v>
      </c>
      <c r="T3" s="30">
        <f>COUNTIF($O$3:$O$95,$O$88)</f>
        <v>22</v>
      </c>
      <c r="U3" s="34">
        <f>COUNTIF($O$3:$O$95,$O$4)</f>
        <v>71</v>
      </c>
      <c r="V3" s="36">
        <f>((-T3/S3)*IMLOG2(T3/S3))+((-U3/S3)*IMLOG2(U3/S3))</f>
        <v>0.78927127245369721</v>
      </c>
      <c r="W3" s="30"/>
    </row>
    <row r="4" spans="1:23" x14ac:dyDescent="0.35">
      <c r="A4" s="16">
        <v>2</v>
      </c>
      <c r="B4" s="7" t="s">
        <v>19</v>
      </c>
      <c r="C4" s="8" t="s">
        <v>20</v>
      </c>
      <c r="D4" s="9" t="s">
        <v>17</v>
      </c>
      <c r="E4" s="4" t="str">
        <f>'[1]B.kriteria &amp; R.kecocokan'!$B$24</f>
        <v>Cukup</v>
      </c>
      <c r="F4" s="10" t="str">
        <f>'[1]B.kriteria &amp; R.kecocokan'!$B$34</f>
        <v>Tinggi</v>
      </c>
      <c r="G4" s="5" t="str">
        <f>'[1]B.kriteria &amp; R.kecocokan'!$B$41</f>
        <v>Rendah</v>
      </c>
      <c r="H4" s="5" t="str">
        <f>'[1]B.kriteria &amp; R.kecocokan'!$B$72</f>
        <v>Rendah</v>
      </c>
      <c r="I4" s="5" t="str">
        <f>'[1]B.kriteria &amp; R.kecocokan'!$B$95</f>
        <v>Rendah</v>
      </c>
      <c r="J4" s="10" t="str">
        <f>'[1]B.kriteria &amp; R.kecocokan'!$B$81</f>
        <v>Tinggi</v>
      </c>
      <c r="K4" s="10" t="str">
        <f>'[1]B.kriteria &amp; R.kecocokan'!$B$90</f>
        <v>Sangat Sedikit</v>
      </c>
      <c r="L4" s="5" t="str">
        <f>'[1]B.kriteria &amp; R.kecocokan'!$B$49</f>
        <v>Rendah</v>
      </c>
      <c r="M4" s="5" t="str">
        <f>'[1]B.kriteria &amp; R.kecocokan'!$B$57</f>
        <v>Rendah</v>
      </c>
      <c r="N4" s="6" t="str">
        <f>'[1]B.kriteria &amp; R.kecocokan'!$B$65</f>
        <v>Rendah</v>
      </c>
      <c r="O4" s="12" t="s">
        <v>18</v>
      </c>
      <c r="Q4" s="30" t="s">
        <v>161</v>
      </c>
      <c r="R4" s="30"/>
      <c r="W4">
        <f>$V$3 - ((S5/$S$3*V5) +(S6/$S$3*V6) +(S7/$S$3*V7))</f>
        <v>0.19047627765544006</v>
      </c>
    </row>
    <row r="5" spans="1:23" x14ac:dyDescent="0.35">
      <c r="A5" s="15">
        <v>3</v>
      </c>
      <c r="B5" s="7" t="s">
        <v>21</v>
      </c>
      <c r="C5" s="8" t="s">
        <v>22</v>
      </c>
      <c r="D5" s="9" t="s">
        <v>17</v>
      </c>
      <c r="E5" s="10" t="str">
        <f>'[1]B.kriteria &amp; R.kecocokan'!$B$23</f>
        <v>Banyak</v>
      </c>
      <c r="F5" s="10" t="str">
        <f>'[1]B.kriteria &amp; R.kecocokan'!$B$34</f>
        <v>Tinggi</v>
      </c>
      <c r="G5" s="5" t="str">
        <f>'[1]B.kriteria &amp; R.kecocokan'!$B$41</f>
        <v>Rendah</v>
      </c>
      <c r="H5" s="5" t="str">
        <f>'[1]B.kriteria &amp; R.kecocokan'!$B$72</f>
        <v>Rendah</v>
      </c>
      <c r="I5" s="5" t="str">
        <f>'[1]B.kriteria &amp; R.kecocokan'!$B$95</f>
        <v>Rendah</v>
      </c>
      <c r="J5" s="5" t="str">
        <f>'[1]B.kriteria &amp; R.kecocokan'!$B$80</f>
        <v>Rendah</v>
      </c>
      <c r="K5" s="10" t="str">
        <f>'[1]B.kriteria &amp; R.kecocokan'!$B$90</f>
        <v>Sangat Sedikit</v>
      </c>
      <c r="L5" s="5" t="str">
        <f>'[1]B.kriteria &amp; R.kecocokan'!$B$49</f>
        <v>Rendah</v>
      </c>
      <c r="M5" s="5" t="str">
        <f>'[1]B.kriteria &amp; R.kecocokan'!$B$57</f>
        <v>Rendah</v>
      </c>
      <c r="N5" s="6" t="str">
        <f>'[1]B.kriteria &amp; R.kecocokan'!$B$65</f>
        <v>Rendah</v>
      </c>
      <c r="O5" s="12" t="s">
        <v>18</v>
      </c>
      <c r="Q5" s="30"/>
      <c r="R5" s="30" t="s">
        <v>162</v>
      </c>
      <c r="S5">
        <f>COUNTIFS($E$3:$E$95,$E$73)</f>
        <v>23</v>
      </c>
      <c r="T5">
        <f>COUNTIFS($E$3:$E$95,$E$87,$O$3:$O$95,$O$88)</f>
        <v>0</v>
      </c>
      <c r="U5">
        <f>COUNTIFS($E$3:$E$95,$E$87,$O$3:$O$95,$O$11)</f>
        <v>23</v>
      </c>
      <c r="V5" s="36">
        <v>0</v>
      </c>
    </row>
    <row r="6" spans="1:23" x14ac:dyDescent="0.35">
      <c r="A6" s="15">
        <v>4</v>
      </c>
      <c r="B6" s="7" t="s">
        <v>23</v>
      </c>
      <c r="C6" s="8" t="s">
        <v>24</v>
      </c>
      <c r="D6" s="9" t="s">
        <v>17</v>
      </c>
      <c r="E6" s="4" t="str">
        <f>'[1]B.kriteria &amp; R.kecocokan'!$B$24</f>
        <v>Cukup</v>
      </c>
      <c r="F6" s="10" t="str">
        <f>'[1]B.kriteria &amp; R.kecocokan'!$B$34</f>
        <v>Tinggi</v>
      </c>
      <c r="G6" s="5" t="str">
        <f>'[1]B.kriteria &amp; R.kecocokan'!$B$41</f>
        <v>Rendah</v>
      </c>
      <c r="H6" s="5" t="str">
        <f>'[1]B.kriteria &amp; R.kecocokan'!$B$72</f>
        <v>Rendah</v>
      </c>
      <c r="I6" s="5" t="str">
        <f>'[1]B.kriteria &amp; R.kecocokan'!$B$95</f>
        <v>Rendah</v>
      </c>
      <c r="J6" s="5" t="str">
        <f>'[1]B.kriteria &amp; R.kecocokan'!$B$80</f>
        <v>Rendah</v>
      </c>
      <c r="K6" s="5" t="str">
        <f>'[1]B.kriteria &amp; R.kecocokan'!$B$89</f>
        <v>Sedikit</v>
      </c>
      <c r="L6" s="5" t="str">
        <f>'[1]B.kriteria &amp; R.kecocokan'!$B$49</f>
        <v>Rendah</v>
      </c>
      <c r="M6" s="5" t="str">
        <f>'[1]B.kriteria &amp; R.kecocokan'!$B$57</f>
        <v>Rendah</v>
      </c>
      <c r="N6" s="6" t="str">
        <f>'[1]B.kriteria &amp; R.kecocokan'!$B$65</f>
        <v>Rendah</v>
      </c>
      <c r="O6" s="12" t="s">
        <v>18</v>
      </c>
      <c r="Q6" s="30"/>
      <c r="R6" s="30" t="s">
        <v>163</v>
      </c>
      <c r="S6">
        <f>COUNTIF($E$3:$E$95,$E$86)</f>
        <v>35</v>
      </c>
      <c r="T6">
        <f>COUNTIFS($E$3:$E$95,$E$86,$O$3:$O$95,$O$90)</f>
        <v>5</v>
      </c>
      <c r="U6">
        <f>COUNTIFS($E$3:$E$95,$E$86,$O$3:$O$95,$O$4)</f>
        <v>30</v>
      </c>
      <c r="V6" s="36">
        <f>((-T6/S6)*IMLOG2(T6/S6))+((-U6/S6)*IMLOG2(U6/S6))</f>
        <v>0.59167277858232681</v>
      </c>
    </row>
    <row r="7" spans="1:23" x14ac:dyDescent="0.35">
      <c r="A7" s="16">
        <v>5</v>
      </c>
      <c r="B7" s="8" t="str">
        <f>[1]Penghasilan!B18</f>
        <v>3523152007120012</v>
      </c>
      <c r="C7" s="8" t="s">
        <v>25</v>
      </c>
      <c r="D7" s="9" t="s">
        <v>26</v>
      </c>
      <c r="E7" s="4" t="str">
        <f>'[1]B.kriteria &amp; R.kecocokan'!$B$24</f>
        <v>Cukup</v>
      </c>
      <c r="F7" s="10" t="str">
        <f>'[1]B.kriteria &amp; R.kecocokan'!$B$34</f>
        <v>Tinggi</v>
      </c>
      <c r="G7" s="5" t="str">
        <f>'[1]B.kriteria &amp; R.kecocokan'!$B$41</f>
        <v>Rendah</v>
      </c>
      <c r="H7" s="5" t="str">
        <f>'[1]B.kriteria &amp; R.kecocokan'!$B$72</f>
        <v>Rendah</v>
      </c>
      <c r="I7" s="5" t="str">
        <f>'[1]B.kriteria &amp; R.kecocokan'!$B$95</f>
        <v>Rendah</v>
      </c>
      <c r="J7" s="5" t="str">
        <f>'[1]B.kriteria &amp; R.kecocokan'!$B$80</f>
        <v>Rendah</v>
      </c>
      <c r="K7" s="10" t="str">
        <f>'[1]B.kriteria &amp; R.kecocokan'!$B$88</f>
        <v>Sedang</v>
      </c>
      <c r="L7" s="5" t="str">
        <f>'[1]B.kriteria &amp; R.kecocokan'!$B$49</f>
        <v>Rendah</v>
      </c>
      <c r="M7" s="5" t="str">
        <f>'[1]B.kriteria &amp; R.kecocokan'!$B$57</f>
        <v>Rendah</v>
      </c>
      <c r="N7" s="6" t="str">
        <f>'[1]B.kriteria &amp; R.kecocokan'!$B$65</f>
        <v>Rendah</v>
      </c>
      <c r="O7" s="12" t="s">
        <v>18</v>
      </c>
      <c r="Q7" s="30"/>
      <c r="R7" s="30" t="s">
        <v>164</v>
      </c>
      <c r="S7">
        <f>COUNTIFS($E$3:$E$95,$E$83)</f>
        <v>35</v>
      </c>
      <c r="T7">
        <f>COUNTIFS($E$3:$E$95,$E$83,$O$3:$O$95,$O$85)</f>
        <v>17</v>
      </c>
      <c r="U7">
        <f>COUNTIFS($E$3:$E$95,$E$83,$O$3:$O$95,$O$8)</f>
        <v>18</v>
      </c>
      <c r="V7" s="36">
        <f>((-T7/S7)*IMLOG2(T7/S7))+((-U7/S7)*IMLOG2(U7/S7))</f>
        <v>0.99941106473875652</v>
      </c>
    </row>
    <row r="8" spans="1:23" x14ac:dyDescent="0.35">
      <c r="A8" s="15">
        <v>6</v>
      </c>
      <c r="B8" s="7" t="s">
        <v>27</v>
      </c>
      <c r="C8" s="8" t="s">
        <v>28</v>
      </c>
      <c r="D8" s="9" t="s">
        <v>17</v>
      </c>
      <c r="E8" s="10" t="str">
        <f>'[1]B.kriteria &amp; R.kecocokan'!$B$23</f>
        <v>Banyak</v>
      </c>
      <c r="F8" s="10" t="str">
        <f>'[1]B.kriteria &amp; R.kecocokan'!$B$34</f>
        <v>Tinggi</v>
      </c>
      <c r="G8" s="5" t="str">
        <f>'[1]B.kriteria &amp; R.kecocokan'!$B$41</f>
        <v>Rendah</v>
      </c>
      <c r="H8" s="5" t="str">
        <f>'[1]B.kriteria &amp; R.kecocokan'!$B$72</f>
        <v>Rendah</v>
      </c>
      <c r="I8" s="5" t="str">
        <f>'[1]B.kriteria &amp; R.kecocokan'!$B$95</f>
        <v>Rendah</v>
      </c>
      <c r="J8" s="5" t="str">
        <f>'[1]B.kriteria &amp; R.kecocokan'!$B$80</f>
        <v>Rendah</v>
      </c>
      <c r="K8" s="5" t="str">
        <f>'[1]B.kriteria &amp; R.kecocokan'!$B$89</f>
        <v>Sedikit</v>
      </c>
      <c r="L8" s="5" t="str">
        <f>'[1]B.kriteria &amp; R.kecocokan'!$B$49</f>
        <v>Rendah</v>
      </c>
      <c r="M8" s="5" t="str">
        <f>'[1]B.kriteria &amp; R.kecocokan'!$B$57</f>
        <v>Rendah</v>
      </c>
      <c r="N8" s="6" t="str">
        <f>'[1]B.kriteria &amp; R.kecocokan'!$B$65</f>
        <v>Rendah</v>
      </c>
      <c r="O8" s="12" t="s">
        <v>18</v>
      </c>
      <c r="Q8" s="30"/>
      <c r="R8" s="30"/>
      <c r="S8" s="38">
        <f>SUM(S5:S7)</f>
        <v>93</v>
      </c>
      <c r="T8" s="38">
        <f t="shared" ref="T8:U8" si="0">SUM(T5:T7)</f>
        <v>22</v>
      </c>
      <c r="U8" s="38">
        <f t="shared" si="0"/>
        <v>71</v>
      </c>
    </row>
    <row r="9" spans="1:23" x14ac:dyDescent="0.35">
      <c r="A9" s="15">
        <v>7</v>
      </c>
      <c r="B9" s="7" t="s">
        <v>29</v>
      </c>
      <c r="C9" s="8" t="s">
        <v>30</v>
      </c>
      <c r="D9" s="9" t="s">
        <v>17</v>
      </c>
      <c r="E9" s="10" t="str">
        <f>'[1]B.kriteria &amp; R.kecocokan'!$B$23</f>
        <v>Banyak</v>
      </c>
      <c r="F9" s="10" t="str">
        <f>'[1]B.kriteria &amp; R.kecocokan'!$B$34</f>
        <v>Tinggi</v>
      </c>
      <c r="G9" s="5" t="str">
        <f>'[1]B.kriteria &amp; R.kecocokan'!$B$41</f>
        <v>Rendah</v>
      </c>
      <c r="H9" s="5" t="str">
        <f>'[1]B.kriteria &amp; R.kecocokan'!$B$72</f>
        <v>Rendah</v>
      </c>
      <c r="I9" s="5" t="str">
        <f>'[1]B.kriteria &amp; R.kecocokan'!$B$95</f>
        <v>Rendah</v>
      </c>
      <c r="J9" s="10" t="str">
        <f>'[1]B.kriteria &amp; R.kecocokan'!$B$81</f>
        <v>Tinggi</v>
      </c>
      <c r="K9" s="10" t="str">
        <f>'[1]B.kriteria &amp; R.kecocokan'!$B$88</f>
        <v>Sedang</v>
      </c>
      <c r="L9" s="5" t="str">
        <f>'[1]B.kriteria &amp; R.kecocokan'!$B$49</f>
        <v>Rendah</v>
      </c>
      <c r="M9" s="5" t="str">
        <f>'[1]B.kriteria &amp; R.kecocokan'!$B$57</f>
        <v>Rendah</v>
      </c>
      <c r="N9" s="6" t="str">
        <f>'[1]B.kriteria &amp; R.kecocokan'!$B$65</f>
        <v>Rendah</v>
      </c>
      <c r="O9" s="12" t="s">
        <v>18</v>
      </c>
      <c r="Q9" s="30" t="s">
        <v>5</v>
      </c>
      <c r="R9" s="30"/>
      <c r="W9" s="39">
        <f>$V$3 - ((S10/$S$3*V10) +(S11/$S$3*V11))</f>
        <v>0.10819546788591783</v>
      </c>
    </row>
    <row r="10" spans="1:23" x14ac:dyDescent="0.35">
      <c r="A10" s="16">
        <v>8</v>
      </c>
      <c r="B10" s="7" t="s">
        <v>31</v>
      </c>
      <c r="C10" s="8" t="s">
        <v>32</v>
      </c>
      <c r="D10" s="11" t="s">
        <v>17</v>
      </c>
      <c r="E10" s="4" t="str">
        <f>'[1]B.kriteria &amp; R.kecocokan'!$B$24</f>
        <v>Cukup</v>
      </c>
      <c r="F10" s="10" t="str">
        <f>'[1]B.kriteria &amp; R.kecocokan'!$B$34</f>
        <v>Tinggi</v>
      </c>
      <c r="G10" s="5" t="str">
        <f>'[1]B.kriteria &amp; R.kecocokan'!$B$41</f>
        <v>Rendah</v>
      </c>
      <c r="H10" s="5" t="str">
        <f>'[1]B.kriteria &amp; R.kecocokan'!$B$72</f>
        <v>Rendah</v>
      </c>
      <c r="I10" s="5" t="str">
        <f>'[1]B.kriteria &amp; R.kecocokan'!$B$95</f>
        <v>Rendah</v>
      </c>
      <c r="J10" s="5" t="str">
        <f>'[1]B.kriteria &amp; R.kecocokan'!$B$80</f>
        <v>Rendah</v>
      </c>
      <c r="K10" s="5" t="str">
        <f>'[1]B.kriteria &amp; R.kecocokan'!$B$89</f>
        <v>Sedikit</v>
      </c>
      <c r="L10" s="5" t="str">
        <f>'[1]B.kriteria &amp; R.kecocokan'!$B$49</f>
        <v>Rendah</v>
      </c>
      <c r="M10" s="5" t="str">
        <f>'[1]B.kriteria &amp; R.kecocokan'!$B$57</f>
        <v>Rendah</v>
      </c>
      <c r="N10" s="6" t="str">
        <f>'[1]B.kriteria &amp; R.kecocokan'!$B$65</f>
        <v>Rendah</v>
      </c>
      <c r="O10" s="12" t="s">
        <v>18</v>
      </c>
      <c r="Q10" s="30"/>
      <c r="R10" s="30" t="s">
        <v>165</v>
      </c>
      <c r="S10">
        <f>COUNTIFS($F$3:$F$95,$F$3)</f>
        <v>77</v>
      </c>
      <c r="T10">
        <f>COUNTIFS($F$3:$F$95,$F$3,$O$3:$O$95,$O$81)</f>
        <v>12</v>
      </c>
      <c r="U10">
        <f>COUNTIFS($F$3:$F$95,$F$3,$O$3:$O$95,$O$4)</f>
        <v>65</v>
      </c>
      <c r="V10" s="36">
        <f>((-T10/S10)*IMLOG2(T10/S10))+((-U10/S10)*IMLOG2(U10/S10))</f>
        <v>0.62427410101303971</v>
      </c>
    </row>
    <row r="11" spans="1:23" x14ac:dyDescent="0.35">
      <c r="A11" s="15">
        <v>9</v>
      </c>
      <c r="B11" s="8" t="str">
        <f>[1]Penghasilan!B66</f>
        <v>No KK</v>
      </c>
      <c r="C11" s="8" t="s">
        <v>33</v>
      </c>
      <c r="D11" s="9" t="s">
        <v>17</v>
      </c>
      <c r="E11" s="4" t="str">
        <f>'[1]B.kriteria &amp; R.kecocokan'!$B$24</f>
        <v>Cukup</v>
      </c>
      <c r="F11" s="10" t="str">
        <f>'[1]B.kriteria &amp; R.kecocokan'!$B$34</f>
        <v>Tinggi</v>
      </c>
      <c r="G11" s="10" t="str">
        <f>'[1]B.kriteria &amp; R.kecocokan'!$B$43</f>
        <v>Tinggi</v>
      </c>
      <c r="H11" s="5" t="str">
        <f>'[1]B.kriteria &amp; R.kecocokan'!$B$72</f>
        <v>Rendah</v>
      </c>
      <c r="I11" s="5" t="str">
        <f>'[1]B.kriteria &amp; R.kecocokan'!$B$95</f>
        <v>Rendah</v>
      </c>
      <c r="J11" s="5" t="str">
        <f>'[1]B.kriteria &amp; R.kecocokan'!$B$80</f>
        <v>Rendah</v>
      </c>
      <c r="K11" s="10" t="str">
        <f>'[1]B.kriteria &amp; R.kecocokan'!$B$88</f>
        <v>Sedang</v>
      </c>
      <c r="L11" s="5" t="str">
        <f>'[1]B.kriteria &amp; R.kecocokan'!$B$49</f>
        <v>Rendah</v>
      </c>
      <c r="M11" s="5" t="str">
        <f>'[1]B.kriteria &amp; R.kecocokan'!$B$57</f>
        <v>Rendah</v>
      </c>
      <c r="N11" s="6" t="str">
        <f>'[1]B.kriteria &amp; R.kecocokan'!$B$65</f>
        <v>Rendah</v>
      </c>
      <c r="O11" s="12" t="s">
        <v>18</v>
      </c>
      <c r="Q11" s="30"/>
      <c r="R11" s="30" t="s">
        <v>166</v>
      </c>
      <c r="S11">
        <f>COUNTIFS($F$3:$F$95,$F$16)</f>
        <v>16</v>
      </c>
      <c r="T11">
        <f>COUNTIFS($F$3:$F$95,$F$16,$O$3:$O$95,$O$13)</f>
        <v>10</v>
      </c>
      <c r="U11">
        <f>COUNTIFS($F$3:$F$95,$F$16,$O$3:$O$95,$O$9)</f>
        <v>6</v>
      </c>
      <c r="V11" s="36">
        <f>((-T11/S11)*IMLOG2(T11/S11))+((-U11/S11)*IMLOG2(U11/S11))</f>
        <v>0.95443400292496372</v>
      </c>
    </row>
    <row r="12" spans="1:23" x14ac:dyDescent="0.35">
      <c r="A12" s="15">
        <v>10</v>
      </c>
      <c r="B12" s="7" t="s">
        <v>34</v>
      </c>
      <c r="C12" s="8" t="s">
        <v>35</v>
      </c>
      <c r="D12" s="11" t="s">
        <v>17</v>
      </c>
      <c r="E12" s="4" t="str">
        <f>'[1]B.kriteria &amp; R.kecocokan'!$B$24</f>
        <v>Cukup</v>
      </c>
      <c r="F12" s="10" t="str">
        <f>'[1]B.kriteria &amp; R.kecocokan'!$B$34</f>
        <v>Tinggi</v>
      </c>
      <c r="G12" s="5" t="str">
        <f>'[1]B.kriteria &amp; R.kecocokan'!$B$41</f>
        <v>Rendah</v>
      </c>
      <c r="H12" s="5" t="str">
        <f>'[1]B.kriteria &amp; R.kecocokan'!$B$72</f>
        <v>Rendah</v>
      </c>
      <c r="I12" s="5" t="str">
        <f>'[1]B.kriteria &amp; R.kecocokan'!$B$95</f>
        <v>Rendah</v>
      </c>
      <c r="J12" s="10" t="str">
        <f>'[1]B.kriteria &amp; R.kecocokan'!$B$81</f>
        <v>Tinggi</v>
      </c>
      <c r="K12" s="10" t="str">
        <f>'[1]B.kriteria &amp; R.kecocokan'!$B$90</f>
        <v>Sangat Sedikit</v>
      </c>
      <c r="L12" s="5" t="str">
        <f>'[1]B.kriteria &amp; R.kecocokan'!$B$49</f>
        <v>Rendah</v>
      </c>
      <c r="M12" s="5" t="str">
        <f>'[1]B.kriteria &amp; R.kecocokan'!$B$57</f>
        <v>Rendah</v>
      </c>
      <c r="N12" s="6" t="str">
        <f>'[1]B.kriteria &amp; R.kecocokan'!$B$65</f>
        <v>Rendah</v>
      </c>
      <c r="O12" s="12" t="s">
        <v>36</v>
      </c>
      <c r="Q12" s="30"/>
      <c r="R12" s="30"/>
      <c r="S12" s="38">
        <f>SUM(S10:S11)</f>
        <v>93</v>
      </c>
      <c r="T12" s="38">
        <f t="shared" ref="T12:U12" si="1">SUM(T10:T11)</f>
        <v>22</v>
      </c>
      <c r="U12" s="38">
        <f t="shared" si="1"/>
        <v>71</v>
      </c>
    </row>
    <row r="13" spans="1:23" x14ac:dyDescent="0.35">
      <c r="A13" s="16">
        <v>11</v>
      </c>
      <c r="B13" s="7" t="s">
        <v>37</v>
      </c>
      <c r="C13" s="8" t="s">
        <v>38</v>
      </c>
      <c r="D13" s="9" t="s">
        <v>17</v>
      </c>
      <c r="E13" s="10" t="str">
        <f>'[1]B.kriteria &amp; R.kecocokan'!$B$25</f>
        <v>Sedikit</v>
      </c>
      <c r="F13" s="10" t="str">
        <f>'[1]B.kriteria &amp; R.kecocokan'!$B$34</f>
        <v>Tinggi</v>
      </c>
      <c r="G13" s="5" t="str">
        <f>'[1]B.kriteria &amp; R.kecocokan'!$B$41</f>
        <v>Rendah</v>
      </c>
      <c r="H13" s="5" t="str">
        <f>'[1]B.kriteria &amp; R.kecocokan'!$B$72</f>
        <v>Rendah</v>
      </c>
      <c r="I13" s="5" t="str">
        <f>'[1]B.kriteria &amp; R.kecocokan'!$B$95</f>
        <v>Rendah</v>
      </c>
      <c r="J13" s="10" t="str">
        <f>'[1]B.kriteria &amp; R.kecocokan'!$B$81</f>
        <v>Tinggi</v>
      </c>
      <c r="K13" s="10" t="str">
        <f>'[1]B.kriteria &amp; R.kecocokan'!$B$90</f>
        <v>Sangat Sedikit</v>
      </c>
      <c r="L13" s="10" t="str">
        <f>'[1]B.kriteria &amp; R.kecocokan'!$B$50</f>
        <v>Sedang</v>
      </c>
      <c r="M13" s="10" t="str">
        <f>'[1]B.kriteria &amp; R.kecocokan'!$B$58</f>
        <v>Sedang</v>
      </c>
      <c r="N13" s="12" t="str">
        <f>'[1]B.kriteria &amp; R.kecocokan'!$B$66</f>
        <v>Sedang</v>
      </c>
      <c r="O13" s="12" t="s">
        <v>36</v>
      </c>
      <c r="Q13" s="30" t="s">
        <v>167</v>
      </c>
      <c r="R13" s="30"/>
      <c r="W13" s="39">
        <f>$V$3 - ((S14/$S$3*V14) +(S15/$S$3*V15))</f>
        <v>4.9504250602608213E-2</v>
      </c>
    </row>
    <row r="14" spans="1:23" x14ac:dyDescent="0.35">
      <c r="A14" s="15">
        <v>12</v>
      </c>
      <c r="B14" s="7" t="s">
        <v>39</v>
      </c>
      <c r="C14" s="8" t="s">
        <v>40</v>
      </c>
      <c r="D14" s="9" t="s">
        <v>17</v>
      </c>
      <c r="E14" s="4" t="str">
        <f>'[1]B.kriteria &amp; R.kecocokan'!$B$24</f>
        <v>Cukup</v>
      </c>
      <c r="F14" s="10" t="str">
        <f>'[1]B.kriteria &amp; R.kecocokan'!$B$34</f>
        <v>Tinggi</v>
      </c>
      <c r="G14" s="5" t="str">
        <f>'[1]B.kriteria &amp; R.kecocokan'!$B$41</f>
        <v>Rendah</v>
      </c>
      <c r="H14" s="5" t="str">
        <f>'[1]B.kriteria &amp; R.kecocokan'!$B$72</f>
        <v>Rendah</v>
      </c>
      <c r="I14" s="5" t="str">
        <f>'[1]B.kriteria &amp; R.kecocokan'!$B$95</f>
        <v>Rendah</v>
      </c>
      <c r="J14" s="10" t="str">
        <f>'[1]B.kriteria &amp; R.kecocokan'!$B$81</f>
        <v>Tinggi</v>
      </c>
      <c r="K14" s="10" t="str">
        <f>'[1]B.kriteria &amp; R.kecocokan'!$B$90</f>
        <v>Sangat Sedikit</v>
      </c>
      <c r="L14" s="5" t="str">
        <f>'[1]B.kriteria &amp; R.kecocokan'!$B$49</f>
        <v>Rendah</v>
      </c>
      <c r="M14" s="5" t="str">
        <f>'[1]B.kriteria &amp; R.kecocokan'!$B$57</f>
        <v>Rendah</v>
      </c>
      <c r="N14" s="6" t="str">
        <f>'[1]B.kriteria &amp; R.kecocokan'!$B$65</f>
        <v>Rendah</v>
      </c>
      <c r="O14" s="12" t="s">
        <v>18</v>
      </c>
      <c r="Q14" s="30"/>
      <c r="R14" s="30" t="s">
        <v>168</v>
      </c>
      <c r="S14">
        <f>COUNTIFS($G$3:$G$95,$G$3)</f>
        <v>82</v>
      </c>
      <c r="T14">
        <f>COUNTIFS($G$3:$G$95,$G$3,$O$3:$O$95,$O$13)</f>
        <v>22</v>
      </c>
      <c r="U14">
        <f>COUNTIFS($G$3:$G$95,$G$3,$O$3:$O$95,$O$11)</f>
        <v>60</v>
      </c>
      <c r="V14" s="36">
        <f>((-T14/S14)*IMLOG2(T14/S14))+((-U14/S14)*IMLOG2(U14/S14))</f>
        <v>0.83900406136769856</v>
      </c>
    </row>
    <row r="15" spans="1:23" x14ac:dyDescent="0.35">
      <c r="A15" s="15">
        <v>13</v>
      </c>
      <c r="B15" s="7" t="s">
        <v>41</v>
      </c>
      <c r="C15" s="8" t="s">
        <v>42</v>
      </c>
      <c r="D15" s="9" t="s">
        <v>17</v>
      </c>
      <c r="E15" s="4" t="str">
        <f>'[1]B.kriteria &amp; R.kecocokan'!$B$24</f>
        <v>Cukup</v>
      </c>
      <c r="F15" s="10" t="str">
        <f>'[1]B.kriteria &amp; R.kecocokan'!$B$34</f>
        <v>Tinggi</v>
      </c>
      <c r="G15" s="10" t="str">
        <f>'[1]B.kriteria &amp; R.kecocokan'!$B$43</f>
        <v>Tinggi</v>
      </c>
      <c r="H15" s="5" t="str">
        <f>'[1]B.kriteria &amp; R.kecocokan'!$B$72</f>
        <v>Rendah</v>
      </c>
      <c r="I15" s="5" t="str">
        <f>'[1]B.kriteria &amp; R.kecocokan'!$B$95</f>
        <v>Rendah</v>
      </c>
      <c r="J15" s="5" t="str">
        <f>'[1]B.kriteria &amp; R.kecocokan'!$B$80</f>
        <v>Rendah</v>
      </c>
      <c r="K15" s="10" t="str">
        <f>'[1]B.kriteria &amp; R.kecocokan'!$B$88</f>
        <v>Sedang</v>
      </c>
      <c r="L15" s="5" t="str">
        <f>'[1]B.kriteria &amp; R.kecocokan'!$B$49</f>
        <v>Rendah</v>
      </c>
      <c r="M15" s="5" t="str">
        <f>'[1]B.kriteria &amp; R.kecocokan'!$B$57</f>
        <v>Rendah</v>
      </c>
      <c r="N15" s="6" t="str">
        <f>'[1]B.kriteria &amp; R.kecocokan'!$B$65</f>
        <v>Rendah</v>
      </c>
      <c r="O15" s="12" t="s">
        <v>18</v>
      </c>
      <c r="Q15" s="30"/>
      <c r="R15" s="30" t="s">
        <v>165</v>
      </c>
      <c r="S15">
        <f>COUNTIFS($G$3:$G$95,$G$89)</f>
        <v>11</v>
      </c>
      <c r="T15">
        <f>COUNTIFS($G$3:$G$95,$G$29,$O$3:$O$95,$O$13)</f>
        <v>0</v>
      </c>
      <c r="U15">
        <f>COUNTIFS($G$3:$G$95,$G$29,$O$3:$O$95,$O$7)</f>
        <v>11</v>
      </c>
      <c r="V15">
        <v>0</v>
      </c>
    </row>
    <row r="16" spans="1:23" x14ac:dyDescent="0.35">
      <c r="A16" s="16">
        <v>14</v>
      </c>
      <c r="B16" s="7" t="s">
        <v>43</v>
      </c>
      <c r="C16" s="8" t="s">
        <v>44</v>
      </c>
      <c r="D16" s="9" t="s">
        <v>17</v>
      </c>
      <c r="E16" s="4" t="str">
        <f>'[1]B.kriteria &amp; R.kecocokan'!$B$24</f>
        <v>Cukup</v>
      </c>
      <c r="F16" s="10" t="str">
        <f>'[1]B.kriteria &amp; R.kecocokan'!$B$35</f>
        <v>Sangat Tinggi</v>
      </c>
      <c r="G16" s="5" t="str">
        <f>'[1]B.kriteria &amp; R.kecocokan'!$B$41</f>
        <v>Rendah</v>
      </c>
      <c r="H16" s="5" t="str">
        <f>'[1]B.kriteria &amp; R.kecocokan'!$B$72</f>
        <v>Rendah</v>
      </c>
      <c r="I16" s="5" t="str">
        <f>'[1]B.kriteria &amp; R.kecocokan'!$B$95</f>
        <v>Rendah</v>
      </c>
      <c r="J16" s="5" t="str">
        <f>'[1]B.kriteria &amp; R.kecocokan'!$B$80</f>
        <v>Rendah</v>
      </c>
      <c r="K16" s="5" t="str">
        <f>'[1]B.kriteria &amp; R.kecocokan'!$B$89</f>
        <v>Sedikit</v>
      </c>
      <c r="L16" s="5" t="str">
        <f>'[1]B.kriteria &amp; R.kecocokan'!$B$49</f>
        <v>Rendah</v>
      </c>
      <c r="M16" s="10" t="str">
        <f>'[1]B.kriteria &amp; R.kecocokan'!$B$58</f>
        <v>Sedang</v>
      </c>
      <c r="N16" s="6" t="str">
        <f>'[1]B.kriteria &amp; R.kecocokan'!$B$65</f>
        <v>Rendah</v>
      </c>
      <c r="O16" s="12" t="s">
        <v>18</v>
      </c>
      <c r="Q16" s="30"/>
      <c r="R16" s="30"/>
      <c r="S16" s="38">
        <f>SUM(S14:S15)</f>
        <v>93</v>
      </c>
      <c r="T16" s="38">
        <f t="shared" ref="T16:U16" si="2">SUM(T14:T15)</f>
        <v>22</v>
      </c>
      <c r="U16" s="38">
        <f t="shared" si="2"/>
        <v>71</v>
      </c>
    </row>
    <row r="17" spans="1:23" x14ac:dyDescent="0.35">
      <c r="A17" s="15">
        <v>15</v>
      </c>
      <c r="B17" s="7" t="s">
        <v>45</v>
      </c>
      <c r="C17" s="8" t="s">
        <v>46</v>
      </c>
      <c r="D17" s="9" t="s">
        <v>17</v>
      </c>
      <c r="E17" s="10" t="str">
        <f>'[1]B.kriteria &amp; R.kecocokan'!$B$23</f>
        <v>Banyak</v>
      </c>
      <c r="F17" s="10" t="str">
        <f>'[1]B.kriteria &amp; R.kecocokan'!$B$35</f>
        <v>Sangat Tinggi</v>
      </c>
      <c r="G17" s="5" t="str">
        <f>'[1]B.kriteria &amp; R.kecocokan'!$B$41</f>
        <v>Rendah</v>
      </c>
      <c r="H17" s="5" t="str">
        <f>'[1]B.kriteria &amp; R.kecocokan'!$B$72</f>
        <v>Rendah</v>
      </c>
      <c r="I17" s="5" t="str">
        <f>'[1]B.kriteria &amp; R.kecocokan'!$B$95</f>
        <v>Rendah</v>
      </c>
      <c r="J17" s="5" t="str">
        <f>'[1]B.kriteria &amp; R.kecocokan'!$B$80</f>
        <v>Rendah</v>
      </c>
      <c r="K17" s="10" t="str">
        <f>'[1]B.kriteria &amp; R.kecocokan'!$B$88</f>
        <v>Sedang</v>
      </c>
      <c r="L17" s="5" t="str">
        <f>'[1]B.kriteria &amp; R.kecocokan'!$B$49</f>
        <v>Rendah</v>
      </c>
      <c r="M17" s="5" t="str">
        <f>'[1]B.kriteria &amp; R.kecocokan'!$B$57</f>
        <v>Rendah</v>
      </c>
      <c r="N17" s="6" t="str">
        <f>'[1]B.kriteria &amp; R.kecocokan'!$B$65</f>
        <v>Rendah</v>
      </c>
      <c r="O17" s="12" t="s">
        <v>18</v>
      </c>
      <c r="Q17" s="30" t="s">
        <v>169</v>
      </c>
      <c r="R17" s="30"/>
      <c r="W17" s="39">
        <f>$V$3 - ((S18/$S$3*V18) +(S19/$S$3*V19))</f>
        <v>2.263698649607615E-2</v>
      </c>
    </row>
    <row r="18" spans="1:23" x14ac:dyDescent="0.35">
      <c r="A18" s="15">
        <v>16</v>
      </c>
      <c r="B18" s="7" t="s">
        <v>47</v>
      </c>
      <c r="C18" s="8" t="s">
        <v>48</v>
      </c>
      <c r="D18" s="9" t="s">
        <v>17</v>
      </c>
      <c r="E18" s="4" t="str">
        <f>'[1]B.kriteria &amp; R.kecocokan'!$B$24</f>
        <v>Cukup</v>
      </c>
      <c r="F18" s="10" t="str">
        <f>'[1]B.kriteria &amp; R.kecocokan'!$B$34</f>
        <v>Tinggi</v>
      </c>
      <c r="G18" s="5" t="str">
        <f>'[1]B.kriteria &amp; R.kecocokan'!$B$41</f>
        <v>Rendah</v>
      </c>
      <c r="H18" s="5" t="str">
        <f>'[1]B.kriteria &amp; R.kecocokan'!$B$72</f>
        <v>Rendah</v>
      </c>
      <c r="I18" s="5" t="str">
        <f>'[1]B.kriteria &amp; R.kecocokan'!$B$95</f>
        <v>Rendah</v>
      </c>
      <c r="J18" s="10" t="str">
        <f>'[1]B.kriteria &amp; R.kecocokan'!$B$81</f>
        <v>Tinggi</v>
      </c>
      <c r="K18" s="10" t="str">
        <f>'[1]B.kriteria &amp; R.kecocokan'!$B$90</f>
        <v>Sangat Sedikit</v>
      </c>
      <c r="L18" s="5" t="str">
        <f>'[1]B.kriteria &amp; R.kecocokan'!$B$49</f>
        <v>Rendah</v>
      </c>
      <c r="M18" s="5" t="str">
        <f>'[1]B.kriteria &amp; R.kecocokan'!$B$57</f>
        <v>Rendah</v>
      </c>
      <c r="N18" s="6" t="str">
        <f>'[1]B.kriteria &amp; R.kecocokan'!$B$65</f>
        <v>Rendah</v>
      </c>
      <c r="O18" s="12" t="s">
        <v>18</v>
      </c>
      <c r="Q18" s="30"/>
      <c r="R18" s="30" t="s">
        <v>168</v>
      </c>
      <c r="S18">
        <f>COUNTIFS($H$3:$H$95,$H$3)</f>
        <v>92</v>
      </c>
      <c r="T18">
        <f>COUNTIFS($H$3:$H$95,$H$3,$O$3:$O$95,$O$90)</f>
        <v>21</v>
      </c>
      <c r="U18">
        <f>COUNTIFS($H$3:$H$95,$H$3,$O$3:$O$95,$O$9)</f>
        <v>71</v>
      </c>
      <c r="V18" s="36">
        <f>((-T18/S18)*IMLOG2(T18/S18))+((-U18/S18)*IMLOG2(U18/S18))</f>
        <v>0.77496726732672561</v>
      </c>
    </row>
    <row r="19" spans="1:23" x14ac:dyDescent="0.35">
      <c r="A19" s="16">
        <v>17</v>
      </c>
      <c r="B19" s="7" t="s">
        <v>49</v>
      </c>
      <c r="C19" s="8" t="s">
        <v>50</v>
      </c>
      <c r="D19" s="9" t="s">
        <v>17</v>
      </c>
      <c r="E19" s="4" t="str">
        <f>'[1]B.kriteria &amp; R.kecocokan'!$B$24</f>
        <v>Cukup</v>
      </c>
      <c r="F19" s="10" t="str">
        <f>'[1]B.kriteria &amp; R.kecocokan'!$B$35</f>
        <v>Sangat Tinggi</v>
      </c>
      <c r="G19" s="5" t="str">
        <f>'[1]B.kriteria &amp; R.kecocokan'!$B$41</f>
        <v>Rendah</v>
      </c>
      <c r="H19" s="5" t="str">
        <f>'[1]B.kriteria &amp; R.kecocokan'!$B$72</f>
        <v>Rendah</v>
      </c>
      <c r="I19" s="5" t="str">
        <f>'[1]B.kriteria &amp; R.kecocokan'!$B$95</f>
        <v>Rendah</v>
      </c>
      <c r="J19" s="5" t="str">
        <f>'[1]B.kriteria &amp; R.kecocokan'!$B$80</f>
        <v>Rendah</v>
      </c>
      <c r="K19" s="10" t="str">
        <f>'[1]B.kriteria &amp; R.kecocokan'!$B$88</f>
        <v>Sedang</v>
      </c>
      <c r="L19" s="10" t="str">
        <f>'[1]B.kriteria &amp; R.kecocokan'!$B$51</f>
        <v>Tinggi</v>
      </c>
      <c r="M19" s="10" t="str">
        <f>'[1]B.kriteria &amp; R.kecocokan'!$B$58</f>
        <v>Sedang</v>
      </c>
      <c r="N19" s="6" t="str">
        <f>'[1]B.kriteria &amp; R.kecocokan'!$B$65</f>
        <v>Rendah</v>
      </c>
      <c r="O19" s="12" t="s">
        <v>36</v>
      </c>
      <c r="Q19" s="30"/>
      <c r="R19" s="30" t="s">
        <v>165</v>
      </c>
      <c r="S19">
        <f>COUNTIFS($H$3:$H$95,$H$37)</f>
        <v>1</v>
      </c>
      <c r="T19">
        <f>COUNTIFS($H$3:$H$95,$H$37,$O$3:$O$95,$O$33)</f>
        <v>1</v>
      </c>
      <c r="U19">
        <f>COUNTIFS($H$3:$H$95,$H$37,$O$3:$O$95,$O$11)</f>
        <v>0</v>
      </c>
      <c r="V19">
        <v>0</v>
      </c>
    </row>
    <row r="20" spans="1:23" x14ac:dyDescent="0.35">
      <c r="A20" s="15">
        <v>18</v>
      </c>
      <c r="B20" s="7" t="s">
        <v>51</v>
      </c>
      <c r="C20" s="8" t="s">
        <v>52</v>
      </c>
      <c r="D20" s="9" t="s">
        <v>17</v>
      </c>
      <c r="E20" s="4" t="str">
        <f>'[1]B.kriteria &amp; R.kecocokan'!$B$24</f>
        <v>Cukup</v>
      </c>
      <c r="F20" s="10" t="str">
        <f>'[1]B.kriteria &amp; R.kecocokan'!$B$35</f>
        <v>Sangat Tinggi</v>
      </c>
      <c r="G20" s="5" t="str">
        <f>'[1]B.kriteria &amp; R.kecocokan'!$B$41</f>
        <v>Rendah</v>
      </c>
      <c r="H20" s="5" t="str">
        <f>'[1]B.kriteria &amp; R.kecocokan'!$B$72</f>
        <v>Rendah</v>
      </c>
      <c r="I20" s="5" t="str">
        <f>'[1]B.kriteria &amp; R.kecocokan'!$B$95</f>
        <v>Rendah</v>
      </c>
      <c r="J20" s="5" t="str">
        <f>'[1]B.kriteria &amp; R.kecocokan'!$B$80</f>
        <v>Rendah</v>
      </c>
      <c r="K20" s="10" t="str">
        <f>'[1]B.kriteria &amp; R.kecocokan'!$B$88</f>
        <v>Sedang</v>
      </c>
      <c r="L20" s="10" t="str">
        <f>'[1]B.kriteria &amp; R.kecocokan'!$B$50</f>
        <v>Sedang</v>
      </c>
      <c r="M20" s="10" t="str">
        <f>'[1]B.kriteria &amp; R.kecocokan'!$B$58</f>
        <v>Sedang</v>
      </c>
      <c r="N20" s="6" t="str">
        <f>'[1]B.kriteria &amp; R.kecocokan'!$B$65</f>
        <v>Rendah</v>
      </c>
      <c r="O20" s="12" t="s">
        <v>36</v>
      </c>
      <c r="Q20" s="30"/>
      <c r="R20" s="30"/>
      <c r="S20" s="38">
        <f>SUM(S18:S19)</f>
        <v>93</v>
      </c>
      <c r="T20" s="38">
        <f t="shared" ref="T20:U20" si="3">SUM(T18:T19)</f>
        <v>22</v>
      </c>
      <c r="U20" s="38">
        <f t="shared" si="3"/>
        <v>71</v>
      </c>
    </row>
    <row r="21" spans="1:23" x14ac:dyDescent="0.35">
      <c r="A21" s="15">
        <v>19</v>
      </c>
      <c r="B21" s="7" t="s">
        <v>53</v>
      </c>
      <c r="C21" s="8" t="s">
        <v>54</v>
      </c>
      <c r="D21" s="9" t="s">
        <v>17</v>
      </c>
      <c r="E21" s="10" t="str">
        <f>'[1]B.kriteria &amp; R.kecocokan'!$B$25</f>
        <v>Sedikit</v>
      </c>
      <c r="F21" s="10" t="str">
        <f>'[1]B.kriteria &amp; R.kecocokan'!$B$34</f>
        <v>Tinggi</v>
      </c>
      <c r="G21" s="5" t="str">
        <f>'[1]B.kriteria &amp; R.kecocokan'!$B$41</f>
        <v>Rendah</v>
      </c>
      <c r="H21" s="5" t="str">
        <f>'[1]B.kriteria &amp; R.kecocokan'!$B$72</f>
        <v>Rendah</v>
      </c>
      <c r="I21" s="5" t="str">
        <f>'[1]B.kriteria &amp; R.kecocokan'!$B$95</f>
        <v>Rendah</v>
      </c>
      <c r="J21" s="10" t="str">
        <f>'[1]B.kriteria &amp; R.kecocokan'!$B$81</f>
        <v>Tinggi</v>
      </c>
      <c r="K21" s="10" t="str">
        <f>'[1]B.kriteria &amp; R.kecocokan'!$B$90</f>
        <v>Sangat Sedikit</v>
      </c>
      <c r="L21" s="5" t="str">
        <f>'[1]B.kriteria &amp; R.kecocokan'!$B$49</f>
        <v>Rendah</v>
      </c>
      <c r="M21" s="10" t="str">
        <f>'[1]B.kriteria &amp; R.kecocokan'!$B$58</f>
        <v>Sedang</v>
      </c>
      <c r="N21" s="6" t="str">
        <f>'[1]B.kriteria &amp; R.kecocokan'!$B$65</f>
        <v>Rendah</v>
      </c>
      <c r="O21" s="12" t="s">
        <v>36</v>
      </c>
      <c r="Q21" s="30" t="s">
        <v>170</v>
      </c>
      <c r="R21" s="30"/>
      <c r="W21" s="39">
        <f>$V$3 - ((S22/$S$3*V22) +(S23/$S$3*V23))</f>
        <v>8.479561374480471E-3</v>
      </c>
    </row>
    <row r="22" spans="1:23" x14ac:dyDescent="0.35">
      <c r="A22" s="16">
        <v>20</v>
      </c>
      <c r="B22" s="7" t="s">
        <v>55</v>
      </c>
      <c r="C22" s="8" t="s">
        <v>56</v>
      </c>
      <c r="D22" s="9" t="s">
        <v>17</v>
      </c>
      <c r="E22" s="4" t="str">
        <f>'[1]B.kriteria &amp; R.kecocokan'!$B$24</f>
        <v>Cukup</v>
      </c>
      <c r="F22" s="10" t="str">
        <f>'[1]B.kriteria &amp; R.kecocokan'!$B$34</f>
        <v>Tinggi</v>
      </c>
      <c r="G22" s="5" t="str">
        <f>'[1]B.kriteria &amp; R.kecocokan'!$B$41</f>
        <v>Rendah</v>
      </c>
      <c r="H22" s="5" t="str">
        <f>'[1]B.kriteria &amp; R.kecocokan'!$B$72</f>
        <v>Rendah</v>
      </c>
      <c r="I22" s="5" t="str">
        <f>'[1]B.kriteria &amp; R.kecocokan'!$B$95</f>
        <v>Rendah</v>
      </c>
      <c r="J22" s="5" t="str">
        <f>'[1]B.kriteria &amp; R.kecocokan'!$B$80</f>
        <v>Rendah</v>
      </c>
      <c r="K22" s="5" t="str">
        <f>'[1]B.kriteria &amp; R.kecocokan'!$B$89</f>
        <v>Sedikit</v>
      </c>
      <c r="L22" s="5" t="str">
        <f>'[1]B.kriteria &amp; R.kecocokan'!$B$49</f>
        <v>Rendah</v>
      </c>
      <c r="M22" s="10" t="str">
        <f>'[1]B.kriteria &amp; R.kecocokan'!$B$58</f>
        <v>Sedang</v>
      </c>
      <c r="N22" s="6" t="str">
        <f>'[1]B.kriteria &amp; R.kecocokan'!$B$65</f>
        <v>Rendah</v>
      </c>
      <c r="O22" s="12" t="s">
        <v>18</v>
      </c>
      <c r="Q22" s="30"/>
      <c r="R22" s="30" t="s">
        <v>168</v>
      </c>
      <c r="S22">
        <f>COUNTIFS($I$3:$I$95,$I$88)</f>
        <v>91</v>
      </c>
      <c r="T22">
        <f>COUNTIFS($I$3:$I$95,$I$88,$O$3:$O$95,$O$13)</f>
        <v>22</v>
      </c>
      <c r="U22">
        <f>COUNTIFS($I$3:$I$95,$I$88,$O$3:$O$95,$O$8)</f>
        <v>69</v>
      </c>
      <c r="V22" s="36">
        <f>((-T22/S22)*IMLOG2(T22/S22))+((-U22/S22)*IMLOG2(U22/S22))</f>
        <v>0.79795196846557315</v>
      </c>
    </row>
    <row r="23" spans="1:23" x14ac:dyDescent="0.35">
      <c r="A23" s="15">
        <v>21</v>
      </c>
      <c r="B23" s="7" t="s">
        <v>57</v>
      </c>
      <c r="C23" s="8" t="s">
        <v>58</v>
      </c>
      <c r="D23" s="9" t="s">
        <v>17</v>
      </c>
      <c r="E23" s="10" t="str">
        <f>'[1]B.kriteria &amp; R.kecocokan'!$B$25</f>
        <v>Sedikit</v>
      </c>
      <c r="F23" s="10" t="str">
        <f>'[1]B.kriteria &amp; R.kecocokan'!$B$35</f>
        <v>Sangat Tinggi</v>
      </c>
      <c r="G23" s="5" t="str">
        <f>'[1]B.kriteria &amp; R.kecocokan'!$B$41</f>
        <v>Rendah</v>
      </c>
      <c r="H23" s="5" t="str">
        <f>'[1]B.kriteria &amp; R.kecocokan'!$B$72</f>
        <v>Rendah</v>
      </c>
      <c r="I23" s="5" t="str">
        <f>'[1]B.kriteria &amp; R.kecocokan'!$B$95</f>
        <v>Rendah</v>
      </c>
      <c r="J23" s="10" t="str">
        <f>'[1]B.kriteria &amp; R.kecocokan'!$B$81</f>
        <v>Tinggi</v>
      </c>
      <c r="K23" s="10" t="str">
        <f>'[1]B.kriteria &amp; R.kecocokan'!$B$90</f>
        <v>Sangat Sedikit</v>
      </c>
      <c r="L23" s="5" t="str">
        <f>'[1]B.kriteria &amp; R.kecocokan'!$B$49</f>
        <v>Rendah</v>
      </c>
      <c r="M23" s="10" t="str">
        <f>'[1]B.kriteria &amp; R.kecocokan'!$B$58</f>
        <v>Sedang</v>
      </c>
      <c r="N23" s="6" t="str">
        <f>'[1]B.kriteria &amp; R.kecocokan'!$B$65</f>
        <v>Rendah</v>
      </c>
      <c r="O23" s="12" t="s">
        <v>36</v>
      </c>
      <c r="Q23" s="30"/>
      <c r="R23" s="30" t="s">
        <v>165</v>
      </c>
      <c r="S23">
        <f>COUNTIFS($I$3:$I$95,$I$82)</f>
        <v>2</v>
      </c>
      <c r="T23">
        <f>COUNTIFS($I$3:$I$95,$I$82,$O$3:$O$95,$O$13)</f>
        <v>0</v>
      </c>
      <c r="U23">
        <f>COUNTIFS($I$3:$I$95,$I$82,$O$3:$O$95,$O$9)</f>
        <v>2</v>
      </c>
      <c r="V23" s="36">
        <v>0</v>
      </c>
    </row>
    <row r="24" spans="1:23" x14ac:dyDescent="0.35">
      <c r="A24" s="15">
        <v>22</v>
      </c>
      <c r="B24" s="7" t="s">
        <v>59</v>
      </c>
      <c r="C24" s="8" t="s">
        <v>60</v>
      </c>
      <c r="D24" s="9" t="s">
        <v>17</v>
      </c>
      <c r="E24" s="10" t="str">
        <f>'[1]B.kriteria &amp; R.kecocokan'!$B$23</f>
        <v>Banyak</v>
      </c>
      <c r="F24" s="10" t="str">
        <f>'[1]B.kriteria &amp; R.kecocokan'!$B$34</f>
        <v>Tinggi</v>
      </c>
      <c r="G24" s="5" t="str">
        <f>'[1]B.kriteria &amp; R.kecocokan'!$B$41</f>
        <v>Rendah</v>
      </c>
      <c r="H24" s="5" t="str">
        <f>'[1]B.kriteria &amp; R.kecocokan'!$B$72</f>
        <v>Rendah</v>
      </c>
      <c r="I24" s="5" t="str">
        <f>'[1]B.kriteria &amp; R.kecocokan'!$B$95</f>
        <v>Rendah</v>
      </c>
      <c r="J24" s="5" t="str">
        <f>'[1]B.kriteria &amp; R.kecocokan'!$B$80</f>
        <v>Rendah</v>
      </c>
      <c r="K24" s="10" t="str">
        <f>'[1]B.kriteria &amp; R.kecocokan'!$B$88</f>
        <v>Sedang</v>
      </c>
      <c r="L24" s="5" t="str">
        <f>'[1]B.kriteria &amp; R.kecocokan'!$B$49</f>
        <v>Rendah</v>
      </c>
      <c r="M24" s="5" t="str">
        <f>'[1]B.kriteria &amp; R.kecocokan'!$B$57</f>
        <v>Rendah</v>
      </c>
      <c r="N24" s="6" t="str">
        <f>'[1]B.kriteria &amp; R.kecocokan'!$B$65</f>
        <v>Rendah</v>
      </c>
      <c r="O24" s="12" t="s">
        <v>18</v>
      </c>
      <c r="Q24" s="30"/>
      <c r="R24" s="30"/>
      <c r="S24" s="38">
        <f>SUM(S22:S23)</f>
        <v>93</v>
      </c>
      <c r="T24" s="38">
        <f t="shared" ref="T24" si="4">SUM(T22:T23)</f>
        <v>22</v>
      </c>
      <c r="U24" s="38">
        <f t="shared" ref="U24" si="5">SUM(U22:U23)</f>
        <v>71</v>
      </c>
    </row>
    <row r="25" spans="1:23" x14ac:dyDescent="0.35">
      <c r="A25" s="16">
        <v>23</v>
      </c>
      <c r="B25" s="7" t="s">
        <v>61</v>
      </c>
      <c r="C25" s="8" t="s">
        <v>62</v>
      </c>
      <c r="D25" s="9" t="s">
        <v>17</v>
      </c>
      <c r="E25" s="4" t="str">
        <f>'[1]B.kriteria &amp; R.kecocokan'!$B$24</f>
        <v>Cukup</v>
      </c>
      <c r="F25" s="10" t="str">
        <f>'[1]B.kriteria &amp; R.kecocokan'!$B$34</f>
        <v>Tinggi</v>
      </c>
      <c r="G25" s="5" t="str">
        <f>'[1]B.kriteria &amp; R.kecocokan'!$B$41</f>
        <v>Rendah</v>
      </c>
      <c r="H25" s="5" t="str">
        <f>'[1]B.kriteria &amp; R.kecocokan'!$B$72</f>
        <v>Rendah</v>
      </c>
      <c r="I25" s="5" t="str">
        <f>'[1]B.kriteria &amp; R.kecocokan'!$B$95</f>
        <v>Rendah</v>
      </c>
      <c r="J25" s="5" t="str">
        <f>'[1]B.kriteria &amp; R.kecocokan'!$B$80</f>
        <v>Rendah</v>
      </c>
      <c r="K25" s="10" t="str">
        <f>'[1]B.kriteria &amp; R.kecocokan'!$B$88</f>
        <v>Sedang</v>
      </c>
      <c r="L25" s="5" t="str">
        <f>'[1]B.kriteria &amp; R.kecocokan'!$B$49</f>
        <v>Rendah</v>
      </c>
      <c r="M25" s="5" t="str">
        <f>'[1]B.kriteria &amp; R.kecocokan'!$B$57</f>
        <v>Rendah</v>
      </c>
      <c r="N25" s="6" t="str">
        <f>'[1]B.kriteria &amp; R.kecocokan'!$B$65</f>
        <v>Rendah</v>
      </c>
      <c r="O25" s="12" t="s">
        <v>18</v>
      </c>
      <c r="Q25" s="37" t="s">
        <v>9</v>
      </c>
      <c r="R25" s="35"/>
      <c r="W25" s="39">
        <f>$V$3 - ((S26/$S$3*V26) +(S27/$S$3*V27))</f>
        <v>9.4024210316924317E-2</v>
      </c>
    </row>
    <row r="26" spans="1:23" x14ac:dyDescent="0.35">
      <c r="A26" s="15">
        <v>24</v>
      </c>
      <c r="B26" s="7" t="s">
        <v>63</v>
      </c>
      <c r="C26" s="8" t="s">
        <v>64</v>
      </c>
      <c r="D26" s="9" t="s">
        <v>17</v>
      </c>
      <c r="E26" s="4" t="str">
        <f>'[1]B.kriteria &amp; R.kecocokan'!$B$24</f>
        <v>Cukup</v>
      </c>
      <c r="F26" s="10" t="str">
        <f>'[1]B.kriteria &amp; R.kecocokan'!$B$35</f>
        <v>Sangat Tinggi</v>
      </c>
      <c r="G26" s="5" t="str">
        <f>'[1]B.kriteria &amp; R.kecocokan'!$B$41</f>
        <v>Rendah</v>
      </c>
      <c r="H26" s="5" t="str">
        <f>'[1]B.kriteria &amp; R.kecocokan'!$B$72</f>
        <v>Rendah</v>
      </c>
      <c r="I26" s="5" t="str">
        <f>'[1]B.kriteria &amp; R.kecocokan'!$B$95</f>
        <v>Rendah</v>
      </c>
      <c r="J26" s="5" t="str">
        <f>'[1]B.kriteria &amp; R.kecocokan'!$B$80</f>
        <v>Rendah</v>
      </c>
      <c r="K26" s="10" t="str">
        <f>'[1]B.kriteria &amp; R.kecocokan'!$B$88</f>
        <v>Sedang</v>
      </c>
      <c r="L26" s="5" t="str">
        <f>'[1]B.kriteria &amp; R.kecocokan'!$B$49</f>
        <v>Rendah</v>
      </c>
      <c r="M26" s="5" t="str">
        <f>'[1]B.kriteria &amp; R.kecocokan'!$B$57</f>
        <v>Rendah</v>
      </c>
      <c r="N26" s="6" t="str">
        <f>'[1]B.kriteria &amp; R.kecocokan'!$B$65</f>
        <v>Rendah</v>
      </c>
      <c r="O26" s="12" t="s">
        <v>18</v>
      </c>
      <c r="Q26" s="35"/>
      <c r="R26" s="35" t="s">
        <v>171</v>
      </c>
      <c r="S26">
        <f>COUNTIFS($J$3:$J$95,$J$3)</f>
        <v>55</v>
      </c>
      <c r="T26">
        <f>COUNTIFS($J$3:$J$95,$J$3,$O$3:$O$95,$O$12)</f>
        <v>6</v>
      </c>
      <c r="U26">
        <f>COUNTIFS($J$3:$J$95,$J$3,$O$3:$O$95,$O$22)</f>
        <v>49</v>
      </c>
      <c r="V26" s="36">
        <f>((-T26/S26)*IMLOG2(T26/S26))+((-U26/S26)*IMLOG2(U26/S26))</f>
        <v>0.49716776141607455</v>
      </c>
    </row>
    <row r="27" spans="1:23" x14ac:dyDescent="0.35">
      <c r="A27" s="15">
        <v>25</v>
      </c>
      <c r="B27" s="7" t="s">
        <v>65</v>
      </c>
      <c r="C27" s="8" t="s">
        <v>66</v>
      </c>
      <c r="D27" s="9" t="s">
        <v>17</v>
      </c>
      <c r="E27" s="10" t="str">
        <f>'[1]B.kriteria &amp; R.kecocokan'!$B$25</f>
        <v>Sedikit</v>
      </c>
      <c r="F27" s="10" t="str">
        <f>'[1]B.kriteria &amp; R.kecocokan'!$B$35</f>
        <v>Sangat Tinggi</v>
      </c>
      <c r="G27" s="5" t="str">
        <f>'[1]B.kriteria &amp; R.kecocokan'!$B$41</f>
        <v>Rendah</v>
      </c>
      <c r="H27" s="5" t="str">
        <f>'[1]B.kriteria &amp; R.kecocokan'!$B$72</f>
        <v>Rendah</v>
      </c>
      <c r="I27" s="5" t="str">
        <f>'[1]B.kriteria &amp; R.kecocokan'!$B$95</f>
        <v>Rendah</v>
      </c>
      <c r="J27" s="10" t="str">
        <f>'[1]B.kriteria &amp; R.kecocokan'!$B$81</f>
        <v>Tinggi</v>
      </c>
      <c r="K27" s="10" t="str">
        <f>'[1]B.kriteria &amp; R.kecocokan'!$B$90</f>
        <v>Sangat Sedikit</v>
      </c>
      <c r="L27" s="5" t="str">
        <f>'[1]B.kriteria &amp; R.kecocokan'!$B$49</f>
        <v>Rendah</v>
      </c>
      <c r="M27" s="10" t="str">
        <f>'[1]B.kriteria &amp; R.kecocokan'!$B$58</f>
        <v>Sedang</v>
      </c>
      <c r="N27" s="6" t="str">
        <f>'[1]B.kriteria &amp; R.kecocokan'!$B$65</f>
        <v>Rendah</v>
      </c>
      <c r="O27" s="12" t="s">
        <v>36</v>
      </c>
      <c r="Q27" s="35"/>
      <c r="R27" s="35" t="s">
        <v>165</v>
      </c>
      <c r="S27">
        <f>COUNTIFS($J$3:$J$95,$J$18)</f>
        <v>38</v>
      </c>
      <c r="T27">
        <f>COUNTIFS($J$3:$J$95,$J$18,$O$3:$O$95,$O$12)</f>
        <v>16</v>
      </c>
      <c r="U27">
        <f>COUNTIFS($J$3:$J$95,$J$18,$O$3:$O$95,$O$7)</f>
        <v>22</v>
      </c>
      <c r="V27" s="36">
        <f>((-T27/S27)*IMLOG2(T27/S27))+((-U27/S27)*IMLOG2(U27/S27))</f>
        <v>0.98194078686409947</v>
      </c>
    </row>
    <row r="28" spans="1:23" x14ac:dyDescent="0.35">
      <c r="A28" s="16">
        <v>26</v>
      </c>
      <c r="B28" s="7" t="s">
        <v>67</v>
      </c>
      <c r="C28" s="8" t="s">
        <v>68</v>
      </c>
      <c r="D28" s="9" t="s">
        <v>17</v>
      </c>
      <c r="E28" s="10" t="str">
        <f>'[1]B.kriteria &amp; R.kecocokan'!$B$25</f>
        <v>Sedikit</v>
      </c>
      <c r="F28" s="10" t="str">
        <f>'[1]B.kriteria &amp; R.kecocokan'!$B$34</f>
        <v>Tinggi</v>
      </c>
      <c r="G28" s="5" t="str">
        <f>'[1]B.kriteria &amp; R.kecocokan'!$B$41</f>
        <v>Rendah</v>
      </c>
      <c r="H28" s="5" t="str">
        <f>'[1]B.kriteria &amp; R.kecocokan'!$B$72</f>
        <v>Rendah</v>
      </c>
      <c r="I28" s="5" t="str">
        <f>'[1]B.kriteria &amp; R.kecocokan'!$B$95</f>
        <v>Rendah</v>
      </c>
      <c r="J28" s="10" t="str">
        <f>'[1]B.kriteria &amp; R.kecocokan'!$B$81</f>
        <v>Tinggi</v>
      </c>
      <c r="K28" s="10" t="str">
        <f>'[1]B.kriteria &amp; R.kecocokan'!$B$90</f>
        <v>Sangat Sedikit</v>
      </c>
      <c r="L28" s="5" t="str">
        <f>'[1]B.kriteria &amp; R.kecocokan'!$B$49</f>
        <v>Rendah</v>
      </c>
      <c r="M28" s="5" t="str">
        <f>'[1]B.kriteria &amp; R.kecocokan'!$B$57</f>
        <v>Rendah</v>
      </c>
      <c r="N28" s="6" t="str">
        <f>'[1]B.kriteria &amp; R.kecocokan'!$B$65</f>
        <v>Rendah</v>
      </c>
      <c r="O28" s="12" t="s">
        <v>18</v>
      </c>
      <c r="Q28" s="30"/>
      <c r="R28" s="30"/>
      <c r="S28" s="38">
        <f>SUM(S26:S27)</f>
        <v>93</v>
      </c>
      <c r="T28" s="38">
        <f t="shared" ref="T28" si="6">SUM(T26:T27)</f>
        <v>22</v>
      </c>
      <c r="U28" s="38">
        <f t="shared" ref="U28" si="7">SUM(U26:U27)</f>
        <v>71</v>
      </c>
    </row>
    <row r="29" spans="1:23" x14ac:dyDescent="0.35">
      <c r="A29" s="15">
        <v>27</v>
      </c>
      <c r="B29" s="7" t="s">
        <v>69</v>
      </c>
      <c r="C29" s="8" t="s">
        <v>70</v>
      </c>
      <c r="D29" s="9" t="s">
        <v>17</v>
      </c>
      <c r="E29" s="4" t="str">
        <f>'[1]B.kriteria &amp; R.kecocokan'!$B$24</f>
        <v>Cukup</v>
      </c>
      <c r="F29" s="10" t="str">
        <f>'[1]B.kriteria &amp; R.kecocokan'!$B$34</f>
        <v>Tinggi</v>
      </c>
      <c r="G29" s="10" t="str">
        <f>'[1]B.kriteria &amp; R.kecocokan'!$B$43</f>
        <v>Tinggi</v>
      </c>
      <c r="H29" s="5" t="str">
        <f>'[1]B.kriteria &amp; R.kecocokan'!$B$72</f>
        <v>Rendah</v>
      </c>
      <c r="I29" s="5" t="str">
        <f>'[1]B.kriteria &amp; R.kecocokan'!$B$95</f>
        <v>Rendah</v>
      </c>
      <c r="J29" s="5" t="str">
        <f>'[1]B.kriteria &amp; R.kecocokan'!$B$80</f>
        <v>Rendah</v>
      </c>
      <c r="K29" s="10" t="str">
        <f>'[1]B.kriteria &amp; R.kecocokan'!$B$88</f>
        <v>Sedang</v>
      </c>
      <c r="L29" s="5" t="str">
        <f>'[1]B.kriteria &amp; R.kecocokan'!$B$49</f>
        <v>Rendah</v>
      </c>
      <c r="M29" s="5" t="str">
        <f>'[1]B.kriteria &amp; R.kecocokan'!$B$57</f>
        <v>Rendah</v>
      </c>
      <c r="N29" s="6" t="str">
        <f>'[1]B.kriteria &amp; R.kecocokan'!$B$65</f>
        <v>Rendah</v>
      </c>
      <c r="O29" s="12" t="s">
        <v>18</v>
      </c>
      <c r="Q29" s="30" t="s">
        <v>172</v>
      </c>
      <c r="R29" s="30"/>
      <c r="W29">
        <f>$V$3 - ((S30/$S$3*V30) +(S31/$S$3*V31) +(S32/$S$3*V32))</f>
        <v>3.6553437263682875E-2</v>
      </c>
    </row>
    <row r="30" spans="1:23" x14ac:dyDescent="0.35">
      <c r="A30" s="15">
        <v>28</v>
      </c>
      <c r="B30" s="7" t="s">
        <v>71</v>
      </c>
      <c r="C30" s="8" t="s">
        <v>72</v>
      </c>
      <c r="D30" s="9" t="s">
        <v>17</v>
      </c>
      <c r="E30" s="4" t="str">
        <f>'[1]B.kriteria &amp; R.kecocokan'!$B$24</f>
        <v>Cukup</v>
      </c>
      <c r="F30" s="10" t="str">
        <f>'[1]B.kriteria &amp; R.kecocokan'!$B$34</f>
        <v>Tinggi</v>
      </c>
      <c r="G30" s="5" t="str">
        <f>'[1]B.kriteria &amp; R.kecocokan'!$B$41</f>
        <v>Rendah</v>
      </c>
      <c r="H30" s="5" t="str">
        <f>'[1]B.kriteria &amp; R.kecocokan'!$B$72</f>
        <v>Rendah</v>
      </c>
      <c r="I30" s="5" t="str">
        <f>'[1]B.kriteria &amp; R.kecocokan'!$B$95</f>
        <v>Rendah</v>
      </c>
      <c r="J30" s="5" t="str">
        <f>'[1]B.kriteria &amp; R.kecocokan'!$B$80</f>
        <v>Rendah</v>
      </c>
      <c r="K30" s="5" t="str">
        <f>'[1]B.kriteria &amp; R.kecocokan'!$B$89</f>
        <v>Sedikit</v>
      </c>
      <c r="L30" s="5" t="str">
        <f>'[1]B.kriteria &amp; R.kecocokan'!$B$49</f>
        <v>Rendah</v>
      </c>
      <c r="M30" s="10" t="str">
        <f>'[1]B.kriteria &amp; R.kecocokan'!$B$58</f>
        <v>Sedang</v>
      </c>
      <c r="N30" s="6" t="str">
        <f>'[1]B.kriteria &amp; R.kecocokan'!$B$65</f>
        <v>Rendah</v>
      </c>
      <c r="O30" s="12" t="s">
        <v>18</v>
      </c>
      <c r="Q30" s="30"/>
      <c r="R30" s="30" t="s">
        <v>173</v>
      </c>
      <c r="S30">
        <f>COUNTIFS($K$3:$K$95,$K$7)</f>
        <v>29</v>
      </c>
      <c r="T30">
        <f>COUNTIFS($K$3:$K$95,$K$7,$O$3:$O$95,$O$12)</f>
        <v>6</v>
      </c>
      <c r="U30">
        <f>COUNTIFS($K$3:$K$95,$K$7,$O$3:$O$95,$O$3)</f>
        <v>23</v>
      </c>
      <c r="V30" s="36">
        <f>((-T30/S30)*IMLOG2(T30/S30))+((-U30/S30)*IMLOG2(U30/S30))</f>
        <v>0.73550858155384047</v>
      </c>
    </row>
    <row r="31" spans="1:23" x14ac:dyDescent="0.35">
      <c r="A31" s="16">
        <v>29</v>
      </c>
      <c r="B31" s="7" t="s">
        <v>73</v>
      </c>
      <c r="C31" s="8" t="s">
        <v>74</v>
      </c>
      <c r="D31" s="9" t="s">
        <v>17</v>
      </c>
      <c r="E31" s="10" t="str">
        <f>'[1]B.kriteria &amp; R.kecocokan'!$B$23</f>
        <v>Banyak</v>
      </c>
      <c r="F31" s="10" t="str">
        <f>'[1]B.kriteria &amp; R.kecocokan'!$B$35</f>
        <v>Sangat Tinggi</v>
      </c>
      <c r="G31" s="5" t="str">
        <f>'[1]B.kriteria &amp; R.kecocokan'!$B$41</f>
        <v>Rendah</v>
      </c>
      <c r="H31" s="5" t="str">
        <f>'[1]B.kriteria &amp; R.kecocokan'!$B$72</f>
        <v>Rendah</v>
      </c>
      <c r="I31" s="5" t="str">
        <f>'[1]B.kriteria &amp; R.kecocokan'!$B$95</f>
        <v>Rendah</v>
      </c>
      <c r="J31" s="5" t="str">
        <f>'[1]B.kriteria &amp; R.kecocokan'!$B$80</f>
        <v>Rendah</v>
      </c>
      <c r="K31" s="10" t="str">
        <f>'[1]B.kriteria &amp; R.kecocokan'!$B$90</f>
        <v>Sangat Sedikit</v>
      </c>
      <c r="L31" s="5" t="str">
        <f>'[1]B.kriteria &amp; R.kecocokan'!$B$49</f>
        <v>Rendah</v>
      </c>
      <c r="M31" s="5" t="str">
        <f>'[1]B.kriteria &amp; R.kecocokan'!$B$57</f>
        <v>Rendah</v>
      </c>
      <c r="N31" s="6" t="str">
        <f>'[1]B.kriteria &amp; R.kecocokan'!$B$65</f>
        <v>Rendah</v>
      </c>
      <c r="O31" s="12" t="s">
        <v>18</v>
      </c>
      <c r="Q31" s="30"/>
      <c r="R31" s="30" t="s">
        <v>164</v>
      </c>
      <c r="S31">
        <f>COUNTIFS($K$3:$K$95,$K$16)</f>
        <v>21</v>
      </c>
      <c r="T31">
        <f>COUNTIFS($K$3:$K$95,$K$16,$O$3:$O$95,$O$21)</f>
        <v>2</v>
      </c>
      <c r="U31">
        <f>COUNTIFS($K$3:$K$95,$K$16,$O$3:$O$95,$O$25)</f>
        <v>19</v>
      </c>
      <c r="V31" s="36">
        <f>((-T31/S31)*IMLOG2(T31/S31))+((-U31/S31)*IMLOG2(U31/S31))</f>
        <v>0.45371633918694498</v>
      </c>
    </row>
    <row r="32" spans="1:23" x14ac:dyDescent="0.35">
      <c r="A32" s="15">
        <v>30</v>
      </c>
      <c r="B32" s="7" t="s">
        <v>75</v>
      </c>
      <c r="C32" s="8" t="s">
        <v>76</v>
      </c>
      <c r="D32" s="9" t="s">
        <v>17</v>
      </c>
      <c r="E32" s="10" t="str">
        <f>'[1]B.kriteria &amp; R.kecocokan'!$B$25</f>
        <v>Sedikit</v>
      </c>
      <c r="F32" s="10" t="str">
        <f>'[1]B.kriteria &amp; R.kecocokan'!$B$35</f>
        <v>Sangat Tinggi</v>
      </c>
      <c r="G32" s="5" t="str">
        <f>'[1]B.kriteria &amp; R.kecocokan'!$B$41</f>
        <v>Rendah</v>
      </c>
      <c r="H32" s="5" t="str">
        <f>'[1]B.kriteria &amp; R.kecocokan'!$B$72</f>
        <v>Rendah</v>
      </c>
      <c r="I32" s="5" t="str">
        <f>'[1]B.kriteria &amp; R.kecocokan'!$B$95</f>
        <v>Rendah</v>
      </c>
      <c r="J32" s="10" t="str">
        <f>'[1]B.kriteria &amp; R.kecocokan'!$B$81</f>
        <v>Tinggi</v>
      </c>
      <c r="K32" s="10" t="str">
        <f>'[1]B.kriteria &amp; R.kecocokan'!$B$88</f>
        <v>Sedang</v>
      </c>
      <c r="L32" s="10" t="str">
        <f>'[1]B.kriteria &amp; R.kecocokan'!$B$51</f>
        <v>Tinggi</v>
      </c>
      <c r="M32" s="10" t="str">
        <f>'[1]B.kriteria &amp; R.kecocokan'!$B$59</f>
        <v>Tinggi</v>
      </c>
      <c r="N32" s="6" t="str">
        <f>'[1]B.kriteria &amp; R.kecocokan'!$B$65</f>
        <v>Rendah</v>
      </c>
      <c r="O32" s="12" t="s">
        <v>36</v>
      </c>
      <c r="Q32" s="30"/>
      <c r="R32" s="30" t="s">
        <v>174</v>
      </c>
      <c r="S32">
        <f>COUNTIFS($K$3:$K$95,$K$21)</f>
        <v>43</v>
      </c>
      <c r="T32">
        <f>COUNTIFS($K$3:$K$95,$K$21,$O$3:$O$95,$O$19)</f>
        <v>14</v>
      </c>
      <c r="U32">
        <f>COUNTIFS($K$3:$K$95,$K$21,$O$3:$O$95,$O$28)</f>
        <v>29</v>
      </c>
      <c r="V32" s="36">
        <f>((-T32/S32)*IMLOG2(T32/S32))+((-U32/S32)*IMLOG2(U32/S32))</f>
        <v>0.91034806243451427</v>
      </c>
    </row>
    <row r="33" spans="1:23" x14ac:dyDescent="0.35">
      <c r="A33" s="15">
        <v>31</v>
      </c>
      <c r="B33" s="7" t="s">
        <v>77</v>
      </c>
      <c r="C33" s="8" t="s">
        <v>78</v>
      </c>
      <c r="D33" s="9" t="s">
        <v>17</v>
      </c>
      <c r="E33" s="4" t="str">
        <f>'[1]B.kriteria &amp; R.kecocokan'!$B$24</f>
        <v>Cukup</v>
      </c>
      <c r="F33" s="10" t="str">
        <f>'[1]B.kriteria &amp; R.kecocokan'!$B$35</f>
        <v>Sangat Tinggi</v>
      </c>
      <c r="G33" s="5" t="str">
        <f>'[1]B.kriteria &amp; R.kecocokan'!$B$41</f>
        <v>Rendah</v>
      </c>
      <c r="H33" s="5" t="str">
        <f>'[1]B.kriteria &amp; R.kecocokan'!$B$72</f>
        <v>Rendah</v>
      </c>
      <c r="I33" s="5" t="str">
        <f>'[1]B.kriteria &amp; R.kecocokan'!$B$95</f>
        <v>Rendah</v>
      </c>
      <c r="J33" s="5" t="str">
        <f>'[1]B.kriteria &amp; R.kecocokan'!$B$80</f>
        <v>Rendah</v>
      </c>
      <c r="K33" s="5" t="str">
        <f>'[1]B.kriteria &amp; R.kecocokan'!$B$89</f>
        <v>Sedikit</v>
      </c>
      <c r="L33" s="5" t="str">
        <f>'[1]B.kriteria &amp; R.kecocokan'!$B$49</f>
        <v>Rendah</v>
      </c>
      <c r="M33" s="10" t="str">
        <f>'[1]B.kriteria &amp; R.kecocokan'!$B$58</f>
        <v>Sedang</v>
      </c>
      <c r="N33" s="6" t="str">
        <f>'[1]B.kriteria &amp; R.kecocokan'!$B$65</f>
        <v>Rendah</v>
      </c>
      <c r="O33" s="12" t="s">
        <v>36</v>
      </c>
      <c r="Q33" s="30"/>
      <c r="R33" s="30"/>
      <c r="S33" s="38">
        <f t="shared" ref="S33:U33" si="8">SUM(S30:S32)</f>
        <v>93</v>
      </c>
      <c r="T33" s="38">
        <f t="shared" si="8"/>
        <v>22</v>
      </c>
      <c r="U33" s="38">
        <f t="shared" si="8"/>
        <v>71</v>
      </c>
    </row>
    <row r="34" spans="1:23" x14ac:dyDescent="0.35">
      <c r="A34" s="16">
        <v>32</v>
      </c>
      <c r="B34" s="7" t="s">
        <v>79</v>
      </c>
      <c r="C34" s="8" t="s">
        <v>80</v>
      </c>
      <c r="D34" s="9" t="s">
        <v>17</v>
      </c>
      <c r="E34" s="4" t="str">
        <f>'[1]B.kriteria &amp; R.kecocokan'!$B$24</f>
        <v>Cukup</v>
      </c>
      <c r="F34" s="10" t="str">
        <f>'[1]B.kriteria &amp; R.kecocokan'!$B$34</f>
        <v>Tinggi</v>
      </c>
      <c r="G34" s="5" t="str">
        <f>'[1]B.kriteria &amp; R.kecocokan'!$B$41</f>
        <v>Rendah</v>
      </c>
      <c r="H34" s="5" t="str">
        <f>'[1]B.kriteria &amp; R.kecocokan'!$B$72</f>
        <v>Rendah</v>
      </c>
      <c r="I34" s="5" t="str">
        <f>'[1]B.kriteria &amp; R.kecocokan'!$B$95</f>
        <v>Rendah</v>
      </c>
      <c r="J34" s="5" t="str">
        <f>'[1]B.kriteria &amp; R.kecocokan'!$B$80</f>
        <v>Rendah</v>
      </c>
      <c r="K34" s="10" t="str">
        <f>'[1]B.kriteria &amp; R.kecocokan'!$B$88</f>
        <v>Sedang</v>
      </c>
      <c r="L34" s="5" t="str">
        <f>'[1]B.kriteria &amp; R.kecocokan'!$B$49</f>
        <v>Rendah</v>
      </c>
      <c r="M34" s="5" t="str">
        <f>'[1]B.kriteria &amp; R.kecocokan'!$B$57</f>
        <v>Rendah</v>
      </c>
      <c r="N34" s="6" t="str">
        <f>'[1]B.kriteria &amp; R.kecocokan'!$B$65</f>
        <v>Rendah</v>
      </c>
      <c r="O34" s="12" t="s">
        <v>18</v>
      </c>
      <c r="Q34" s="30" t="s">
        <v>11</v>
      </c>
      <c r="R34" s="30"/>
      <c r="W34">
        <f>$V$3 - ((S35/$S$3*V35) +(S36/$S$3*V36) +(S37/$S$3*V37))</f>
        <v>0.2208890825793085</v>
      </c>
    </row>
    <row r="35" spans="1:23" x14ac:dyDescent="0.35">
      <c r="A35" s="15">
        <v>33</v>
      </c>
      <c r="B35" s="7" t="s">
        <v>81</v>
      </c>
      <c r="C35" s="8" t="s">
        <v>82</v>
      </c>
      <c r="D35" s="9" t="s">
        <v>17</v>
      </c>
      <c r="E35" s="10" t="str">
        <f>'[1]B.kriteria &amp; R.kecocokan'!$B$25</f>
        <v>Sedikit</v>
      </c>
      <c r="F35" s="10" t="str">
        <f>'[1]B.kriteria &amp; R.kecocokan'!$B$34</f>
        <v>Tinggi</v>
      </c>
      <c r="G35" s="10" t="str">
        <f>'[1]B.kriteria &amp; R.kecocokan'!$B$43</f>
        <v>Tinggi</v>
      </c>
      <c r="H35" s="5" t="str">
        <f>'[1]B.kriteria &amp; R.kecocokan'!$B$72</f>
        <v>Rendah</v>
      </c>
      <c r="I35" s="5" t="str">
        <f>'[1]B.kriteria &amp; R.kecocokan'!$B$95</f>
        <v>Rendah</v>
      </c>
      <c r="J35" s="10" t="str">
        <f>'[1]B.kriteria &amp; R.kecocokan'!$B$81</f>
        <v>Tinggi</v>
      </c>
      <c r="K35" s="10" t="str">
        <f>'[1]B.kriteria &amp; R.kecocokan'!$B$90</f>
        <v>Sangat Sedikit</v>
      </c>
      <c r="L35" s="5" t="str">
        <f>'[1]B.kriteria &amp; R.kecocokan'!$B$49</f>
        <v>Rendah</v>
      </c>
      <c r="M35" s="5" t="str">
        <f>'[1]B.kriteria &amp; R.kecocokan'!$B$57</f>
        <v>Rendah</v>
      </c>
      <c r="N35" s="6" t="str">
        <f>'[1]B.kriteria &amp; R.kecocokan'!$B$65</f>
        <v>Rendah</v>
      </c>
      <c r="O35" s="12" t="s">
        <v>18</v>
      </c>
      <c r="Q35" s="30"/>
      <c r="R35" s="30" t="s">
        <v>168</v>
      </c>
      <c r="S35">
        <f>COUNTIFS($L$3:$L$95,$L$3)</f>
        <v>82</v>
      </c>
      <c r="T35">
        <f>COUNTIFS($L$3:$L$95,$L$3,$O$3:$O$95,$O$12)</f>
        <v>12</v>
      </c>
      <c r="U35">
        <f>COUNTIFS($L$3:$L$95,$L$3,$O$3:$O$95,$O$28)</f>
        <v>70</v>
      </c>
      <c r="V35" s="36">
        <f t="shared" ref="V35:V37" si="9">((-T35/S35)*IMLOG2(T35/S35))+((-U35/S35)*IMLOG2(U35/S35))</f>
        <v>0.60060857541318713</v>
      </c>
    </row>
    <row r="36" spans="1:23" x14ac:dyDescent="0.35">
      <c r="A36" s="15">
        <v>34</v>
      </c>
      <c r="B36" s="7" t="s">
        <v>83</v>
      </c>
      <c r="C36" s="8" t="s">
        <v>84</v>
      </c>
      <c r="D36" s="9" t="s">
        <v>17</v>
      </c>
      <c r="E36" s="10" t="str">
        <f>'[1]B.kriteria &amp; R.kecocokan'!$B$23</f>
        <v>Banyak</v>
      </c>
      <c r="F36" s="10" t="str">
        <f>'[1]B.kriteria &amp; R.kecocokan'!$B$34</f>
        <v>Tinggi</v>
      </c>
      <c r="G36" s="5" t="str">
        <f>'[1]B.kriteria &amp; R.kecocokan'!$B$41</f>
        <v>Rendah</v>
      </c>
      <c r="H36" s="5" t="str">
        <f>'[1]B.kriteria &amp; R.kecocokan'!$B$72</f>
        <v>Rendah</v>
      </c>
      <c r="I36" s="5" t="str">
        <f>'[1]B.kriteria &amp; R.kecocokan'!$B$95</f>
        <v>Rendah</v>
      </c>
      <c r="J36" s="10" t="str">
        <f>'[1]B.kriteria &amp; R.kecocokan'!$B$81</f>
        <v>Tinggi</v>
      </c>
      <c r="K36" s="10" t="str">
        <f>'[1]B.kriteria &amp; R.kecocokan'!$B$90</f>
        <v>Sangat Sedikit</v>
      </c>
      <c r="L36" s="5" t="str">
        <f>'[1]B.kriteria &amp; R.kecocokan'!$B$49</f>
        <v>Rendah</v>
      </c>
      <c r="M36" s="5" t="str">
        <f>'[1]B.kriteria &amp; R.kecocokan'!$B$57</f>
        <v>Rendah</v>
      </c>
      <c r="N36" s="6" t="str">
        <f>'[1]B.kriteria &amp; R.kecocokan'!$B$65</f>
        <v>Rendah</v>
      </c>
      <c r="O36" s="12" t="s">
        <v>18</v>
      </c>
      <c r="Q36" s="30"/>
      <c r="R36" s="30" t="s">
        <v>173</v>
      </c>
      <c r="S36">
        <f>COUNTIFS($L$3:$L$95,$L$20)</f>
        <v>6</v>
      </c>
      <c r="T36">
        <f>COUNTIFS($L$3:$L$95,$L$20,$O$3:$O$95,$O$12)</f>
        <v>6</v>
      </c>
      <c r="U36">
        <f>COUNTIFS($L$3:$L$95,$L$20,$O$3:$O$95,$O$31)</f>
        <v>0</v>
      </c>
      <c r="V36" s="36">
        <v>0</v>
      </c>
    </row>
    <row r="37" spans="1:23" x14ac:dyDescent="0.35">
      <c r="A37" s="16">
        <v>35</v>
      </c>
      <c r="B37" s="7" t="s">
        <v>85</v>
      </c>
      <c r="C37" s="8" t="s">
        <v>86</v>
      </c>
      <c r="D37" s="9" t="s">
        <v>17</v>
      </c>
      <c r="E37" s="10" t="str">
        <f>'[1]B.kriteria &amp; R.kecocokan'!$B$25</f>
        <v>Sedikit</v>
      </c>
      <c r="F37" s="10" t="str">
        <f>'[1]B.kriteria &amp; R.kecocokan'!$B$34</f>
        <v>Tinggi</v>
      </c>
      <c r="G37" s="5" t="str">
        <f>'[1]B.kriteria &amp; R.kecocokan'!$B$41</f>
        <v>Rendah</v>
      </c>
      <c r="H37" s="10" t="str">
        <f>'[1]B.kriteria &amp; R.kecocokan'!$B$74</f>
        <v>Tinggi</v>
      </c>
      <c r="I37" s="5" t="str">
        <f>'[1]B.kriteria &amp; R.kecocokan'!$B$95</f>
        <v>Rendah</v>
      </c>
      <c r="J37" s="10" t="str">
        <f>'[1]B.kriteria &amp; R.kecocokan'!$B$81</f>
        <v>Tinggi</v>
      </c>
      <c r="K37" s="10" t="str">
        <f>'[1]B.kriteria &amp; R.kecocokan'!$B$90</f>
        <v>Sangat Sedikit</v>
      </c>
      <c r="L37" s="10" t="str">
        <f>'[1]B.kriteria &amp; R.kecocokan'!$B$50</f>
        <v>Sedang</v>
      </c>
      <c r="M37" s="10" t="str">
        <f>'[1]B.kriteria &amp; R.kecocokan'!$B$59</f>
        <v>Tinggi</v>
      </c>
      <c r="N37" s="6" t="str">
        <f>'[1]B.kriteria &amp; R.kecocokan'!$B$65</f>
        <v>Rendah</v>
      </c>
      <c r="O37" s="12" t="s">
        <v>36</v>
      </c>
      <c r="Q37" s="30"/>
      <c r="R37" s="30" t="s">
        <v>165</v>
      </c>
      <c r="S37">
        <f>COUNTIFS($L$3:$L$95,$L$32)</f>
        <v>5</v>
      </c>
      <c r="T37">
        <f>COUNTIFS($L$3:$L$95,$L$32,$O$3:$O$95,$O$27)</f>
        <v>4</v>
      </c>
      <c r="U37">
        <f>COUNTIFS($L$3:$L$95,$L$32,$O$3:$O$95,$O$28)</f>
        <v>1</v>
      </c>
      <c r="V37" s="36">
        <f t="shared" si="9"/>
        <v>0.72192809488736165</v>
      </c>
    </row>
    <row r="38" spans="1:23" x14ac:dyDescent="0.35">
      <c r="A38" s="15">
        <v>36</v>
      </c>
      <c r="B38" s="7" t="s">
        <v>87</v>
      </c>
      <c r="C38" s="8" t="s">
        <v>88</v>
      </c>
      <c r="D38" s="9" t="s">
        <v>17</v>
      </c>
      <c r="E38" s="4" t="str">
        <f>'[1]B.kriteria &amp; R.kecocokan'!$B$24</f>
        <v>Cukup</v>
      </c>
      <c r="F38" s="10" t="str">
        <f>'[1]B.kriteria &amp; R.kecocokan'!$B$34</f>
        <v>Tinggi</v>
      </c>
      <c r="G38" s="5" t="str">
        <f>'[1]B.kriteria &amp; R.kecocokan'!$B$41</f>
        <v>Rendah</v>
      </c>
      <c r="H38" s="5" t="str">
        <f>'[1]B.kriteria &amp; R.kecocokan'!$B$72</f>
        <v>Rendah</v>
      </c>
      <c r="I38" s="5" t="str">
        <f>'[1]B.kriteria &amp; R.kecocokan'!$B$95</f>
        <v>Rendah</v>
      </c>
      <c r="J38" s="5" t="str">
        <f>'[1]B.kriteria &amp; R.kecocokan'!$B$80</f>
        <v>Rendah</v>
      </c>
      <c r="K38" s="10" t="str">
        <f>'[1]B.kriteria &amp; R.kecocokan'!$B$90</f>
        <v>Sangat Sedikit</v>
      </c>
      <c r="L38" s="5" t="str">
        <f>'[1]B.kriteria &amp; R.kecocokan'!$B$49</f>
        <v>Rendah</v>
      </c>
      <c r="M38" s="5" t="str">
        <f>'[1]B.kriteria &amp; R.kecocokan'!$B$57</f>
        <v>Rendah</v>
      </c>
      <c r="N38" s="6" t="str">
        <f>'[1]B.kriteria &amp; R.kecocokan'!$B$65</f>
        <v>Rendah</v>
      </c>
      <c r="O38" s="12" t="s">
        <v>18</v>
      </c>
      <c r="Q38" s="30"/>
      <c r="R38" s="30"/>
      <c r="S38" s="38">
        <f t="shared" ref="S38" si="10">SUM(S35:S37)</f>
        <v>93</v>
      </c>
      <c r="T38" s="38">
        <f t="shared" ref="T38" si="11">SUM(T35:T37)</f>
        <v>22</v>
      </c>
      <c r="U38" s="38">
        <f t="shared" ref="U38" si="12">SUM(U35:U37)</f>
        <v>71</v>
      </c>
    </row>
    <row r="39" spans="1:23" x14ac:dyDescent="0.35">
      <c r="A39" s="15">
        <v>37</v>
      </c>
      <c r="B39" s="7" t="s">
        <v>89</v>
      </c>
      <c r="C39" s="8" t="s">
        <v>90</v>
      </c>
      <c r="D39" s="9" t="s">
        <v>17</v>
      </c>
      <c r="E39" s="4" t="str">
        <f>'[1]B.kriteria &amp; R.kecocokan'!$B$24</f>
        <v>Cukup</v>
      </c>
      <c r="F39" s="10" t="str">
        <f>'[1]B.kriteria &amp; R.kecocokan'!$B$34</f>
        <v>Tinggi</v>
      </c>
      <c r="G39" s="5" t="str">
        <f>'[1]B.kriteria &amp; R.kecocokan'!$B$41</f>
        <v>Rendah</v>
      </c>
      <c r="H39" s="5" t="str">
        <f>'[1]B.kriteria &amp; R.kecocokan'!$B$72</f>
        <v>Rendah</v>
      </c>
      <c r="I39" s="5" t="str">
        <f>'[1]B.kriteria &amp; R.kecocokan'!$B$95</f>
        <v>Rendah</v>
      </c>
      <c r="J39" s="5" t="str">
        <f>'[1]B.kriteria &amp; R.kecocokan'!$B$80</f>
        <v>Rendah</v>
      </c>
      <c r="K39" s="10" t="str">
        <f>'[1]B.kriteria &amp; R.kecocokan'!$B$88</f>
        <v>Sedang</v>
      </c>
      <c r="L39" s="5" t="str">
        <f>'[1]B.kriteria &amp; R.kecocokan'!$B$49</f>
        <v>Rendah</v>
      </c>
      <c r="M39" s="5" t="str">
        <f>'[1]B.kriteria &amp; R.kecocokan'!$B$57</f>
        <v>Rendah</v>
      </c>
      <c r="N39" s="6" t="str">
        <f>'[1]B.kriteria &amp; R.kecocokan'!$B$65</f>
        <v>Rendah</v>
      </c>
      <c r="O39" s="12" t="s">
        <v>18</v>
      </c>
      <c r="Q39" s="40" t="s">
        <v>175</v>
      </c>
      <c r="R39" s="30"/>
      <c r="W39" s="38">
        <f>$V$3 - ((S40/$S$3*V40) +(S41/$S$3*V41) +(S42/$S$3*V42))</f>
        <v>0.37264121871330541</v>
      </c>
    </row>
    <row r="40" spans="1:23" x14ac:dyDescent="0.35">
      <c r="A40" s="16">
        <v>38</v>
      </c>
      <c r="B40" s="7" t="s">
        <v>91</v>
      </c>
      <c r="C40" s="8" t="s">
        <v>92</v>
      </c>
      <c r="D40" s="9" t="s">
        <v>17</v>
      </c>
      <c r="E40" s="10" t="str">
        <f>'[1]B.kriteria &amp; R.kecocokan'!$B$25</f>
        <v>Sedikit</v>
      </c>
      <c r="F40" s="10" t="str">
        <f>'[1]B.kriteria &amp; R.kecocokan'!$B$34</f>
        <v>Tinggi</v>
      </c>
      <c r="G40" s="10" t="str">
        <f>'[1]B.kriteria &amp; R.kecocokan'!$B$43</f>
        <v>Tinggi</v>
      </c>
      <c r="H40" s="5" t="str">
        <f>'[1]B.kriteria &amp; R.kecocokan'!$B$72</f>
        <v>Rendah</v>
      </c>
      <c r="I40" s="5" t="str">
        <f>'[1]B.kriteria &amp; R.kecocokan'!$B$95</f>
        <v>Rendah</v>
      </c>
      <c r="J40" s="10" t="str">
        <f>'[1]B.kriteria &amp; R.kecocokan'!$B$81</f>
        <v>Tinggi</v>
      </c>
      <c r="K40" s="10" t="str">
        <f>'[1]B.kriteria &amp; R.kecocokan'!$B$90</f>
        <v>Sangat Sedikit</v>
      </c>
      <c r="L40" s="5" t="str">
        <f>'[1]B.kriteria &amp; R.kecocokan'!$B$49</f>
        <v>Rendah</v>
      </c>
      <c r="M40" s="5" t="str">
        <f>'[1]B.kriteria &amp; R.kecocokan'!$B$57</f>
        <v>Rendah</v>
      </c>
      <c r="N40" s="6" t="str">
        <f>'[1]B.kriteria &amp; R.kecocokan'!$B$65</f>
        <v>Rendah</v>
      </c>
      <c r="O40" s="12" t="s">
        <v>18</v>
      </c>
      <c r="Q40" s="30"/>
      <c r="R40" s="30" t="s">
        <v>168</v>
      </c>
      <c r="S40">
        <f>COUNTIFS($M$3:$M$95,$M$3)</f>
        <v>72</v>
      </c>
      <c r="T40">
        <f>COUNTIFS($M$3:$M$95,$M$3,$O$3:$O$95,$O$12)</f>
        <v>5</v>
      </c>
      <c r="U40">
        <f>COUNTIFS($M$3:$M$95,$M$3,$O$3:$O$95,$O$36)</f>
        <v>67</v>
      </c>
      <c r="V40" s="36">
        <f t="shared" ref="V40:V41" si="13">((-T40/S40)*IMLOG2(T40/S40))+((-U40/S40)*IMLOG2(U40/S40))</f>
        <v>0.36384699817692956</v>
      </c>
    </row>
    <row r="41" spans="1:23" x14ac:dyDescent="0.35">
      <c r="A41" s="15">
        <v>39</v>
      </c>
      <c r="B41" s="7" t="s">
        <v>93</v>
      </c>
      <c r="C41" s="8" t="s">
        <v>94</v>
      </c>
      <c r="D41" s="9" t="s">
        <v>17</v>
      </c>
      <c r="E41" s="10" t="str">
        <f>'[1]B.kriteria &amp; R.kecocokan'!$B$25</f>
        <v>Sedikit</v>
      </c>
      <c r="F41" s="10" t="str">
        <f>'[1]B.kriteria &amp; R.kecocokan'!$B$34</f>
        <v>Tinggi</v>
      </c>
      <c r="G41" s="5" t="str">
        <f>'[1]B.kriteria &amp; R.kecocokan'!$B$41</f>
        <v>Rendah</v>
      </c>
      <c r="H41" s="5" t="str">
        <f>'[1]B.kriteria &amp; R.kecocokan'!$B$72</f>
        <v>Rendah</v>
      </c>
      <c r="I41" s="5" t="str">
        <f>'[1]B.kriteria &amp; R.kecocokan'!$B$95</f>
        <v>Rendah</v>
      </c>
      <c r="J41" s="10" t="str">
        <f>'[1]B.kriteria &amp; R.kecocokan'!$B$81</f>
        <v>Tinggi</v>
      </c>
      <c r="K41" s="10" t="str">
        <f>'[1]B.kriteria &amp; R.kecocokan'!$B$90</f>
        <v>Sangat Sedikit</v>
      </c>
      <c r="L41" s="5" t="str">
        <f>'[1]B.kriteria &amp; R.kecocokan'!$B$49</f>
        <v>Rendah</v>
      </c>
      <c r="M41" s="5" t="str">
        <f>'[1]B.kriteria &amp; R.kecocokan'!$B$57</f>
        <v>Rendah</v>
      </c>
      <c r="N41" s="6" t="str">
        <f>'[1]B.kriteria &amp; R.kecocokan'!$B$65</f>
        <v>Rendah</v>
      </c>
      <c r="O41" s="12" t="s">
        <v>18</v>
      </c>
      <c r="Q41" s="30"/>
      <c r="R41" s="30" t="s">
        <v>173</v>
      </c>
      <c r="S41">
        <f>COUNTIFS($M$3:$M$95,$M$30)</f>
        <v>15</v>
      </c>
      <c r="T41">
        <f>COUNTIFS($M$3:$M$95,$M$30,$O$3:$O$95,$O$33)</f>
        <v>11</v>
      </c>
      <c r="U41">
        <f>COUNTIFS($M$3:$M$95,$M$30,$O$3:$O$95,$O$31)</f>
        <v>4</v>
      </c>
      <c r="V41" s="36">
        <f t="shared" si="13"/>
        <v>0.83664074194116733</v>
      </c>
    </row>
    <row r="42" spans="1:23" x14ac:dyDescent="0.35">
      <c r="A42" s="15">
        <v>40</v>
      </c>
      <c r="B42" s="7" t="s">
        <v>95</v>
      </c>
      <c r="C42" s="8" t="s">
        <v>96</v>
      </c>
      <c r="D42" s="9" t="s">
        <v>17</v>
      </c>
      <c r="E42" s="4" t="str">
        <f>'[1]B.kriteria &amp; R.kecocokan'!$B$24</f>
        <v>Cukup</v>
      </c>
      <c r="F42" s="10" t="str">
        <f>'[1]B.kriteria &amp; R.kecocokan'!$B$34</f>
        <v>Tinggi</v>
      </c>
      <c r="G42" s="10" t="str">
        <f>'[1]B.kriteria &amp; R.kecocokan'!$B$43</f>
        <v>Tinggi</v>
      </c>
      <c r="H42" s="5" t="str">
        <f>'[1]B.kriteria &amp; R.kecocokan'!$B$72</f>
        <v>Rendah</v>
      </c>
      <c r="I42" s="5" t="str">
        <f>'[1]B.kriteria &amp; R.kecocokan'!$B$95</f>
        <v>Rendah</v>
      </c>
      <c r="J42" s="5" t="str">
        <f>'[1]B.kriteria &amp; R.kecocokan'!$B$80</f>
        <v>Rendah</v>
      </c>
      <c r="K42" s="10" t="str">
        <f>'[1]B.kriteria &amp; R.kecocokan'!$B$88</f>
        <v>Sedang</v>
      </c>
      <c r="L42" s="5" t="str">
        <f>'[1]B.kriteria &amp; R.kecocokan'!$B$49</f>
        <v>Rendah</v>
      </c>
      <c r="M42" s="5" t="str">
        <f>'[1]B.kriteria &amp; R.kecocokan'!$B$57</f>
        <v>Rendah</v>
      </c>
      <c r="N42" s="6" t="str">
        <f>'[1]B.kriteria &amp; R.kecocokan'!$B$65</f>
        <v>Rendah</v>
      </c>
      <c r="O42" s="12" t="s">
        <v>18</v>
      </c>
      <c r="Q42" s="30"/>
      <c r="R42" s="30" t="s">
        <v>165</v>
      </c>
      <c r="S42">
        <f>COUNTIFS($M$3:$M$95,$M$32)</f>
        <v>6</v>
      </c>
      <c r="T42">
        <f>COUNTIFS($M$3:$M$95,$M$32,$O$3:$O$95,$O$33)</f>
        <v>6</v>
      </c>
      <c r="U42">
        <f>COUNTIFS($M$3:$M$95,$M$32,$O$3:$O$95,$O$34)</f>
        <v>0</v>
      </c>
      <c r="V42" s="36">
        <v>0</v>
      </c>
    </row>
    <row r="43" spans="1:23" x14ac:dyDescent="0.35">
      <c r="A43" s="16">
        <v>41</v>
      </c>
      <c r="B43" s="7" t="s">
        <v>97</v>
      </c>
      <c r="C43" s="8" t="s">
        <v>98</v>
      </c>
      <c r="D43" s="9" t="s">
        <v>17</v>
      </c>
      <c r="E43" s="10" t="str">
        <f>'[1]B.kriteria &amp; R.kecocokan'!$B$23</f>
        <v>Banyak</v>
      </c>
      <c r="F43" s="10" t="str">
        <f>'[1]B.kriteria &amp; R.kecocokan'!$B$34</f>
        <v>Tinggi</v>
      </c>
      <c r="G43" s="5" t="str">
        <f>'[1]B.kriteria &amp; R.kecocokan'!$B$41</f>
        <v>Rendah</v>
      </c>
      <c r="H43" s="5" t="str">
        <f>'[1]B.kriteria &amp; R.kecocokan'!$B$72</f>
        <v>Rendah</v>
      </c>
      <c r="I43" s="5" t="str">
        <f>'[1]B.kriteria &amp; R.kecocokan'!$B$95</f>
        <v>Rendah</v>
      </c>
      <c r="J43" s="10" t="str">
        <f>'[1]B.kriteria &amp; R.kecocokan'!$B$81</f>
        <v>Tinggi</v>
      </c>
      <c r="K43" s="10" t="str">
        <f>'[1]B.kriteria &amp; R.kecocokan'!$B$90</f>
        <v>Sangat Sedikit</v>
      </c>
      <c r="L43" s="5" t="str">
        <f>'[1]B.kriteria &amp; R.kecocokan'!$B$49</f>
        <v>Rendah</v>
      </c>
      <c r="M43" s="5" t="str">
        <f>'[1]B.kriteria &amp; R.kecocokan'!$B$57</f>
        <v>Rendah</v>
      </c>
      <c r="N43" s="6" t="str">
        <f>'[1]B.kriteria &amp; R.kecocokan'!$B$65</f>
        <v>Rendah</v>
      </c>
      <c r="O43" s="12" t="s">
        <v>18</v>
      </c>
      <c r="Q43" s="30"/>
      <c r="R43" s="30"/>
      <c r="S43" s="38">
        <f t="shared" ref="S43" si="14">SUM(S40:S42)</f>
        <v>93</v>
      </c>
      <c r="T43" s="38">
        <f t="shared" ref="T43" si="15">SUM(T40:T42)</f>
        <v>22</v>
      </c>
      <c r="U43" s="38">
        <f t="shared" ref="U43" si="16">SUM(U40:U42)</f>
        <v>71</v>
      </c>
    </row>
    <row r="44" spans="1:23" x14ac:dyDescent="0.35">
      <c r="A44" s="15">
        <v>42</v>
      </c>
      <c r="B44" s="8" t="str">
        <f>[1]Penghasilan!B21</f>
        <v>3523151309090186</v>
      </c>
      <c r="C44" s="8" t="s">
        <v>99</v>
      </c>
      <c r="D44" s="9" t="s">
        <v>100</v>
      </c>
      <c r="E44" s="13" t="str">
        <f>'[1]B.kriteria &amp; R.kecocokan'!$B$25</f>
        <v>Sedikit</v>
      </c>
      <c r="F44" s="10" t="str">
        <f>'[1]B.kriteria &amp; R.kecocokan'!$B$34</f>
        <v>Tinggi</v>
      </c>
      <c r="G44" s="5" t="str">
        <f>'[1]B.kriteria &amp; R.kecocokan'!$B$41</f>
        <v>Rendah</v>
      </c>
      <c r="H44" s="5" t="str">
        <f>'[1]B.kriteria &amp; R.kecocokan'!$B$72</f>
        <v>Rendah</v>
      </c>
      <c r="I44" s="5" t="str">
        <f>'[1]B.kriteria &amp; R.kecocokan'!$B$95</f>
        <v>Rendah</v>
      </c>
      <c r="J44" s="10" t="str">
        <f>'[1]B.kriteria &amp; R.kecocokan'!$B$81</f>
        <v>Tinggi</v>
      </c>
      <c r="K44" s="10" t="str">
        <f>'[1]B.kriteria &amp; R.kecocokan'!$B$88</f>
        <v>Sedang</v>
      </c>
      <c r="L44" s="10" t="str">
        <f>'[1]B.kriteria &amp; R.kecocokan'!$B$50</f>
        <v>Sedang</v>
      </c>
      <c r="M44" s="5" t="str">
        <f>'[1]B.kriteria &amp; R.kecocokan'!$B$57</f>
        <v>Rendah</v>
      </c>
      <c r="N44" s="6" t="str">
        <f>'[1]B.kriteria &amp; R.kecocokan'!$B$65</f>
        <v>Rendah</v>
      </c>
      <c r="O44" s="12" t="s">
        <v>36</v>
      </c>
      <c r="Q44" s="30" t="s">
        <v>13</v>
      </c>
      <c r="R44" s="30"/>
      <c r="W44">
        <f>$V$3 - ((S45/$S$3*V45) +(S46/$S$3*V46))</f>
        <v>2.263698649607615E-2</v>
      </c>
    </row>
    <row r="45" spans="1:23" x14ac:dyDescent="0.35">
      <c r="A45" s="15">
        <v>43</v>
      </c>
      <c r="B45" s="8" t="str">
        <f>[1]Penghasilan!B34</f>
        <v>3523151403061462</v>
      </c>
      <c r="C45" s="8" t="s">
        <v>101</v>
      </c>
      <c r="D45" s="9" t="s">
        <v>26</v>
      </c>
      <c r="E45" s="13" t="str">
        <f>'[1]B.kriteria &amp; R.kecocokan'!$B$25</f>
        <v>Sedikit</v>
      </c>
      <c r="F45" s="10" t="str">
        <f>'[1]B.kriteria &amp; R.kecocokan'!$B$34</f>
        <v>Tinggi</v>
      </c>
      <c r="G45" s="5" t="str">
        <f>'[1]B.kriteria &amp; R.kecocokan'!$B$41</f>
        <v>Rendah</v>
      </c>
      <c r="H45" s="5" t="str">
        <f>'[1]B.kriteria &amp; R.kecocokan'!$B$72</f>
        <v>Rendah</v>
      </c>
      <c r="I45" s="5" t="str">
        <f>'[1]B.kriteria &amp; R.kecocokan'!$B$95</f>
        <v>Rendah</v>
      </c>
      <c r="J45" s="5" t="str">
        <f>'[1]B.kriteria &amp; R.kecocokan'!$B$80</f>
        <v>Rendah</v>
      </c>
      <c r="K45" s="10" t="str">
        <f>'[1]B.kriteria &amp; R.kecocokan'!$B$90</f>
        <v>Sangat Sedikit</v>
      </c>
      <c r="L45" s="5" t="str">
        <f>'[1]B.kriteria &amp; R.kecocokan'!$B$49</f>
        <v>Rendah</v>
      </c>
      <c r="M45" s="5" t="str">
        <f>'[1]B.kriteria &amp; R.kecocokan'!$B$57</f>
        <v>Rendah</v>
      </c>
      <c r="N45" s="6" t="str">
        <f>'[1]B.kriteria &amp; R.kecocokan'!$B$65</f>
        <v>Rendah</v>
      </c>
      <c r="O45" s="12" t="s">
        <v>18</v>
      </c>
      <c r="Q45" s="30"/>
      <c r="R45" s="30" t="s">
        <v>171</v>
      </c>
      <c r="S45">
        <f>COUNTIFS($N$3:$N$95,$N$3)</f>
        <v>92</v>
      </c>
      <c r="T45">
        <f>COUNTIFS($N$3:$N$95,$N$3,$O$3:$O$95,$O$81)</f>
        <v>21</v>
      </c>
      <c r="U45">
        <f>COUNTIFS($N$3:$N$95,$N$3,$O$3:$O$95,$O$38)</f>
        <v>71</v>
      </c>
      <c r="V45" s="36">
        <f t="shared" ref="V45" si="17">((-T45/S45)*IMLOG2(T45/S45))+((-U45/S45)*IMLOG2(U45/S45))</f>
        <v>0.77496726732672561</v>
      </c>
    </row>
    <row r="46" spans="1:23" x14ac:dyDescent="0.35">
      <c r="A46" s="16">
        <v>44</v>
      </c>
      <c r="B46" s="8" t="str">
        <f>[1]Penghasilan!B33</f>
        <v>3523151403060778</v>
      </c>
      <c r="C46" s="8" t="s">
        <v>102</v>
      </c>
      <c r="D46" s="9" t="s">
        <v>26</v>
      </c>
      <c r="E46" s="13" t="str">
        <f>'[1]B.kriteria &amp; R.kecocokan'!$B$25</f>
        <v>Sedikit</v>
      </c>
      <c r="F46" s="10" t="str">
        <f>'[1]B.kriteria &amp; R.kecocokan'!$B$35</f>
        <v>Sangat Tinggi</v>
      </c>
      <c r="G46" s="5" t="str">
        <f>'[1]B.kriteria &amp; R.kecocokan'!$B$41</f>
        <v>Rendah</v>
      </c>
      <c r="H46" s="5" t="str">
        <f>'[1]B.kriteria &amp; R.kecocokan'!$B$72</f>
        <v>Rendah</v>
      </c>
      <c r="I46" s="5" t="str">
        <f>'[1]B.kriteria &amp; R.kecocokan'!$B$95</f>
        <v>Rendah</v>
      </c>
      <c r="J46" s="10" t="str">
        <f>'[1]B.kriteria &amp; R.kecocokan'!$B$81</f>
        <v>Tinggi</v>
      </c>
      <c r="K46" s="10" t="str">
        <f>'[1]B.kriteria &amp; R.kecocokan'!$B$90</f>
        <v>Sangat Sedikit</v>
      </c>
      <c r="L46" s="10" t="str">
        <f>'[1]B.kriteria &amp; R.kecocokan'!$B$50</f>
        <v>Sedang</v>
      </c>
      <c r="M46" s="10" t="str">
        <f>'[1]B.kriteria &amp; R.kecocokan'!$B$59</f>
        <v>Tinggi</v>
      </c>
      <c r="N46" s="6" t="str">
        <f>'[1]B.kriteria &amp; R.kecocokan'!$B$65</f>
        <v>Rendah</v>
      </c>
      <c r="O46" s="12" t="s">
        <v>36</v>
      </c>
      <c r="Q46" s="30"/>
      <c r="R46" s="30" t="s">
        <v>173</v>
      </c>
      <c r="S46">
        <f>COUNTIFS($N$3:$N$95,$N$13)</f>
        <v>1</v>
      </c>
      <c r="T46">
        <f>COUNTIFS($N$3:$N$95,$N$13,$O$3:$O$95,$O$33)</f>
        <v>1</v>
      </c>
      <c r="U46">
        <f>COUNTIFS($N$3:$N$95,$N$13,$O$3:$O$95,$O$34)</f>
        <v>0</v>
      </c>
      <c r="V46">
        <v>0</v>
      </c>
    </row>
    <row r="47" spans="1:23" x14ac:dyDescent="0.35">
      <c r="A47" s="15">
        <v>45</v>
      </c>
      <c r="B47" s="8" t="str">
        <f>[1]Penghasilan!B35</f>
        <v>3523151303180005</v>
      </c>
      <c r="C47" s="8" t="s">
        <v>103</v>
      </c>
      <c r="D47" s="9" t="s">
        <v>26</v>
      </c>
      <c r="E47" s="4" t="str">
        <f>'[1]B.kriteria &amp; R.kecocokan'!$B$24</f>
        <v>Cukup</v>
      </c>
      <c r="F47" s="10" t="str">
        <f>'[1]B.kriteria &amp; R.kecocokan'!$B$34</f>
        <v>Tinggi</v>
      </c>
      <c r="G47" s="5" t="str">
        <f>'[1]B.kriteria &amp; R.kecocokan'!$B$41</f>
        <v>Rendah</v>
      </c>
      <c r="H47" s="5" t="str">
        <f>'[1]B.kriteria &amp; R.kecocokan'!$B$72</f>
        <v>Rendah</v>
      </c>
      <c r="I47" s="5" t="str">
        <f>'[1]B.kriteria &amp; R.kecocokan'!$B$95</f>
        <v>Rendah</v>
      </c>
      <c r="J47" s="10" t="str">
        <f>'[1]B.kriteria &amp; R.kecocokan'!$B$81</f>
        <v>Tinggi</v>
      </c>
      <c r="K47" s="10" t="str">
        <f>'[1]B.kriteria &amp; R.kecocokan'!$B$90</f>
        <v>Sangat Sedikit</v>
      </c>
      <c r="L47" s="5" t="str">
        <f>'[1]B.kriteria &amp; R.kecocokan'!$B$49</f>
        <v>Rendah</v>
      </c>
      <c r="M47" s="5" t="str">
        <f>'[1]B.kriteria &amp; R.kecocokan'!$B$57</f>
        <v>Rendah</v>
      </c>
      <c r="N47" s="6" t="str">
        <f>'[1]B.kriteria &amp; R.kecocokan'!$B$65</f>
        <v>Rendah</v>
      </c>
      <c r="O47" s="12" t="s">
        <v>18</v>
      </c>
      <c r="Q47" s="30"/>
      <c r="R47" s="30"/>
      <c r="S47" s="38">
        <f t="shared" ref="S47" si="18">SUM(S44:S46)</f>
        <v>93</v>
      </c>
      <c r="T47" s="38">
        <f t="shared" ref="T47" si="19">SUM(T44:T46)</f>
        <v>22</v>
      </c>
      <c r="U47" s="38">
        <f t="shared" ref="U47" si="20">SUM(U44:U46)</f>
        <v>71</v>
      </c>
    </row>
    <row r="48" spans="1:23" x14ac:dyDescent="0.35">
      <c r="A48" s="15">
        <v>46</v>
      </c>
      <c r="B48" s="8" t="str">
        <f>[1]Penghasilan!B39</f>
        <v>3523151403060780</v>
      </c>
      <c r="C48" s="8" t="s">
        <v>104</v>
      </c>
      <c r="D48" s="9" t="s">
        <v>100</v>
      </c>
      <c r="E48" s="4" t="str">
        <f>'[1]B.kriteria &amp; R.kecocokan'!$B$24</f>
        <v>Cukup</v>
      </c>
      <c r="F48" s="10" t="str">
        <f>'[1]B.kriteria &amp; R.kecocokan'!$B$34</f>
        <v>Tinggi</v>
      </c>
      <c r="G48" s="5" t="str">
        <f>'[1]B.kriteria &amp; R.kecocokan'!$B$41</f>
        <v>Rendah</v>
      </c>
      <c r="H48" s="5" t="str">
        <f>'[1]B.kriteria &amp; R.kecocokan'!$B$72</f>
        <v>Rendah</v>
      </c>
      <c r="I48" s="5" t="str">
        <f>'[1]B.kriteria &amp; R.kecocokan'!$B$95</f>
        <v>Rendah</v>
      </c>
      <c r="J48" s="5" t="str">
        <f>'[1]B.kriteria &amp; R.kecocokan'!$B$80</f>
        <v>Rendah</v>
      </c>
      <c r="K48" s="10" t="str">
        <f>'[1]B.kriteria &amp; R.kecocokan'!$B$88</f>
        <v>Sedang</v>
      </c>
      <c r="L48" s="5" t="str">
        <f>'[1]B.kriteria &amp; R.kecocokan'!$B$49</f>
        <v>Rendah</v>
      </c>
      <c r="M48" s="5" t="str">
        <f>'[1]B.kriteria &amp; R.kecocokan'!$B$57</f>
        <v>Rendah</v>
      </c>
      <c r="N48" s="6" t="str">
        <f>'[1]B.kriteria &amp; R.kecocokan'!$B$65</f>
        <v>Rendah</v>
      </c>
      <c r="O48" s="12" t="s">
        <v>18</v>
      </c>
      <c r="W48">
        <f>MAX(W4:W44)</f>
        <v>0.37264121871330541</v>
      </c>
    </row>
    <row r="49" spans="1:15" x14ac:dyDescent="0.35">
      <c r="A49" s="16">
        <v>47</v>
      </c>
      <c r="B49" s="8" t="str">
        <f>[1]Penghasilan!B31</f>
        <v>3523151403060769</v>
      </c>
      <c r="C49" s="8" t="s">
        <v>105</v>
      </c>
      <c r="D49" s="9" t="s">
        <v>100</v>
      </c>
      <c r="E49" s="13" t="str">
        <f>'[1]B.kriteria &amp; R.kecocokan'!$B$25</f>
        <v>Sedikit</v>
      </c>
      <c r="F49" s="10" t="str">
        <f>'[1]B.kriteria &amp; R.kecocokan'!$B$34</f>
        <v>Tinggi</v>
      </c>
      <c r="G49" s="5" t="str">
        <f>'[1]B.kriteria &amp; R.kecocokan'!$B$41</f>
        <v>Rendah</v>
      </c>
      <c r="H49" s="5" t="str">
        <f>'[1]B.kriteria &amp; R.kecocokan'!$B$72</f>
        <v>Rendah</v>
      </c>
      <c r="I49" s="5" t="str">
        <f>'[1]B.kriteria &amp; R.kecocokan'!$B$95</f>
        <v>Rendah</v>
      </c>
      <c r="J49" s="10" t="str">
        <f>'[1]B.kriteria &amp; R.kecocokan'!$B$81</f>
        <v>Tinggi</v>
      </c>
      <c r="K49" s="10" t="str">
        <f>'[1]B.kriteria &amp; R.kecocokan'!$B$90</f>
        <v>Sangat Sedikit</v>
      </c>
      <c r="L49" s="5" t="str">
        <f>'[1]B.kriteria &amp; R.kecocokan'!$B$49</f>
        <v>Rendah</v>
      </c>
      <c r="M49" s="5" t="str">
        <f>'[1]B.kriteria &amp; R.kecocokan'!$B$57</f>
        <v>Rendah</v>
      </c>
      <c r="N49" s="6" t="str">
        <f>'[1]B.kriteria &amp; R.kecocokan'!$B$65</f>
        <v>Rendah</v>
      </c>
      <c r="O49" s="12" t="s">
        <v>18</v>
      </c>
    </row>
    <row r="50" spans="1:15" x14ac:dyDescent="0.35">
      <c r="A50" s="15">
        <v>48</v>
      </c>
      <c r="B50" s="8" t="str">
        <f>[1]Penghasilan!B37</f>
        <v>3523151403061466</v>
      </c>
      <c r="C50" s="8" t="s">
        <v>106</v>
      </c>
      <c r="D50" s="9" t="s">
        <v>26</v>
      </c>
      <c r="E50" s="4" t="str">
        <f>'[1]B.kriteria &amp; R.kecocokan'!$B$24</f>
        <v>Cukup</v>
      </c>
      <c r="F50" s="10" t="str">
        <f>'[1]B.kriteria &amp; R.kecocokan'!$B$34</f>
        <v>Tinggi</v>
      </c>
      <c r="G50" s="5" t="str">
        <f>'[1]B.kriteria &amp; R.kecocokan'!$B$41</f>
        <v>Rendah</v>
      </c>
      <c r="H50" s="5" t="str">
        <f>'[1]B.kriteria &amp; R.kecocokan'!$B$72</f>
        <v>Rendah</v>
      </c>
      <c r="I50" s="5" t="str">
        <f>'[1]B.kriteria &amp; R.kecocokan'!$B$95</f>
        <v>Rendah</v>
      </c>
      <c r="J50" s="5" t="str">
        <f>'[1]B.kriteria &amp; R.kecocokan'!$B$80</f>
        <v>Rendah</v>
      </c>
      <c r="K50" s="5" t="str">
        <f>'[1]B.kriteria &amp; R.kecocokan'!$B$89</f>
        <v>Sedikit</v>
      </c>
      <c r="L50" s="5" t="str">
        <f>'[1]B.kriteria &amp; R.kecocokan'!$B$49</f>
        <v>Rendah</v>
      </c>
      <c r="M50" s="5" t="str">
        <f>'[1]B.kriteria &amp; R.kecocokan'!$B$57</f>
        <v>Rendah</v>
      </c>
      <c r="N50" s="6" t="str">
        <f>'[1]B.kriteria &amp; R.kecocokan'!$B$65</f>
        <v>Rendah</v>
      </c>
      <c r="O50" s="12" t="s">
        <v>18</v>
      </c>
    </row>
    <row r="51" spans="1:15" x14ac:dyDescent="0.35">
      <c r="A51" s="15">
        <v>49</v>
      </c>
      <c r="B51" s="8" t="str">
        <f>[1]Penghasilan!B36</f>
        <v>3523151309090180</v>
      </c>
      <c r="C51" s="8" t="s">
        <v>107</v>
      </c>
      <c r="D51" s="9" t="s">
        <v>100</v>
      </c>
      <c r="E51" s="13" t="str">
        <f>'[1]B.kriteria &amp; R.kecocokan'!$B$25</f>
        <v>Sedikit</v>
      </c>
      <c r="F51" s="10" t="str">
        <f>'[1]B.kriteria &amp; R.kecocokan'!$B$35</f>
        <v>Sangat Tinggi</v>
      </c>
      <c r="G51" s="5" t="str">
        <f>'[1]B.kriteria &amp; R.kecocokan'!$B$41</f>
        <v>Rendah</v>
      </c>
      <c r="H51" s="5" t="str">
        <f>'[1]B.kriteria &amp; R.kecocokan'!$B$72</f>
        <v>Rendah</v>
      </c>
      <c r="I51" s="5" t="str">
        <f>'[1]B.kriteria &amp; R.kecocokan'!$B$95</f>
        <v>Rendah</v>
      </c>
      <c r="J51" s="10" t="str">
        <f>'[1]B.kriteria &amp; R.kecocokan'!$B$81</f>
        <v>Tinggi</v>
      </c>
      <c r="K51" s="10" t="str">
        <f>'[1]B.kriteria &amp; R.kecocokan'!$B$90</f>
        <v>Sangat Sedikit</v>
      </c>
      <c r="L51" s="5" t="str">
        <f>'[1]B.kriteria &amp; R.kecocokan'!$B$49</f>
        <v>Rendah</v>
      </c>
      <c r="M51" s="5" t="str">
        <f>'[1]B.kriteria &amp; R.kecocokan'!$B$57</f>
        <v>Rendah</v>
      </c>
      <c r="N51" s="6" t="str">
        <f>'[1]B.kriteria &amp; R.kecocokan'!$B$65</f>
        <v>Rendah</v>
      </c>
      <c r="O51" s="12" t="s">
        <v>36</v>
      </c>
    </row>
    <row r="52" spans="1:15" x14ac:dyDescent="0.35">
      <c r="A52" s="16">
        <v>50</v>
      </c>
      <c r="B52" s="8" t="str">
        <f>[1]Penghasilan!B27</f>
        <v>3523151403060779</v>
      </c>
      <c r="C52" s="8" t="s">
        <v>108</v>
      </c>
      <c r="D52" s="9" t="s">
        <v>100</v>
      </c>
      <c r="E52" s="13" t="str">
        <f>'[1]B.kriteria &amp; R.kecocokan'!$B$25</f>
        <v>Sedikit</v>
      </c>
      <c r="F52" s="10" t="str">
        <f>'[1]B.kriteria &amp; R.kecocokan'!$B$34</f>
        <v>Tinggi</v>
      </c>
      <c r="G52" s="5" t="str">
        <f>'[1]B.kriteria &amp; R.kecocokan'!$B$41</f>
        <v>Rendah</v>
      </c>
      <c r="H52" s="5" t="str">
        <f>'[1]B.kriteria &amp; R.kecocokan'!$B$72</f>
        <v>Rendah</v>
      </c>
      <c r="I52" s="5" t="str">
        <f>'[1]B.kriteria &amp; R.kecocokan'!$B$95</f>
        <v>Rendah</v>
      </c>
      <c r="J52" s="5" t="str">
        <f>'[1]B.kriteria &amp; R.kecocokan'!$B$80</f>
        <v>Rendah</v>
      </c>
      <c r="K52" s="10" t="str">
        <f>'[1]B.kriteria &amp; R.kecocokan'!$B$88</f>
        <v>Sedang</v>
      </c>
      <c r="L52" s="10" t="str">
        <f>'[1]B.kriteria &amp; R.kecocokan'!$B$50</f>
        <v>Sedang</v>
      </c>
      <c r="M52" s="10" t="str">
        <f>'[1]B.kriteria &amp; R.kecocokan'!$B$59</f>
        <v>Tinggi</v>
      </c>
      <c r="N52" s="6" t="str">
        <f>'[1]B.kriteria &amp; R.kecocokan'!$B$65</f>
        <v>Rendah</v>
      </c>
      <c r="O52" s="12" t="s">
        <v>36</v>
      </c>
    </row>
    <row r="53" spans="1:15" x14ac:dyDescent="0.35">
      <c r="A53" s="15">
        <v>51</v>
      </c>
      <c r="B53" s="8" t="str">
        <f>[1]Penghasilan!B29</f>
        <v>3523153112090187</v>
      </c>
      <c r="C53" s="8" t="s">
        <v>109</v>
      </c>
      <c r="D53" s="9" t="s">
        <v>100</v>
      </c>
      <c r="E53" s="13" t="str">
        <f>'[1]B.kriteria &amp; R.kecocokan'!$B$25</f>
        <v>Sedikit</v>
      </c>
      <c r="F53" s="10" t="str">
        <f>'[1]B.kriteria &amp; R.kecocokan'!$B$34</f>
        <v>Tinggi</v>
      </c>
      <c r="G53" s="5" t="str">
        <f>'[1]B.kriteria &amp; R.kecocokan'!$B$41</f>
        <v>Rendah</v>
      </c>
      <c r="H53" s="5" t="str">
        <f>'[1]B.kriteria &amp; R.kecocokan'!$B$72</f>
        <v>Rendah</v>
      </c>
      <c r="I53" s="5" t="str">
        <f>'[1]B.kriteria &amp; R.kecocokan'!$B$95</f>
        <v>Rendah</v>
      </c>
      <c r="J53" s="5" t="str">
        <f>'[1]B.kriteria &amp; R.kecocokan'!$B$80</f>
        <v>Rendah</v>
      </c>
      <c r="K53" s="10" t="str">
        <f>'[1]B.kriteria &amp; R.kecocokan'!$B$88</f>
        <v>Sedang</v>
      </c>
      <c r="L53" s="5" t="str">
        <f>'[1]B.kriteria &amp; R.kecocokan'!$B$49</f>
        <v>Rendah</v>
      </c>
      <c r="M53" s="10" t="str">
        <f>'[1]B.kriteria &amp; R.kecocokan'!$B$58</f>
        <v>Sedang</v>
      </c>
      <c r="N53" s="6" t="str">
        <f>'[1]B.kriteria &amp; R.kecocokan'!$B$65</f>
        <v>Rendah</v>
      </c>
      <c r="O53" s="12" t="s">
        <v>18</v>
      </c>
    </row>
    <row r="54" spans="1:15" x14ac:dyDescent="0.35">
      <c r="A54" s="15">
        <v>52</v>
      </c>
      <c r="B54" s="8" t="str">
        <f>[1]Penghasilan!B30</f>
        <v>3523151403061463</v>
      </c>
      <c r="C54" s="8" t="s">
        <v>110</v>
      </c>
      <c r="D54" s="9" t="s">
        <v>100</v>
      </c>
      <c r="E54" s="13" t="str">
        <f>'[1]B.kriteria &amp; R.kecocokan'!$B$25</f>
        <v>Sedikit</v>
      </c>
      <c r="F54" s="10" t="str">
        <f>'[1]B.kriteria &amp; R.kecocokan'!$B$34</f>
        <v>Tinggi</v>
      </c>
      <c r="G54" s="5" t="str">
        <f>'[1]B.kriteria &amp; R.kecocokan'!$B$41</f>
        <v>Rendah</v>
      </c>
      <c r="H54" s="5" t="str">
        <f>'[1]B.kriteria &amp; R.kecocokan'!$B$72</f>
        <v>Rendah</v>
      </c>
      <c r="I54" s="5" t="str">
        <f>'[1]B.kriteria &amp; R.kecocokan'!$B$95</f>
        <v>Rendah</v>
      </c>
      <c r="J54" s="5" t="str">
        <f>'[1]B.kriteria &amp; R.kecocokan'!$B$80</f>
        <v>Rendah</v>
      </c>
      <c r="K54" s="5" t="str">
        <f>'[1]B.kriteria &amp; R.kecocokan'!$B$89</f>
        <v>Sedikit</v>
      </c>
      <c r="L54" s="5" t="str">
        <f>'[1]B.kriteria &amp; R.kecocokan'!$B$49</f>
        <v>Rendah</v>
      </c>
      <c r="M54" s="5" t="str">
        <f>'[1]B.kriteria &amp; R.kecocokan'!$B$57</f>
        <v>Rendah</v>
      </c>
      <c r="N54" s="6" t="str">
        <f>'[1]B.kriteria &amp; R.kecocokan'!$B$65</f>
        <v>Rendah</v>
      </c>
      <c r="O54" s="12" t="s">
        <v>18</v>
      </c>
    </row>
    <row r="55" spans="1:15" x14ac:dyDescent="0.35">
      <c r="A55" s="16">
        <v>53</v>
      </c>
      <c r="B55" s="8" t="str">
        <f>[1]Penghasilan!B32</f>
        <v>3523151005110001</v>
      </c>
      <c r="C55" s="8" t="s">
        <v>111</v>
      </c>
      <c r="D55" s="9" t="s">
        <v>26</v>
      </c>
      <c r="E55" s="10" t="str">
        <f>'[1]B.kriteria &amp; R.kecocokan'!$B$23</f>
        <v>Banyak</v>
      </c>
      <c r="F55" s="10" t="str">
        <f>'[1]B.kriteria &amp; R.kecocokan'!$B$34</f>
        <v>Tinggi</v>
      </c>
      <c r="G55" s="5" t="str">
        <f>'[1]B.kriteria &amp; R.kecocokan'!$B$41</f>
        <v>Rendah</v>
      </c>
      <c r="H55" s="5" t="str">
        <f>'[1]B.kriteria &amp; R.kecocokan'!$B$72</f>
        <v>Rendah</v>
      </c>
      <c r="I55" s="5" t="str">
        <f>'[1]B.kriteria &amp; R.kecocokan'!$B$95</f>
        <v>Rendah</v>
      </c>
      <c r="J55" s="5" t="str">
        <f>'[1]B.kriteria &amp; R.kecocokan'!$B$80</f>
        <v>Rendah</v>
      </c>
      <c r="K55" s="10" t="str">
        <f>'[1]B.kriteria &amp; R.kecocokan'!$B$88</f>
        <v>Sedang</v>
      </c>
      <c r="L55" s="5" t="str">
        <f>'[1]B.kriteria &amp; R.kecocokan'!$B$49</f>
        <v>Rendah</v>
      </c>
      <c r="M55" s="5" t="str">
        <f>'[1]B.kriteria &amp; R.kecocokan'!$B$57</f>
        <v>Rendah</v>
      </c>
      <c r="N55" s="6" t="str">
        <f>'[1]B.kriteria &amp; R.kecocokan'!$B$65</f>
        <v>Rendah</v>
      </c>
      <c r="O55" s="12" t="s">
        <v>18</v>
      </c>
    </row>
    <row r="56" spans="1:15" x14ac:dyDescent="0.35">
      <c r="A56" s="15">
        <v>54</v>
      </c>
      <c r="B56" s="8" t="str">
        <f>[1]Penghasilan!B28</f>
        <v>3523152111210007</v>
      </c>
      <c r="C56" s="8" t="s">
        <v>112</v>
      </c>
      <c r="D56" s="9" t="s">
        <v>100</v>
      </c>
      <c r="E56" s="10" t="str">
        <f>'[1]B.kriteria &amp; R.kecocokan'!$B$23</f>
        <v>Banyak</v>
      </c>
      <c r="F56" s="10" t="str">
        <f>'[1]B.kriteria &amp; R.kecocokan'!$B$34</f>
        <v>Tinggi</v>
      </c>
      <c r="G56" s="5" t="str">
        <f>'[1]B.kriteria &amp; R.kecocokan'!$B$41</f>
        <v>Rendah</v>
      </c>
      <c r="H56" s="5" t="str">
        <f>'[1]B.kriteria &amp; R.kecocokan'!$B$72</f>
        <v>Rendah</v>
      </c>
      <c r="I56" s="5" t="str">
        <f>'[1]B.kriteria &amp; R.kecocokan'!$B$95</f>
        <v>Rendah</v>
      </c>
      <c r="J56" s="5" t="str">
        <f>'[1]B.kriteria &amp; R.kecocokan'!$B$80</f>
        <v>Rendah</v>
      </c>
      <c r="K56" s="5" t="str">
        <f>'[1]B.kriteria &amp; R.kecocokan'!$B$89</f>
        <v>Sedikit</v>
      </c>
      <c r="L56" s="5" t="str">
        <f>'[1]B.kriteria &amp; R.kecocokan'!$B$49</f>
        <v>Rendah</v>
      </c>
      <c r="M56" s="5" t="str">
        <f>'[1]B.kriteria &amp; R.kecocokan'!$B$57</f>
        <v>Rendah</v>
      </c>
      <c r="N56" s="6" t="str">
        <f>'[1]B.kriteria &amp; R.kecocokan'!$B$65</f>
        <v>Rendah</v>
      </c>
      <c r="O56" s="12" t="s">
        <v>18</v>
      </c>
    </row>
    <row r="57" spans="1:15" x14ac:dyDescent="0.35">
      <c r="A57" s="15">
        <v>55</v>
      </c>
      <c r="B57" s="8" t="str">
        <f>[1]Penghasilan!B40</f>
        <v>3523150209200001</v>
      </c>
      <c r="C57" s="8" t="s">
        <v>113</v>
      </c>
      <c r="D57" s="9" t="s">
        <v>100</v>
      </c>
      <c r="E57" s="13" t="str">
        <f>'[1]B.kriteria &amp; R.kecocokan'!$B$25</f>
        <v>Sedikit</v>
      </c>
      <c r="F57" s="10" t="str">
        <f>'[1]B.kriteria &amp; R.kecocokan'!$B$34</f>
        <v>Tinggi</v>
      </c>
      <c r="G57" s="10" t="str">
        <f>'[1]B.kriteria &amp; R.kecocokan'!$B$43</f>
        <v>Tinggi</v>
      </c>
      <c r="H57" s="5" t="str">
        <f>'[1]B.kriteria &amp; R.kecocokan'!$B$72</f>
        <v>Rendah</v>
      </c>
      <c r="I57" s="5" t="str">
        <f>'[1]B.kriteria &amp; R.kecocokan'!$B$95</f>
        <v>Rendah</v>
      </c>
      <c r="J57" s="5" t="str">
        <f>'[1]B.kriteria &amp; R.kecocokan'!$B$80</f>
        <v>Rendah</v>
      </c>
      <c r="K57" s="5" t="str">
        <f>'[1]B.kriteria &amp; R.kecocokan'!$B$89</f>
        <v>Sedikit</v>
      </c>
      <c r="L57" s="5" t="str">
        <f>'[1]B.kriteria &amp; R.kecocokan'!$B$49</f>
        <v>Rendah</v>
      </c>
      <c r="M57" s="5" t="str">
        <f>'[1]B.kriteria &amp; R.kecocokan'!$B$57</f>
        <v>Rendah</v>
      </c>
      <c r="N57" s="6" t="str">
        <f>'[1]B.kriteria &amp; R.kecocokan'!$B$65</f>
        <v>Rendah</v>
      </c>
      <c r="O57" s="12" t="s">
        <v>18</v>
      </c>
    </row>
    <row r="58" spans="1:15" x14ac:dyDescent="0.35">
      <c r="A58" s="16">
        <v>56</v>
      </c>
      <c r="B58" s="8" t="str">
        <f>[1]Penghasilan!B41</f>
        <v>3523153004190006</v>
      </c>
      <c r="C58" s="8" t="s">
        <v>114</v>
      </c>
      <c r="D58" s="9" t="s">
        <v>26</v>
      </c>
      <c r="E58" s="10" t="str">
        <f>'[1]B.kriteria &amp; R.kecocokan'!$B$23</f>
        <v>Banyak</v>
      </c>
      <c r="F58" s="10" t="str">
        <f>'[1]B.kriteria &amp; R.kecocokan'!$B$34</f>
        <v>Tinggi</v>
      </c>
      <c r="G58" s="5" t="str">
        <f>'[1]B.kriteria &amp; R.kecocokan'!$B$41</f>
        <v>Rendah</v>
      </c>
      <c r="H58" s="5" t="str">
        <f>'[1]B.kriteria &amp; R.kecocokan'!$B$72</f>
        <v>Rendah</v>
      </c>
      <c r="I58" s="5" t="str">
        <f>'[1]B.kriteria &amp; R.kecocokan'!$B$95</f>
        <v>Rendah</v>
      </c>
      <c r="J58" s="10" t="str">
        <f>'[1]B.kriteria &amp; R.kecocokan'!$B$81</f>
        <v>Tinggi</v>
      </c>
      <c r="K58" s="10" t="str">
        <f>'[1]B.kriteria &amp; R.kecocokan'!$B$90</f>
        <v>Sangat Sedikit</v>
      </c>
      <c r="L58" s="5" t="str">
        <f>'[1]B.kriteria &amp; R.kecocokan'!$B$49</f>
        <v>Rendah</v>
      </c>
      <c r="M58" s="5" t="str">
        <f>'[1]B.kriteria &amp; R.kecocokan'!$B$57</f>
        <v>Rendah</v>
      </c>
      <c r="N58" s="6" t="str">
        <f>'[1]B.kriteria &amp; R.kecocokan'!$B$65</f>
        <v>Rendah</v>
      </c>
      <c r="O58" s="12" t="s">
        <v>18</v>
      </c>
    </row>
    <row r="59" spans="1:15" x14ac:dyDescent="0.35">
      <c r="A59" s="15">
        <v>57</v>
      </c>
      <c r="B59" s="8" t="str">
        <f>[1]Penghasilan!B42</f>
        <v>3523151309090188</v>
      </c>
      <c r="C59" s="8" t="s">
        <v>115</v>
      </c>
      <c r="D59" s="9" t="s">
        <v>100</v>
      </c>
      <c r="E59" s="10" t="str">
        <f>'[1]B.kriteria &amp; R.kecocokan'!$B$23</f>
        <v>Banyak</v>
      </c>
      <c r="F59" s="10" t="str">
        <f>'[1]B.kriteria &amp; R.kecocokan'!$B$34</f>
        <v>Tinggi</v>
      </c>
      <c r="G59" s="5" t="str">
        <f>'[1]B.kriteria &amp; R.kecocokan'!$B$41</f>
        <v>Rendah</v>
      </c>
      <c r="H59" s="5" t="str">
        <f>'[1]B.kriteria &amp; R.kecocokan'!$B$72</f>
        <v>Rendah</v>
      </c>
      <c r="I59" s="5" t="str">
        <f>'[1]B.kriteria &amp; R.kecocokan'!$B$95</f>
        <v>Rendah</v>
      </c>
      <c r="J59" s="5" t="str">
        <f>'[1]B.kriteria &amp; R.kecocokan'!$B$80</f>
        <v>Rendah</v>
      </c>
      <c r="K59" s="10" t="str">
        <f>'[1]B.kriteria &amp; R.kecocokan'!$B$88</f>
        <v>Sedang</v>
      </c>
      <c r="L59" s="5" t="str">
        <f>'[1]B.kriteria &amp; R.kecocokan'!$B$49</f>
        <v>Rendah</v>
      </c>
      <c r="M59" s="5" t="str">
        <f>'[1]B.kriteria &amp; R.kecocokan'!$B$57</f>
        <v>Rendah</v>
      </c>
      <c r="N59" s="6" t="str">
        <f>'[1]B.kriteria &amp; R.kecocokan'!$B$65</f>
        <v>Rendah</v>
      </c>
      <c r="O59" s="12" t="s">
        <v>18</v>
      </c>
    </row>
    <row r="60" spans="1:15" x14ac:dyDescent="0.35">
      <c r="A60" s="15">
        <v>58</v>
      </c>
      <c r="B60" s="8" t="str">
        <f>[1]Penghasilan!B43</f>
        <v>3523152405190001</v>
      </c>
      <c r="C60" s="8" t="s">
        <v>116</v>
      </c>
      <c r="D60" s="9" t="s">
        <v>100</v>
      </c>
      <c r="E60" s="13" t="str">
        <f>'[1]B.kriteria &amp; R.kecocokan'!$B$25</f>
        <v>Sedikit</v>
      </c>
      <c r="F60" s="10" t="str">
        <f>'[1]B.kriteria &amp; R.kecocokan'!$B$34</f>
        <v>Tinggi</v>
      </c>
      <c r="G60" s="5" t="str">
        <f>'[1]B.kriteria &amp; R.kecocokan'!$B$41</f>
        <v>Rendah</v>
      </c>
      <c r="H60" s="5" t="str">
        <f>'[1]B.kriteria &amp; R.kecocokan'!$B$72</f>
        <v>Rendah</v>
      </c>
      <c r="I60" s="5" t="str">
        <f>'[1]B.kriteria &amp; R.kecocokan'!$B$95</f>
        <v>Rendah</v>
      </c>
      <c r="J60" s="5" t="str">
        <f>'[1]B.kriteria &amp; R.kecocokan'!$B$80</f>
        <v>Rendah</v>
      </c>
      <c r="K60" s="10" t="str">
        <f>'[1]B.kriteria &amp; R.kecocokan'!$B$88</f>
        <v>Sedang</v>
      </c>
      <c r="L60" s="5" t="str">
        <f>'[1]B.kriteria &amp; R.kecocokan'!$B$49</f>
        <v>Rendah</v>
      </c>
      <c r="M60" s="5" t="str">
        <f>'[1]B.kriteria &amp; R.kecocokan'!$B$57</f>
        <v>Rendah</v>
      </c>
      <c r="N60" s="6" t="str">
        <f>'[1]B.kriteria &amp; R.kecocokan'!$B$65</f>
        <v>Rendah</v>
      </c>
      <c r="O60" s="12" t="s">
        <v>18</v>
      </c>
    </row>
    <row r="61" spans="1:15" x14ac:dyDescent="0.35">
      <c r="A61" s="16">
        <v>59</v>
      </c>
      <c r="B61" s="8" t="str">
        <f>[1]Penghasilan!B44</f>
        <v>3523151403060777</v>
      </c>
      <c r="C61" s="8" t="s">
        <v>117</v>
      </c>
      <c r="D61" s="9" t="s">
        <v>100</v>
      </c>
      <c r="E61" s="10" t="str">
        <f>'[1]B.kriteria &amp; R.kecocokan'!$B$23</f>
        <v>Banyak</v>
      </c>
      <c r="F61" s="10" t="str">
        <f>'[1]B.kriteria &amp; R.kecocokan'!$B$34</f>
        <v>Tinggi</v>
      </c>
      <c r="G61" s="5" t="str">
        <f>'[1]B.kriteria &amp; R.kecocokan'!$B$41</f>
        <v>Rendah</v>
      </c>
      <c r="H61" s="5" t="str">
        <f>'[1]B.kriteria &amp; R.kecocokan'!$B$72</f>
        <v>Rendah</v>
      </c>
      <c r="I61" s="5" t="str">
        <f>'[1]B.kriteria &amp; R.kecocokan'!$B$95</f>
        <v>Rendah</v>
      </c>
      <c r="J61" s="5" t="str">
        <f>'[1]B.kriteria &amp; R.kecocokan'!$B$80</f>
        <v>Rendah</v>
      </c>
      <c r="K61" s="10" t="str">
        <f>'[1]B.kriteria &amp; R.kecocokan'!$B$90</f>
        <v>Sangat Sedikit</v>
      </c>
      <c r="L61" s="5" t="str">
        <f>'[1]B.kriteria &amp; R.kecocokan'!$B$49</f>
        <v>Rendah</v>
      </c>
      <c r="M61" s="5" t="str">
        <f>'[1]B.kriteria &amp; R.kecocokan'!$B$57</f>
        <v>Rendah</v>
      </c>
      <c r="N61" s="6" t="str">
        <f>'[1]B.kriteria &amp; R.kecocokan'!$B$65</f>
        <v>Rendah</v>
      </c>
      <c r="O61" s="12" t="s">
        <v>18</v>
      </c>
    </row>
    <row r="62" spans="1:15" x14ac:dyDescent="0.35">
      <c r="A62" s="15">
        <v>60</v>
      </c>
      <c r="B62" s="8" t="str">
        <f>[1]Penghasilan!B45</f>
        <v>3523151309090177</v>
      </c>
      <c r="C62" s="8" t="s">
        <v>118</v>
      </c>
      <c r="D62" s="9" t="s">
        <v>26</v>
      </c>
      <c r="E62" s="13" t="str">
        <f>'[1]B.kriteria &amp; R.kecocokan'!$B$25</f>
        <v>Sedikit</v>
      </c>
      <c r="F62" s="10" t="str">
        <f>'[1]B.kriteria &amp; R.kecocokan'!$B$34</f>
        <v>Tinggi</v>
      </c>
      <c r="G62" s="5" t="str">
        <f>'[1]B.kriteria &amp; R.kecocokan'!$B$41</f>
        <v>Rendah</v>
      </c>
      <c r="H62" s="5" t="str">
        <f>'[1]B.kriteria &amp; R.kecocokan'!$B$72</f>
        <v>Rendah</v>
      </c>
      <c r="I62" s="5" t="str">
        <f>'[1]B.kriteria &amp; R.kecocokan'!$B$95</f>
        <v>Rendah</v>
      </c>
      <c r="J62" s="10" t="str">
        <f>'[1]B.kriteria &amp; R.kecocokan'!$B$81</f>
        <v>Tinggi</v>
      </c>
      <c r="K62" s="10" t="str">
        <f>'[1]B.kriteria &amp; R.kecocokan'!$B$90</f>
        <v>Sangat Sedikit</v>
      </c>
      <c r="L62" s="5" t="str">
        <f>'[1]B.kriteria &amp; R.kecocokan'!$B$49</f>
        <v>Rendah</v>
      </c>
      <c r="M62" s="5" t="str">
        <f>'[1]B.kriteria &amp; R.kecocokan'!$B$57</f>
        <v>Rendah</v>
      </c>
      <c r="N62" s="6" t="str">
        <f>'[1]B.kriteria &amp; R.kecocokan'!$B$65</f>
        <v>Rendah</v>
      </c>
      <c r="O62" s="12" t="s">
        <v>18</v>
      </c>
    </row>
    <row r="63" spans="1:15" x14ac:dyDescent="0.35">
      <c r="A63" s="15">
        <v>61</v>
      </c>
      <c r="B63" s="8" t="str">
        <f>[1]Penghasilan!B5</f>
        <v>No KK</v>
      </c>
      <c r="C63" s="8" t="s">
        <v>119</v>
      </c>
      <c r="D63" s="9" t="s">
        <v>26</v>
      </c>
      <c r="E63" s="13" t="str">
        <f>'[1]B.kriteria &amp; R.kecocokan'!$B$25</f>
        <v>Sedikit</v>
      </c>
      <c r="F63" s="10" t="str">
        <f>'[1]B.kriteria &amp; R.kecocokan'!$B$34</f>
        <v>Tinggi</v>
      </c>
      <c r="G63" s="5" t="str">
        <f>'[1]B.kriteria &amp; R.kecocokan'!$B$41</f>
        <v>Rendah</v>
      </c>
      <c r="H63" s="5" t="str">
        <f>'[1]B.kriteria &amp; R.kecocokan'!$B$72</f>
        <v>Rendah</v>
      </c>
      <c r="I63" s="5" t="str">
        <f>'[1]B.kriteria &amp; R.kecocokan'!$B$95</f>
        <v>Rendah</v>
      </c>
      <c r="J63" s="5" t="str">
        <f>'[1]B.kriteria &amp; R.kecocokan'!$B$80</f>
        <v>Rendah</v>
      </c>
      <c r="K63" s="5" t="str">
        <f>'[1]B.kriteria &amp; R.kecocokan'!$B$89</f>
        <v>Sedikit</v>
      </c>
      <c r="L63" s="5" t="str">
        <f>'[1]B.kriteria &amp; R.kecocokan'!$B$49</f>
        <v>Rendah</v>
      </c>
      <c r="M63" s="5" t="str">
        <f>'[1]B.kriteria &amp; R.kecocokan'!$B$57</f>
        <v>Rendah</v>
      </c>
      <c r="N63" s="6" t="str">
        <f>'[1]B.kriteria &amp; R.kecocokan'!$B$65</f>
        <v>Rendah</v>
      </c>
      <c r="O63" s="12" t="s">
        <v>18</v>
      </c>
    </row>
    <row r="64" spans="1:15" x14ac:dyDescent="0.35">
      <c r="A64" s="16">
        <v>62</v>
      </c>
      <c r="B64" s="8" t="str">
        <f>[1]Penghasilan!B46</f>
        <v>3523151403060771</v>
      </c>
      <c r="C64" s="8" t="s">
        <v>120</v>
      </c>
      <c r="D64" s="9" t="s">
        <v>26</v>
      </c>
      <c r="E64" s="13" t="str">
        <f>'[1]B.kriteria &amp; R.kecocokan'!$B$25</f>
        <v>Sedikit</v>
      </c>
      <c r="F64" s="10" t="str">
        <f>'[1]B.kriteria &amp; R.kecocokan'!$B$34</f>
        <v>Tinggi</v>
      </c>
      <c r="G64" s="5" t="str">
        <f>'[1]B.kriteria &amp; R.kecocokan'!$B$41</f>
        <v>Rendah</v>
      </c>
      <c r="H64" s="5" t="str">
        <f>'[1]B.kriteria &amp; R.kecocokan'!$B$72</f>
        <v>Rendah</v>
      </c>
      <c r="I64" s="5" t="str">
        <f>'[1]B.kriteria &amp; R.kecocokan'!$B$95</f>
        <v>Rendah</v>
      </c>
      <c r="J64" s="10" t="str">
        <f>'[1]B.kriteria &amp; R.kecocokan'!$B$81</f>
        <v>Tinggi</v>
      </c>
      <c r="K64" s="10" t="str">
        <f>'[1]B.kriteria &amp; R.kecocokan'!$B$90</f>
        <v>Sangat Sedikit</v>
      </c>
      <c r="L64" s="5" t="str">
        <f>'[1]B.kriteria &amp; R.kecocokan'!$B$49</f>
        <v>Rendah</v>
      </c>
      <c r="M64" s="5" t="str">
        <f>'[1]B.kriteria &amp; R.kecocokan'!$B$57</f>
        <v>Rendah</v>
      </c>
      <c r="N64" s="6" t="str">
        <f>'[1]B.kriteria &amp; R.kecocokan'!$B$65</f>
        <v>Rendah</v>
      </c>
      <c r="O64" s="12" t="s">
        <v>36</v>
      </c>
    </row>
    <row r="65" spans="1:15" x14ac:dyDescent="0.35">
      <c r="A65" s="15">
        <v>63</v>
      </c>
      <c r="B65" s="8" t="str">
        <f>[1]Penghasilan!B49</f>
        <v>3523152101140003</v>
      </c>
      <c r="C65" s="8" t="s">
        <v>121</v>
      </c>
      <c r="D65" s="9" t="s">
        <v>26</v>
      </c>
      <c r="E65" s="10" t="str">
        <f>'[1]B.kriteria &amp; R.kecocokan'!$B$23</f>
        <v>Banyak</v>
      </c>
      <c r="F65" s="10" t="str">
        <f>'[1]B.kriteria &amp; R.kecocokan'!$B$34</f>
        <v>Tinggi</v>
      </c>
      <c r="G65" s="5" t="str">
        <f>'[1]B.kriteria &amp; R.kecocokan'!$B$41</f>
        <v>Rendah</v>
      </c>
      <c r="H65" s="5" t="str">
        <f>'[1]B.kriteria &amp; R.kecocokan'!$B$72</f>
        <v>Rendah</v>
      </c>
      <c r="I65" s="5" t="str">
        <f>'[1]B.kriteria &amp; R.kecocokan'!$B$95</f>
        <v>Rendah</v>
      </c>
      <c r="J65" s="10" t="str">
        <f>'[1]B.kriteria &amp; R.kecocokan'!$B$81</f>
        <v>Tinggi</v>
      </c>
      <c r="K65" s="10" t="str">
        <f>'[1]B.kriteria &amp; R.kecocokan'!$B$90</f>
        <v>Sangat Sedikit</v>
      </c>
      <c r="L65" s="5" t="str">
        <f>'[1]B.kriteria &amp; R.kecocokan'!$B$49</f>
        <v>Rendah</v>
      </c>
      <c r="M65" s="5" t="str">
        <f>'[1]B.kriteria &amp; R.kecocokan'!$B$57</f>
        <v>Rendah</v>
      </c>
      <c r="N65" s="6" t="str">
        <f>'[1]B.kriteria &amp; R.kecocokan'!$B$65</f>
        <v>Rendah</v>
      </c>
      <c r="O65" s="12" t="s">
        <v>18</v>
      </c>
    </row>
    <row r="66" spans="1:15" x14ac:dyDescent="0.35">
      <c r="A66" s="15">
        <v>64</v>
      </c>
      <c r="B66" s="8" t="str">
        <f>[1]Penghasilan!B47</f>
        <v>3523151309090182</v>
      </c>
      <c r="C66" s="8" t="s">
        <v>122</v>
      </c>
      <c r="D66" s="9" t="s">
        <v>123</v>
      </c>
      <c r="E66" s="13" t="str">
        <f>'[1]B.kriteria &amp; R.kecocokan'!$B$25</f>
        <v>Sedikit</v>
      </c>
      <c r="F66" s="10" t="str">
        <f>'[1]B.kriteria &amp; R.kecocokan'!$B$34</f>
        <v>Tinggi</v>
      </c>
      <c r="G66" s="5" t="str">
        <f>'[1]B.kriteria &amp; R.kecocokan'!$B$41</f>
        <v>Rendah</v>
      </c>
      <c r="H66" s="5" t="str">
        <f>'[1]B.kriteria &amp; R.kecocokan'!$B$72</f>
        <v>Rendah</v>
      </c>
      <c r="I66" s="5" t="str">
        <f>'[1]B.kriteria &amp; R.kecocokan'!$B$95</f>
        <v>Rendah</v>
      </c>
      <c r="J66" s="10" t="str">
        <f>'[1]B.kriteria &amp; R.kecocokan'!$B$81</f>
        <v>Tinggi</v>
      </c>
      <c r="K66" s="10" t="str">
        <f>'[1]B.kriteria &amp; R.kecocokan'!$B$90</f>
        <v>Sangat Sedikit</v>
      </c>
      <c r="L66" s="5" t="str">
        <f>'[1]B.kriteria &amp; R.kecocokan'!$B$49</f>
        <v>Rendah</v>
      </c>
      <c r="M66" s="5" t="str">
        <f>'[1]B.kriteria &amp; R.kecocokan'!$B$57</f>
        <v>Rendah</v>
      </c>
      <c r="N66" s="6" t="str">
        <f>'[1]B.kriteria &amp; R.kecocokan'!$B$65</f>
        <v>Rendah</v>
      </c>
      <c r="O66" s="12" t="s">
        <v>18</v>
      </c>
    </row>
    <row r="67" spans="1:15" x14ac:dyDescent="0.35">
      <c r="A67" s="16">
        <v>65</v>
      </c>
      <c r="B67" s="8" t="str">
        <f>[1]Penghasilan!B48</f>
        <v>3523151403060776</v>
      </c>
      <c r="C67" s="8" t="s">
        <v>124</v>
      </c>
      <c r="D67" s="9" t="s">
        <v>26</v>
      </c>
      <c r="E67" s="10" t="str">
        <f>'[1]B.kriteria &amp; R.kecocokan'!$B$23</f>
        <v>Banyak</v>
      </c>
      <c r="F67" s="10" t="str">
        <f>'[1]B.kriteria &amp; R.kecocokan'!$B$34</f>
        <v>Tinggi</v>
      </c>
      <c r="G67" s="5" t="str">
        <f>'[1]B.kriteria &amp; R.kecocokan'!$B$41</f>
        <v>Rendah</v>
      </c>
      <c r="H67" s="5" t="str">
        <f>'[1]B.kriteria &amp; R.kecocokan'!$B$72</f>
        <v>Rendah</v>
      </c>
      <c r="I67" s="5" t="str">
        <f>'[1]B.kriteria &amp; R.kecocokan'!$B$95</f>
        <v>Rendah</v>
      </c>
      <c r="J67" s="5" t="str">
        <f>'[1]B.kriteria &amp; R.kecocokan'!$B$80</f>
        <v>Rendah</v>
      </c>
      <c r="K67" s="5" t="str">
        <f>'[1]B.kriteria &amp; R.kecocokan'!$B$89</f>
        <v>Sedikit</v>
      </c>
      <c r="L67" s="5" t="str">
        <f>'[1]B.kriteria &amp; R.kecocokan'!$B$49</f>
        <v>Rendah</v>
      </c>
      <c r="M67" s="5" t="str">
        <f>'[1]B.kriteria &amp; R.kecocokan'!$B$57</f>
        <v>Rendah</v>
      </c>
      <c r="N67" s="6" t="str">
        <f>'[1]B.kriteria &amp; R.kecocokan'!$B$65</f>
        <v>Rendah</v>
      </c>
      <c r="O67" s="12" t="s">
        <v>18</v>
      </c>
    </row>
    <row r="68" spans="1:15" x14ac:dyDescent="0.35">
      <c r="A68" s="15">
        <v>66</v>
      </c>
      <c r="B68" s="8" t="str">
        <f>[1]Penghasilan!B50</f>
        <v>3523152212160003</v>
      </c>
      <c r="C68" s="8" t="s">
        <v>125</v>
      </c>
      <c r="D68" s="9" t="s">
        <v>26</v>
      </c>
      <c r="E68" s="10" t="str">
        <f>'[1]B.kriteria &amp; R.kecocokan'!$B$23</f>
        <v>Banyak</v>
      </c>
      <c r="F68" s="10" t="str">
        <f>'[1]B.kriteria &amp; R.kecocokan'!$B$34</f>
        <v>Tinggi</v>
      </c>
      <c r="G68" s="5" t="str">
        <f>'[1]B.kriteria &amp; R.kecocokan'!$B$41</f>
        <v>Rendah</v>
      </c>
      <c r="H68" s="5" t="str">
        <f>'[1]B.kriteria &amp; R.kecocokan'!$B$72</f>
        <v>Rendah</v>
      </c>
      <c r="I68" s="5" t="str">
        <f>'[1]B.kriteria &amp; R.kecocokan'!$B$95</f>
        <v>Rendah</v>
      </c>
      <c r="J68" s="5" t="str">
        <f>'[1]B.kriteria &amp; R.kecocokan'!$B$80</f>
        <v>Rendah</v>
      </c>
      <c r="K68" s="5" t="str">
        <f>'[1]B.kriteria &amp; R.kecocokan'!$B$89</f>
        <v>Sedikit</v>
      </c>
      <c r="L68" s="5" t="str">
        <f>'[1]B.kriteria &amp; R.kecocokan'!$B$49</f>
        <v>Rendah</v>
      </c>
      <c r="M68" s="5" t="str">
        <f>'[1]B.kriteria &amp; R.kecocokan'!$B$57</f>
        <v>Rendah</v>
      </c>
      <c r="N68" s="6" t="str">
        <f>'[1]B.kriteria &amp; R.kecocokan'!$B$65</f>
        <v>Rendah</v>
      </c>
      <c r="O68" s="12" t="s">
        <v>18</v>
      </c>
    </row>
    <row r="69" spans="1:15" x14ac:dyDescent="0.35">
      <c r="A69" s="15">
        <v>67</v>
      </c>
      <c r="B69" s="8" t="str">
        <f>[1]Penghasilan!B51</f>
        <v>3523151403063105</v>
      </c>
      <c r="C69" s="8" t="s">
        <v>126</v>
      </c>
      <c r="D69" s="9" t="s">
        <v>26</v>
      </c>
      <c r="E69" s="4" t="str">
        <f>'[1]B.kriteria &amp; R.kecocokan'!$B$24</f>
        <v>Cukup</v>
      </c>
      <c r="F69" s="10" t="str">
        <f>'[1]B.kriteria &amp; R.kecocokan'!$B$34</f>
        <v>Tinggi</v>
      </c>
      <c r="G69" s="5" t="str">
        <f>'[1]B.kriteria &amp; R.kecocokan'!$B$41</f>
        <v>Rendah</v>
      </c>
      <c r="H69" s="5" t="str">
        <f>'[1]B.kriteria &amp; R.kecocokan'!$B$72</f>
        <v>Rendah</v>
      </c>
      <c r="I69" s="5" t="str">
        <f>'[1]B.kriteria &amp; R.kecocokan'!$B$95</f>
        <v>Rendah</v>
      </c>
      <c r="J69" s="5" t="str">
        <f>'[1]B.kriteria &amp; R.kecocokan'!$B$80</f>
        <v>Rendah</v>
      </c>
      <c r="K69" s="5" t="str">
        <f>'[1]B.kriteria &amp; R.kecocokan'!$B$89</f>
        <v>Sedikit</v>
      </c>
      <c r="L69" s="5" t="str">
        <f>'[1]B.kriteria &amp; R.kecocokan'!$B$49</f>
        <v>Rendah</v>
      </c>
      <c r="M69" s="5" t="str">
        <f>'[1]B.kriteria &amp; R.kecocokan'!$B$57</f>
        <v>Rendah</v>
      </c>
      <c r="N69" s="6" t="str">
        <f>'[1]B.kriteria &amp; R.kecocokan'!$B$65</f>
        <v>Rendah</v>
      </c>
      <c r="O69" s="12" t="s">
        <v>18</v>
      </c>
    </row>
    <row r="70" spans="1:15" x14ac:dyDescent="0.35">
      <c r="A70" s="16">
        <v>68</v>
      </c>
      <c r="B70" s="8" t="str">
        <f>[1]Penghasilan!B52</f>
        <v>3523152207170003</v>
      </c>
      <c r="C70" s="8" t="s">
        <v>127</v>
      </c>
      <c r="D70" s="9" t="s">
        <v>100</v>
      </c>
      <c r="E70" s="4" t="str">
        <f>'[1]B.kriteria &amp; R.kecocokan'!$B$24</f>
        <v>Cukup</v>
      </c>
      <c r="F70" s="10" t="str">
        <f>'[1]B.kriteria &amp; R.kecocokan'!$B$34</f>
        <v>Tinggi</v>
      </c>
      <c r="G70" s="5" t="str">
        <f>'[1]B.kriteria &amp; R.kecocokan'!$B$41</f>
        <v>Rendah</v>
      </c>
      <c r="H70" s="5" t="str">
        <f>'[1]B.kriteria &amp; R.kecocokan'!$B$72</f>
        <v>Rendah</v>
      </c>
      <c r="I70" s="5" t="str">
        <f>'[1]B.kriteria &amp; R.kecocokan'!$B$95</f>
        <v>Rendah</v>
      </c>
      <c r="J70" s="5" t="str">
        <f>'[1]B.kriteria &amp; R.kecocokan'!$B$80</f>
        <v>Rendah</v>
      </c>
      <c r="K70" s="5" t="str">
        <f>'[1]B.kriteria &amp; R.kecocokan'!$B$89</f>
        <v>Sedikit</v>
      </c>
      <c r="L70" s="5" t="str">
        <f>'[1]B.kriteria &amp; R.kecocokan'!$B$49</f>
        <v>Rendah</v>
      </c>
      <c r="M70" s="5" t="str">
        <f>'[1]B.kriteria &amp; R.kecocokan'!$B$57</f>
        <v>Rendah</v>
      </c>
      <c r="N70" s="6" t="str">
        <f>'[1]B.kriteria &amp; R.kecocokan'!$B$65</f>
        <v>Rendah</v>
      </c>
      <c r="O70" s="12" t="s">
        <v>18</v>
      </c>
    </row>
    <row r="71" spans="1:15" x14ac:dyDescent="0.35">
      <c r="A71" s="15">
        <v>69</v>
      </c>
      <c r="B71" s="8" t="str">
        <f>[1]Penghasilan!B54</f>
        <v>3523151403064641</v>
      </c>
      <c r="C71" s="8" t="s">
        <v>128</v>
      </c>
      <c r="D71" s="9" t="s">
        <v>129</v>
      </c>
      <c r="E71" s="13" t="str">
        <f>'[1]B.kriteria &amp; R.kecocokan'!$B$25</f>
        <v>Sedikit</v>
      </c>
      <c r="F71" s="10" t="str">
        <f>'[1]B.kriteria &amp; R.kecocokan'!$B$34</f>
        <v>Tinggi</v>
      </c>
      <c r="G71" s="5" t="str">
        <f>'[1]B.kriteria &amp; R.kecocokan'!$B$41</f>
        <v>Rendah</v>
      </c>
      <c r="H71" s="5" t="str">
        <f>'[1]B.kriteria &amp; R.kecocokan'!$B$72</f>
        <v>Rendah</v>
      </c>
      <c r="I71" s="5" t="str">
        <f>'[1]B.kriteria &amp; R.kecocokan'!$B$95</f>
        <v>Rendah</v>
      </c>
      <c r="J71" s="10" t="str">
        <f>'[1]B.kriteria &amp; R.kecocokan'!$B$81</f>
        <v>Tinggi</v>
      </c>
      <c r="K71" s="10" t="str">
        <f>'[1]B.kriteria &amp; R.kecocokan'!$B$90</f>
        <v>Sangat Sedikit</v>
      </c>
      <c r="L71" s="5" t="str">
        <f>'[1]B.kriteria &amp; R.kecocokan'!$B$49</f>
        <v>Rendah</v>
      </c>
      <c r="M71" s="5" t="str">
        <f>'[1]B.kriteria &amp; R.kecocokan'!$B$57</f>
        <v>Rendah</v>
      </c>
      <c r="N71" s="6" t="str">
        <f>'[1]B.kriteria &amp; R.kecocokan'!$B$65</f>
        <v>Rendah</v>
      </c>
      <c r="O71" s="12" t="s">
        <v>18</v>
      </c>
    </row>
    <row r="72" spans="1:15" x14ac:dyDescent="0.35">
      <c r="A72" s="15">
        <v>70</v>
      </c>
      <c r="B72" s="8" t="str">
        <f>[1]Penghasilan!B53</f>
        <v>3523151403060757</v>
      </c>
      <c r="C72" s="8" t="s">
        <v>130</v>
      </c>
      <c r="D72" s="9" t="s">
        <v>26</v>
      </c>
      <c r="E72" s="10" t="str">
        <f>'[1]B.kriteria &amp; R.kecocokan'!$B$23</f>
        <v>Banyak</v>
      </c>
      <c r="F72" s="10" t="str">
        <f>'[1]B.kriteria &amp; R.kecocokan'!$B$34</f>
        <v>Tinggi</v>
      </c>
      <c r="G72" s="5" t="str">
        <f>'[1]B.kriteria &amp; R.kecocokan'!$B$41</f>
        <v>Rendah</v>
      </c>
      <c r="H72" s="5" t="str">
        <f>'[1]B.kriteria &amp; R.kecocokan'!$B$72</f>
        <v>Rendah</v>
      </c>
      <c r="I72" s="5" t="str">
        <f>'[1]B.kriteria &amp; R.kecocokan'!$B$95</f>
        <v>Rendah</v>
      </c>
      <c r="J72" s="5" t="str">
        <f>'[1]B.kriteria &amp; R.kecocokan'!$B$80</f>
        <v>Rendah</v>
      </c>
      <c r="K72" s="10" t="str">
        <f>'[1]B.kriteria &amp; R.kecocokan'!$B$88</f>
        <v>Sedang</v>
      </c>
      <c r="L72" s="5" t="str">
        <f>'[1]B.kriteria &amp; R.kecocokan'!$B$49</f>
        <v>Rendah</v>
      </c>
      <c r="M72" s="5" t="str">
        <f>'[1]B.kriteria &amp; R.kecocokan'!$B$57</f>
        <v>Rendah</v>
      </c>
      <c r="N72" s="6" t="str">
        <f>'[1]B.kriteria &amp; R.kecocokan'!$B$65</f>
        <v>Rendah</v>
      </c>
      <c r="O72" s="12" t="s">
        <v>18</v>
      </c>
    </row>
    <row r="73" spans="1:15" x14ac:dyDescent="0.35">
      <c r="A73" s="16">
        <v>71</v>
      </c>
      <c r="B73" s="8" t="str">
        <f>[1]Penghasilan!B55</f>
        <v>3523151309090179</v>
      </c>
      <c r="C73" s="8" t="s">
        <v>131</v>
      </c>
      <c r="D73" s="9" t="s">
        <v>26</v>
      </c>
      <c r="E73" s="10" t="str">
        <f>'[1]B.kriteria &amp; R.kecocokan'!$B$23</f>
        <v>Banyak</v>
      </c>
      <c r="F73" s="10" t="str">
        <f>'[1]B.kriteria &amp; R.kecocokan'!$B$34</f>
        <v>Tinggi</v>
      </c>
      <c r="G73" s="5" t="str">
        <f>'[1]B.kriteria &amp; R.kecocokan'!$B$41</f>
        <v>Rendah</v>
      </c>
      <c r="H73" s="5" t="str">
        <f>'[1]B.kriteria &amp; R.kecocokan'!$B$72</f>
        <v>Rendah</v>
      </c>
      <c r="I73" s="5" t="str">
        <f>'[1]B.kriteria &amp; R.kecocokan'!$B$95</f>
        <v>Rendah</v>
      </c>
      <c r="J73" s="5" t="str">
        <f>'[1]B.kriteria &amp; R.kecocokan'!$B$80</f>
        <v>Rendah</v>
      </c>
      <c r="K73" s="10" t="str">
        <f>'[1]B.kriteria &amp; R.kecocokan'!$B$88</f>
        <v>Sedang</v>
      </c>
      <c r="L73" s="5" t="str">
        <f>'[1]B.kriteria &amp; R.kecocokan'!$B$49</f>
        <v>Rendah</v>
      </c>
      <c r="M73" s="5" t="str">
        <f>'[1]B.kriteria &amp; R.kecocokan'!$B$57</f>
        <v>Rendah</v>
      </c>
      <c r="N73" s="6" t="str">
        <f>'[1]B.kriteria &amp; R.kecocokan'!$B$65</f>
        <v>Rendah</v>
      </c>
      <c r="O73" s="12" t="s">
        <v>18</v>
      </c>
    </row>
    <row r="74" spans="1:15" x14ac:dyDescent="0.35">
      <c r="A74" s="15">
        <v>72</v>
      </c>
      <c r="B74" s="8" t="str">
        <f>[1]Penghasilan!B56</f>
        <v>3523151309090183</v>
      </c>
      <c r="C74" s="8" t="s">
        <v>132</v>
      </c>
      <c r="D74" s="9" t="s">
        <v>26</v>
      </c>
      <c r="E74" s="10" t="str">
        <f>'[1]B.kriteria &amp; R.kecocokan'!$B$23</f>
        <v>Banyak</v>
      </c>
      <c r="F74" s="10" t="str">
        <f>'[1]B.kriteria &amp; R.kecocokan'!$B$34</f>
        <v>Tinggi</v>
      </c>
      <c r="G74" s="5" t="str">
        <f>'[1]B.kriteria &amp; R.kecocokan'!$B$41</f>
        <v>Rendah</v>
      </c>
      <c r="H74" s="5" t="str">
        <f>'[1]B.kriteria &amp; R.kecocokan'!$B$72</f>
        <v>Rendah</v>
      </c>
      <c r="I74" s="5" t="str">
        <f>'[1]B.kriteria &amp; R.kecocokan'!$B$95</f>
        <v>Rendah</v>
      </c>
      <c r="J74" s="10" t="str">
        <f>'[1]B.kriteria &amp; R.kecocokan'!$B$81</f>
        <v>Tinggi</v>
      </c>
      <c r="K74" s="10" t="str">
        <f>'[1]B.kriteria &amp; R.kecocokan'!$B$90</f>
        <v>Sangat Sedikit</v>
      </c>
      <c r="L74" s="5" t="str">
        <f>'[1]B.kriteria &amp; R.kecocokan'!$B$49</f>
        <v>Rendah</v>
      </c>
      <c r="M74" s="5" t="str">
        <f>'[1]B.kriteria &amp; R.kecocokan'!$B$57</f>
        <v>Rendah</v>
      </c>
      <c r="N74" s="6" t="str">
        <f>'[1]B.kriteria &amp; R.kecocokan'!$B$65</f>
        <v>Rendah</v>
      </c>
      <c r="O74" s="12" t="s">
        <v>18</v>
      </c>
    </row>
    <row r="75" spans="1:15" x14ac:dyDescent="0.35">
      <c r="A75" s="15">
        <v>73</v>
      </c>
      <c r="B75" s="8" t="str">
        <f>[1]Penghasilan!B57</f>
        <v>3523152310180005</v>
      </c>
      <c r="C75" s="8" t="s">
        <v>133</v>
      </c>
      <c r="D75" s="9" t="s">
        <v>26</v>
      </c>
      <c r="E75" s="10" t="str">
        <f>'[1]B.kriteria &amp; R.kecocokan'!$B$23</f>
        <v>Banyak</v>
      </c>
      <c r="F75" s="10" t="str">
        <f>'[1]B.kriteria &amp; R.kecocokan'!$B$35</f>
        <v>Sangat Tinggi</v>
      </c>
      <c r="G75" s="5" t="str">
        <f>'[1]B.kriteria &amp; R.kecocokan'!$B$41</f>
        <v>Rendah</v>
      </c>
      <c r="H75" s="5" t="str">
        <f>'[1]B.kriteria &amp; R.kecocokan'!$B$72</f>
        <v>Rendah</v>
      </c>
      <c r="I75" s="5" t="str">
        <f>'[1]B.kriteria &amp; R.kecocokan'!$B$95</f>
        <v>Rendah</v>
      </c>
      <c r="J75" s="5" t="str">
        <f>'[1]B.kriteria &amp; R.kecocokan'!$B$80</f>
        <v>Rendah</v>
      </c>
      <c r="K75" s="10" t="str">
        <f>'[1]B.kriteria &amp; R.kecocokan'!$B$90</f>
        <v>Sangat Sedikit</v>
      </c>
      <c r="L75" s="10" t="str">
        <f>'[1]B.kriteria &amp; R.kecocokan'!$B$51</f>
        <v>Tinggi</v>
      </c>
      <c r="M75" s="5" t="str">
        <f>'[1]B.kriteria &amp; R.kecocokan'!$B$57</f>
        <v>Rendah</v>
      </c>
      <c r="N75" s="6" t="str">
        <f>'[1]B.kriteria &amp; R.kecocokan'!$B$65</f>
        <v>Rendah</v>
      </c>
      <c r="O75" s="12" t="s">
        <v>18</v>
      </c>
    </row>
    <row r="76" spans="1:15" x14ac:dyDescent="0.35">
      <c r="A76" s="16">
        <v>74</v>
      </c>
      <c r="B76" s="8" t="str">
        <f>[1]Penghasilan!B58</f>
        <v>3523151403060766</v>
      </c>
      <c r="C76" s="8" t="s">
        <v>134</v>
      </c>
      <c r="D76" s="9" t="s">
        <v>26</v>
      </c>
      <c r="E76" s="4" t="str">
        <f>'[1]B.kriteria &amp; R.kecocokan'!$B$24</f>
        <v>Cukup</v>
      </c>
      <c r="F76" s="10" t="str">
        <f>'[1]B.kriteria &amp; R.kecocokan'!$B$34</f>
        <v>Tinggi</v>
      </c>
      <c r="G76" s="5" t="str">
        <f>'[1]B.kriteria &amp; R.kecocokan'!$B$41</f>
        <v>Rendah</v>
      </c>
      <c r="H76" s="5" t="str">
        <f>'[1]B.kriteria &amp; R.kecocokan'!$B$72</f>
        <v>Rendah</v>
      </c>
      <c r="I76" s="5" t="str">
        <f>'[1]B.kriteria &amp; R.kecocokan'!$B$95</f>
        <v>Rendah</v>
      </c>
      <c r="J76" s="5" t="str">
        <f>'[1]B.kriteria &amp; R.kecocokan'!$B$80</f>
        <v>Rendah</v>
      </c>
      <c r="K76" s="5" t="str">
        <f>'[1]B.kriteria &amp; R.kecocokan'!$B$89</f>
        <v>Sedikit</v>
      </c>
      <c r="L76" s="5" t="str">
        <f>'[1]B.kriteria &amp; R.kecocokan'!$B$49</f>
        <v>Rendah</v>
      </c>
      <c r="M76" s="5" t="str">
        <f>'[1]B.kriteria &amp; R.kecocokan'!$B$57</f>
        <v>Rendah</v>
      </c>
      <c r="N76" s="6" t="str">
        <f>'[1]B.kriteria &amp; R.kecocokan'!$B$65</f>
        <v>Rendah</v>
      </c>
      <c r="O76" s="12" t="s">
        <v>18</v>
      </c>
    </row>
    <row r="77" spans="1:15" x14ac:dyDescent="0.35">
      <c r="A77" s="15">
        <v>75</v>
      </c>
      <c r="B77" s="8" t="str">
        <f>[1]Penghasilan!B15</f>
        <v>3523151403060759</v>
      </c>
      <c r="C77" s="8" t="s">
        <v>135</v>
      </c>
      <c r="D77" s="9" t="s">
        <v>26</v>
      </c>
      <c r="E77" s="4" t="str">
        <f>'[1]B.kriteria &amp; R.kecocokan'!$B$24</f>
        <v>Cukup</v>
      </c>
      <c r="F77" s="10" t="str">
        <f>'[1]B.kriteria &amp; R.kecocokan'!$B$34</f>
        <v>Tinggi</v>
      </c>
      <c r="G77" s="10" t="str">
        <f>'[1]B.kriteria &amp; R.kecocokan'!$B$43</f>
        <v>Tinggi</v>
      </c>
      <c r="H77" s="5" t="str">
        <f>'[1]B.kriteria &amp; R.kecocokan'!$B$72</f>
        <v>Rendah</v>
      </c>
      <c r="I77" s="5" t="str">
        <f>'[1]B.kriteria &amp; R.kecocokan'!$B$95</f>
        <v>Rendah</v>
      </c>
      <c r="J77" s="5" t="str">
        <f>'[1]B.kriteria &amp; R.kecocokan'!$B$80</f>
        <v>Rendah</v>
      </c>
      <c r="K77" s="10" t="str">
        <f>'[1]B.kriteria &amp; R.kecocokan'!$B$88</f>
        <v>Sedang</v>
      </c>
      <c r="L77" s="5" t="str">
        <f>'[1]B.kriteria &amp; R.kecocokan'!$B$49</f>
        <v>Rendah</v>
      </c>
      <c r="M77" s="5" t="str">
        <f>'[1]B.kriteria &amp; R.kecocokan'!$B$57</f>
        <v>Rendah</v>
      </c>
      <c r="N77" s="6" t="str">
        <f>'[1]B.kriteria &amp; R.kecocokan'!$B$65</f>
        <v>Rendah</v>
      </c>
      <c r="O77" s="12" t="s">
        <v>18</v>
      </c>
    </row>
    <row r="78" spans="1:15" x14ac:dyDescent="0.35">
      <c r="A78" s="15">
        <v>76</v>
      </c>
      <c r="B78" s="8" t="str">
        <f>[1]Penghasilan!B14</f>
        <v>3523152110200008</v>
      </c>
      <c r="C78" s="8" t="s">
        <v>136</v>
      </c>
      <c r="D78" s="9" t="s">
        <v>26</v>
      </c>
      <c r="E78" s="10" t="str">
        <f>'[1]B.kriteria &amp; R.kecocokan'!$B$23</f>
        <v>Banyak</v>
      </c>
      <c r="F78" s="10" t="str">
        <f>'[1]B.kriteria &amp; R.kecocokan'!$B$34</f>
        <v>Tinggi</v>
      </c>
      <c r="G78" s="5" t="str">
        <f>'[1]B.kriteria &amp; R.kecocokan'!$B$41</f>
        <v>Rendah</v>
      </c>
      <c r="H78" s="5" t="str">
        <f>'[1]B.kriteria &amp; R.kecocokan'!$B$72</f>
        <v>Rendah</v>
      </c>
      <c r="I78" s="5" t="str">
        <f>'[1]B.kriteria &amp; R.kecocokan'!$B$95</f>
        <v>Rendah</v>
      </c>
      <c r="J78" s="10" t="str">
        <f>'[1]B.kriteria &amp; R.kecocokan'!$B$81</f>
        <v>Tinggi</v>
      </c>
      <c r="K78" s="10" t="str">
        <f>'[1]B.kriteria &amp; R.kecocokan'!$B$88</f>
        <v>Sedang</v>
      </c>
      <c r="L78" s="5" t="str">
        <f>'[1]B.kriteria &amp; R.kecocokan'!$B$49</f>
        <v>Rendah</v>
      </c>
      <c r="M78" s="5" t="str">
        <f>'[1]B.kriteria &amp; R.kecocokan'!$B$57</f>
        <v>Rendah</v>
      </c>
      <c r="N78" s="6" t="str">
        <f>'[1]B.kriteria &amp; R.kecocokan'!$B$65</f>
        <v>Rendah</v>
      </c>
      <c r="O78" s="12" t="s">
        <v>18</v>
      </c>
    </row>
    <row r="79" spans="1:15" x14ac:dyDescent="0.35">
      <c r="A79" s="16">
        <v>77</v>
      </c>
      <c r="B79" s="8" t="str">
        <f>[1]Penghasilan!B16</f>
        <v>3523150508150003</v>
      </c>
      <c r="C79" s="8" t="s">
        <v>137</v>
      </c>
      <c r="D79" s="9" t="s">
        <v>26</v>
      </c>
      <c r="E79" s="4" t="str">
        <f>'[1]B.kriteria &amp; R.kecocokan'!$B$24</f>
        <v>Cukup</v>
      </c>
      <c r="F79" s="10" t="str">
        <f>'[1]B.kriteria &amp; R.kecocokan'!$B$34</f>
        <v>Tinggi</v>
      </c>
      <c r="G79" s="5" t="str">
        <f>'[1]B.kriteria &amp; R.kecocokan'!$B$41</f>
        <v>Rendah</v>
      </c>
      <c r="H79" s="5" t="str">
        <f>'[1]B.kriteria &amp; R.kecocokan'!$B$72</f>
        <v>Rendah</v>
      </c>
      <c r="I79" s="5" t="str">
        <f>'[1]B.kriteria &amp; R.kecocokan'!$B$95</f>
        <v>Rendah</v>
      </c>
      <c r="J79" s="10" t="str">
        <f>'[1]B.kriteria &amp; R.kecocokan'!$B$81</f>
        <v>Tinggi</v>
      </c>
      <c r="K79" s="10" t="str">
        <f>'[1]B.kriteria &amp; R.kecocokan'!$B$90</f>
        <v>Sangat Sedikit</v>
      </c>
      <c r="L79" s="5" t="str">
        <f>'[1]B.kriteria &amp; R.kecocokan'!$B$49</f>
        <v>Rendah</v>
      </c>
      <c r="M79" s="5" t="str">
        <f>'[1]B.kriteria &amp; R.kecocokan'!$B$57</f>
        <v>Rendah</v>
      </c>
      <c r="N79" s="6" t="str">
        <f>'[1]B.kriteria &amp; R.kecocokan'!$B$65</f>
        <v>Rendah</v>
      </c>
      <c r="O79" s="12" t="s">
        <v>18</v>
      </c>
    </row>
    <row r="80" spans="1:15" x14ac:dyDescent="0.35">
      <c r="A80" s="15">
        <v>78</v>
      </c>
      <c r="B80" s="8" t="str">
        <f>[1]Penghasilan!B11</f>
        <v>3523151403061497</v>
      </c>
      <c r="C80" s="8" t="s">
        <v>138</v>
      </c>
      <c r="D80" s="9" t="s">
        <v>123</v>
      </c>
      <c r="E80" s="4" t="str">
        <f>'[1]B.kriteria &amp; R.kecocokan'!$B$24</f>
        <v>Cukup</v>
      </c>
      <c r="F80" s="10" t="str">
        <f>'[1]B.kriteria &amp; R.kecocokan'!$B$34</f>
        <v>Tinggi</v>
      </c>
      <c r="G80" s="10" t="str">
        <f>'[1]B.kriteria &amp; R.kecocokan'!$B$43</f>
        <v>Tinggi</v>
      </c>
      <c r="H80" s="5" t="str">
        <f>'[1]B.kriteria &amp; R.kecocokan'!$B$72</f>
        <v>Rendah</v>
      </c>
      <c r="I80" s="5" t="str">
        <f>'[1]B.kriteria &amp; R.kecocokan'!$B$95</f>
        <v>Rendah</v>
      </c>
      <c r="J80" s="5" t="str">
        <f>'[1]B.kriteria &amp; R.kecocokan'!$B$80</f>
        <v>Rendah</v>
      </c>
      <c r="K80" s="10" t="str">
        <f>'[1]B.kriteria &amp; R.kecocokan'!$B$90</f>
        <v>Sangat Sedikit</v>
      </c>
      <c r="L80" s="5" t="str">
        <f>'[1]B.kriteria &amp; R.kecocokan'!$B$49</f>
        <v>Rendah</v>
      </c>
      <c r="M80" s="5" t="str">
        <f>'[1]B.kriteria &amp; R.kecocokan'!$B$57</f>
        <v>Rendah</v>
      </c>
      <c r="N80" s="6" t="str">
        <f>'[1]B.kriteria &amp; R.kecocokan'!$B$65</f>
        <v>Rendah</v>
      </c>
      <c r="O80" s="12" t="s">
        <v>18</v>
      </c>
    </row>
    <row r="81" spans="1:15" x14ac:dyDescent="0.35">
      <c r="A81" s="15">
        <v>79</v>
      </c>
      <c r="B81" s="8" t="str">
        <f>[1]Penghasilan!B24</f>
        <v>3523151403061467</v>
      </c>
      <c r="C81" s="8" t="s">
        <v>139</v>
      </c>
      <c r="D81" s="9" t="s">
        <v>26</v>
      </c>
      <c r="E81" s="13" t="str">
        <f>'[1]B.kriteria &amp; R.kecocokan'!$B$25</f>
        <v>Sedikit</v>
      </c>
      <c r="F81" s="10" t="str">
        <f>'[1]B.kriteria &amp; R.kecocokan'!$B$34</f>
        <v>Tinggi</v>
      </c>
      <c r="G81" s="5" t="str">
        <f>'[1]B.kriteria &amp; R.kecocokan'!$B$41</f>
        <v>Rendah</v>
      </c>
      <c r="H81" s="5" t="str">
        <f>'[1]B.kriteria &amp; R.kecocokan'!$B$72</f>
        <v>Rendah</v>
      </c>
      <c r="I81" s="5" t="str">
        <f>'[1]B.kriteria &amp; R.kecocokan'!$B$95</f>
        <v>Rendah</v>
      </c>
      <c r="J81" s="10" t="str">
        <f>'[1]B.kriteria &amp; R.kecocokan'!$B$81</f>
        <v>Tinggi</v>
      </c>
      <c r="K81" s="10" t="str">
        <f>'[1]B.kriteria &amp; R.kecocokan'!$B$90</f>
        <v>Sangat Sedikit</v>
      </c>
      <c r="L81" s="5" t="str">
        <f>'[1]B.kriteria &amp; R.kecocokan'!$B$49</f>
        <v>Rendah</v>
      </c>
      <c r="M81" s="10" t="str">
        <f>'[1]B.kriteria &amp; R.kecocokan'!$B$58</f>
        <v>Sedang</v>
      </c>
      <c r="N81" s="6" t="str">
        <f>'[1]B.kriteria &amp; R.kecocokan'!$B$65</f>
        <v>Rendah</v>
      </c>
      <c r="O81" s="12" t="s">
        <v>36</v>
      </c>
    </row>
    <row r="82" spans="1:15" x14ac:dyDescent="0.35">
      <c r="A82" s="16">
        <v>80</v>
      </c>
      <c r="B82" s="8" t="str">
        <f>[1]Penghasilan!B13</f>
        <v>3523151008120009</v>
      </c>
      <c r="C82" s="8" t="s">
        <v>140</v>
      </c>
      <c r="D82" s="9" t="s">
        <v>26</v>
      </c>
      <c r="E82" s="13" t="str">
        <f>'[1]B.kriteria &amp; R.kecocokan'!$B$25</f>
        <v>Sedikit</v>
      </c>
      <c r="F82" s="10" t="str">
        <f>'[1]B.kriteria &amp; R.kecocokan'!$B$34</f>
        <v>Tinggi</v>
      </c>
      <c r="G82" s="10" t="str">
        <f>'[1]B.kriteria &amp; R.kecocokan'!$B$43</f>
        <v>Tinggi</v>
      </c>
      <c r="H82" s="5" t="str">
        <f>'[1]B.kriteria &amp; R.kecocokan'!$B$72</f>
        <v>Rendah</v>
      </c>
      <c r="I82" s="10" t="str">
        <f>'[1]B.kriteria &amp; R.kecocokan'!$B$96</f>
        <v>Tinggi</v>
      </c>
      <c r="J82" s="5" t="str">
        <f>'[1]B.kriteria &amp; R.kecocokan'!$B$80</f>
        <v>Rendah</v>
      </c>
      <c r="K82" s="5" t="str">
        <f>'[1]B.kriteria &amp; R.kecocokan'!$B$89</f>
        <v>Sedikit</v>
      </c>
      <c r="L82" s="5" t="str">
        <f>'[1]B.kriteria &amp; R.kecocokan'!$B$49</f>
        <v>Rendah</v>
      </c>
      <c r="M82" s="5" t="str">
        <f>'[1]B.kriteria &amp; R.kecocokan'!$B$57</f>
        <v>Rendah</v>
      </c>
      <c r="N82" s="6" t="str">
        <f>'[1]B.kriteria &amp; R.kecocokan'!$B$65</f>
        <v>Rendah</v>
      </c>
      <c r="O82" s="12" t="s">
        <v>18</v>
      </c>
    </row>
    <row r="83" spans="1:15" x14ac:dyDescent="0.35">
      <c r="A83" s="15">
        <v>81</v>
      </c>
      <c r="B83" s="8" t="str">
        <f>[1]Penghasilan!B12</f>
        <v>3523151403061490</v>
      </c>
      <c r="C83" s="8" t="s">
        <v>141</v>
      </c>
      <c r="D83" s="9" t="s">
        <v>26</v>
      </c>
      <c r="E83" s="13" t="str">
        <f>'[1]B.kriteria &amp; R.kecocokan'!$B$25</f>
        <v>Sedikit</v>
      </c>
      <c r="F83" s="10" t="str">
        <f>'[1]B.kriteria &amp; R.kecocokan'!$B$34</f>
        <v>Tinggi</v>
      </c>
      <c r="G83" s="5" t="str">
        <f>'[1]B.kriteria &amp; R.kecocokan'!$B$41</f>
        <v>Rendah</v>
      </c>
      <c r="H83" s="5" t="str">
        <f>'[1]B.kriteria &amp; R.kecocokan'!$B$72</f>
        <v>Rendah</v>
      </c>
      <c r="I83" s="5" t="str">
        <f>'[1]B.kriteria &amp; R.kecocokan'!$B$95</f>
        <v>Rendah</v>
      </c>
      <c r="J83" s="10" t="str">
        <f>'[1]B.kriteria &amp; R.kecocokan'!$B$81</f>
        <v>Tinggi</v>
      </c>
      <c r="K83" s="10" t="str">
        <f>'[1]B.kriteria &amp; R.kecocokan'!$B$90</f>
        <v>Sangat Sedikit</v>
      </c>
      <c r="L83" s="5" t="str">
        <f>'[1]B.kriteria &amp; R.kecocokan'!$B$49</f>
        <v>Rendah</v>
      </c>
      <c r="M83" s="5" t="str">
        <f>'[1]B.kriteria &amp; R.kecocokan'!$B$57</f>
        <v>Rendah</v>
      </c>
      <c r="N83" s="6" t="str">
        <f>'[1]B.kriteria &amp; R.kecocokan'!$B$65</f>
        <v>Rendah</v>
      </c>
      <c r="O83" s="12" t="s">
        <v>18</v>
      </c>
    </row>
    <row r="84" spans="1:15" x14ac:dyDescent="0.35">
      <c r="A84" s="15">
        <v>82</v>
      </c>
      <c r="B84" s="8" t="str">
        <f>[1]Penghasilan!B6</f>
        <v>3523151309090184</v>
      </c>
      <c r="C84" s="8" t="s">
        <v>142</v>
      </c>
      <c r="D84" s="9" t="s">
        <v>26</v>
      </c>
      <c r="E84" s="13" t="str">
        <f>'[1]B.kriteria &amp; R.kecocokan'!$B$25</f>
        <v>Sedikit</v>
      </c>
      <c r="F84" s="10" t="str">
        <f>'[1]B.kriteria &amp; R.kecocokan'!$B$34</f>
        <v>Tinggi</v>
      </c>
      <c r="G84" s="5" t="str">
        <f>'[1]B.kriteria &amp; R.kecocokan'!$B$41</f>
        <v>Rendah</v>
      </c>
      <c r="H84" s="5" t="str">
        <f>'[1]B.kriteria &amp; R.kecocokan'!$B$72</f>
        <v>Rendah</v>
      </c>
      <c r="I84" s="5" t="str">
        <f>'[1]B.kriteria &amp; R.kecocokan'!$B$95</f>
        <v>Rendah</v>
      </c>
      <c r="J84" s="5" t="str">
        <f>'[1]B.kriteria &amp; R.kecocokan'!$B$80</f>
        <v>Rendah</v>
      </c>
      <c r="K84" s="10" t="str">
        <f>'[1]B.kriteria &amp; R.kecocokan'!$B$88</f>
        <v>Sedang</v>
      </c>
      <c r="L84" s="5" t="str">
        <f>'[1]B.kriteria &amp; R.kecocokan'!$B$49</f>
        <v>Rendah</v>
      </c>
      <c r="M84" s="5" t="str">
        <f>'[1]B.kriteria &amp; R.kecocokan'!$B$57</f>
        <v>Rendah</v>
      </c>
      <c r="N84" s="6" t="str">
        <f>'[1]B.kriteria &amp; R.kecocokan'!$B$65</f>
        <v>Rendah</v>
      </c>
      <c r="O84" s="12" t="s">
        <v>18</v>
      </c>
    </row>
    <row r="85" spans="1:15" x14ac:dyDescent="0.35">
      <c r="A85" s="16">
        <v>83</v>
      </c>
      <c r="B85" s="8" t="str">
        <f>[1]Penghasilan!B26</f>
        <v>3523151309090126</v>
      </c>
      <c r="C85" s="8" t="s">
        <v>143</v>
      </c>
      <c r="D85" s="9" t="s">
        <v>26</v>
      </c>
      <c r="E85" s="4" t="str">
        <f>'[1]B.kriteria &amp; R.kecocokan'!$B$24</f>
        <v>Cukup</v>
      </c>
      <c r="F85" s="10" t="str">
        <f>'[1]B.kriteria &amp; R.kecocokan'!$B$34</f>
        <v>Tinggi</v>
      </c>
      <c r="G85" s="5" t="str">
        <f>'[1]B.kriteria &amp; R.kecocokan'!$B$41</f>
        <v>Rendah</v>
      </c>
      <c r="H85" s="5" t="str">
        <f>'[1]B.kriteria &amp; R.kecocokan'!$B$72</f>
        <v>Rendah</v>
      </c>
      <c r="I85" s="5" t="str">
        <f>'[1]B.kriteria &amp; R.kecocokan'!$B$95</f>
        <v>Rendah</v>
      </c>
      <c r="J85" s="5" t="str">
        <f>'[1]B.kriteria &amp; R.kecocokan'!$B$80</f>
        <v>Rendah</v>
      </c>
      <c r="K85" s="5" t="str">
        <f>'[1]B.kriteria &amp; R.kecocokan'!$B$89</f>
        <v>Sedikit</v>
      </c>
      <c r="L85" s="5" t="str">
        <f>'[1]B.kriteria &amp; R.kecocokan'!$B$49</f>
        <v>Rendah</v>
      </c>
      <c r="M85" s="10" t="str">
        <f>'[1]B.kriteria &amp; R.kecocokan'!$B$58</f>
        <v>Sedang</v>
      </c>
      <c r="N85" s="6" t="str">
        <f>'[1]B.kriteria &amp; R.kecocokan'!$B$65</f>
        <v>Rendah</v>
      </c>
      <c r="O85" s="12" t="s">
        <v>36</v>
      </c>
    </row>
    <row r="86" spans="1:15" x14ac:dyDescent="0.35">
      <c r="A86" s="15">
        <v>84</v>
      </c>
      <c r="B86" s="8" t="str">
        <f>[1]Penghasilan!B6</f>
        <v>3523151309090184</v>
      </c>
      <c r="C86" s="8" t="s">
        <v>144</v>
      </c>
      <c r="D86" s="9" t="s">
        <v>26</v>
      </c>
      <c r="E86" s="4" t="str">
        <f>'[1]B.kriteria &amp; R.kecocokan'!$B$24</f>
        <v>Cukup</v>
      </c>
      <c r="F86" s="10" t="str">
        <f>'[1]B.kriteria &amp; R.kecocokan'!$B$34</f>
        <v>Tinggi</v>
      </c>
      <c r="G86" s="5" t="str">
        <f>'[1]B.kriteria &amp; R.kecocokan'!$B$41</f>
        <v>Rendah</v>
      </c>
      <c r="H86" s="5" t="str">
        <f>'[1]B.kriteria &amp; R.kecocokan'!$B$72</f>
        <v>Rendah</v>
      </c>
      <c r="I86" s="5" t="str">
        <f>'[1]B.kriteria &amp; R.kecocokan'!$B$95</f>
        <v>Rendah</v>
      </c>
      <c r="J86" s="5" t="str">
        <f>'[1]B.kriteria &amp; R.kecocokan'!$B$80</f>
        <v>Rendah</v>
      </c>
      <c r="K86" s="10" t="str">
        <f>'[1]B.kriteria &amp; R.kecocokan'!$B$90</f>
        <v>Sangat Sedikit</v>
      </c>
      <c r="L86" s="5" t="str">
        <f>'[1]B.kriteria &amp; R.kecocokan'!$B$49</f>
        <v>Rendah</v>
      </c>
      <c r="M86" s="5" t="str">
        <f>'[1]B.kriteria &amp; R.kecocokan'!$B$57</f>
        <v>Rendah</v>
      </c>
      <c r="N86" s="6" t="str">
        <f>'[1]B.kriteria &amp; R.kecocokan'!$B$65</f>
        <v>Rendah</v>
      </c>
      <c r="O86" s="12" t="s">
        <v>18</v>
      </c>
    </row>
    <row r="87" spans="1:15" x14ac:dyDescent="0.35">
      <c r="A87" s="15">
        <v>85</v>
      </c>
      <c r="B87" s="8" t="str">
        <f>[1]Penghasilan!B17</f>
        <v>3523151403060761</v>
      </c>
      <c r="C87" s="8" t="s">
        <v>145</v>
      </c>
      <c r="D87" s="9" t="s">
        <v>26</v>
      </c>
      <c r="E87" s="10" t="str">
        <f>'[1]B.kriteria &amp; R.kecocokan'!$B$23</f>
        <v>Banyak</v>
      </c>
      <c r="F87" s="10" t="str">
        <f>'[1]B.kriteria &amp; R.kecocokan'!$B$34</f>
        <v>Tinggi</v>
      </c>
      <c r="G87" s="5" t="str">
        <f>'[1]B.kriteria &amp; R.kecocokan'!$B$41</f>
        <v>Rendah</v>
      </c>
      <c r="H87" s="5" t="str">
        <f>'[1]B.kriteria &amp; R.kecocokan'!$B$72</f>
        <v>Rendah</v>
      </c>
      <c r="I87" s="10" t="str">
        <f>'[1]B.kriteria &amp; R.kecocokan'!$B$96</f>
        <v>Tinggi</v>
      </c>
      <c r="J87" s="5" t="str">
        <f>'[1]B.kriteria &amp; R.kecocokan'!$B$80</f>
        <v>Rendah</v>
      </c>
      <c r="K87" s="10" t="str">
        <f>'[1]B.kriteria &amp; R.kecocokan'!$B$90</f>
        <v>Sangat Sedikit</v>
      </c>
      <c r="L87" s="5" t="str">
        <f>'[1]B.kriteria &amp; R.kecocokan'!$B$49</f>
        <v>Rendah</v>
      </c>
      <c r="M87" s="5" t="str">
        <f>'[1]B.kriteria &amp; R.kecocokan'!$B$57</f>
        <v>Rendah</v>
      </c>
      <c r="N87" s="6" t="str">
        <f>'[1]B.kriteria &amp; R.kecocokan'!$B$65</f>
        <v>Rendah</v>
      </c>
      <c r="O87" s="12" t="s">
        <v>18</v>
      </c>
    </row>
    <row r="88" spans="1:15" x14ac:dyDescent="0.35">
      <c r="A88" s="16">
        <v>86</v>
      </c>
      <c r="B88" s="8" t="str">
        <f>[1]Penghasilan!B20</f>
        <v>3523151409180003</v>
      </c>
      <c r="C88" s="8" t="s">
        <v>146</v>
      </c>
      <c r="D88" s="9" t="s">
        <v>26</v>
      </c>
      <c r="E88" s="13" t="str">
        <f>'[1]B.kriteria &amp; R.kecocokan'!$B$25</f>
        <v>Sedikit</v>
      </c>
      <c r="F88" s="10" t="str">
        <f>'[1]B.kriteria &amp; R.kecocokan'!$B$34</f>
        <v>Tinggi</v>
      </c>
      <c r="G88" s="5" t="str">
        <f>'[1]B.kriteria &amp; R.kecocokan'!$B$41</f>
        <v>Rendah</v>
      </c>
      <c r="H88" s="5" t="str">
        <f>'[1]B.kriteria &amp; R.kecocokan'!$B$72</f>
        <v>Rendah</v>
      </c>
      <c r="I88" s="5" t="str">
        <f>'[1]B.kriteria &amp; R.kecocokan'!$B$95</f>
        <v>Rendah</v>
      </c>
      <c r="J88" s="10" t="str">
        <f>'[1]B.kriteria &amp; R.kecocokan'!$B$81</f>
        <v>Tinggi</v>
      </c>
      <c r="K88" s="10" t="str">
        <f>'[1]B.kriteria &amp; R.kecocokan'!$B$90</f>
        <v>Sangat Sedikit</v>
      </c>
      <c r="L88" s="5" t="str">
        <f>'[1]B.kriteria &amp; R.kecocokan'!$B$49</f>
        <v>Rendah</v>
      </c>
      <c r="M88" s="5" t="str">
        <f>'[1]B.kriteria &amp; R.kecocokan'!$B$57</f>
        <v>Rendah</v>
      </c>
      <c r="N88" s="6" t="str">
        <f>'[1]B.kriteria &amp; R.kecocokan'!$B$65</f>
        <v>Rendah</v>
      </c>
      <c r="O88" s="12" t="s">
        <v>36</v>
      </c>
    </row>
    <row r="89" spans="1:15" x14ac:dyDescent="0.35">
      <c r="A89" s="15">
        <v>87</v>
      </c>
      <c r="B89" s="8" t="str">
        <f>[1]Penghasilan!B19</f>
        <v>3523152901190003</v>
      </c>
      <c r="C89" s="8" t="s">
        <v>147</v>
      </c>
      <c r="D89" s="9" t="s">
        <v>148</v>
      </c>
      <c r="E89" s="13" t="str">
        <f>'[1]B.kriteria &amp; R.kecocokan'!$B$25</f>
        <v>Sedikit</v>
      </c>
      <c r="F89" s="10" t="str">
        <f>'[1]B.kriteria &amp; R.kecocokan'!$B$35</f>
        <v>Sangat Tinggi</v>
      </c>
      <c r="G89" s="10" t="str">
        <f>'[1]B.kriteria &amp; R.kecocokan'!$B$43</f>
        <v>Tinggi</v>
      </c>
      <c r="H89" s="5" t="str">
        <f>'[1]B.kriteria &amp; R.kecocokan'!$B$72</f>
        <v>Rendah</v>
      </c>
      <c r="I89" s="5" t="str">
        <f>'[1]B.kriteria &amp; R.kecocokan'!$B$95</f>
        <v>Rendah</v>
      </c>
      <c r="J89" s="5" t="str">
        <f>'[1]B.kriteria &amp; R.kecocokan'!$B$80</f>
        <v>Rendah</v>
      </c>
      <c r="K89" s="5" t="str">
        <f>'[1]B.kriteria &amp; R.kecocokan'!$B$89</f>
        <v>Sedikit</v>
      </c>
      <c r="L89" s="5" t="str">
        <f>'[1]B.kriteria &amp; R.kecocokan'!$B$49</f>
        <v>Rendah</v>
      </c>
      <c r="M89" s="5" t="str">
        <f>'[1]B.kriteria &amp; R.kecocokan'!$B$57</f>
        <v>Rendah</v>
      </c>
      <c r="N89" s="6" t="str">
        <f>'[1]B.kriteria &amp; R.kecocokan'!$B$65</f>
        <v>Rendah</v>
      </c>
      <c r="O89" s="12" t="s">
        <v>18</v>
      </c>
    </row>
    <row r="90" spans="1:15" x14ac:dyDescent="0.35">
      <c r="A90" s="15">
        <v>88</v>
      </c>
      <c r="B90" s="14" t="str">
        <f>[1]Penghasilan!B7</f>
        <v>3523152906120006</v>
      </c>
      <c r="C90" s="14" t="s">
        <v>20</v>
      </c>
      <c r="D90" s="9" t="s">
        <v>148</v>
      </c>
      <c r="E90" s="13" t="str">
        <f>'[1]B.kriteria &amp; R.kecocokan'!$B$25</f>
        <v>Sedikit</v>
      </c>
      <c r="F90" s="10" t="str">
        <f>'[1]B.kriteria &amp; R.kecocokan'!$B$35</f>
        <v>Sangat Tinggi</v>
      </c>
      <c r="G90" s="5" t="str">
        <f>'[1]B.kriteria &amp; R.kecocokan'!$B$41</f>
        <v>Rendah</v>
      </c>
      <c r="H90" s="5" t="str">
        <f>'[1]B.kriteria &amp; R.kecocokan'!$B$72</f>
        <v>Rendah</v>
      </c>
      <c r="I90" s="5" t="str">
        <f>'[1]B.kriteria &amp; R.kecocokan'!$B$95</f>
        <v>Rendah</v>
      </c>
      <c r="J90" s="10" t="str">
        <f>'[1]B.kriteria &amp; R.kecocokan'!$B$81</f>
        <v>Tinggi</v>
      </c>
      <c r="K90" s="10" t="str">
        <f>'[1]B.kriteria &amp; R.kecocokan'!$B$90</f>
        <v>Sangat Sedikit</v>
      </c>
      <c r="L90" s="10" t="str">
        <f>'[1]B.kriteria &amp; R.kecocokan'!$B$51</f>
        <v>Tinggi</v>
      </c>
      <c r="M90" s="10" t="str">
        <f>'[1]B.kriteria &amp; R.kecocokan'!$B$59</f>
        <v>Tinggi</v>
      </c>
      <c r="N90" s="6" t="str">
        <f>'[1]B.kriteria &amp; R.kecocokan'!$B$65</f>
        <v>Rendah</v>
      </c>
      <c r="O90" s="12" t="s">
        <v>36</v>
      </c>
    </row>
    <row r="91" spans="1:15" x14ac:dyDescent="0.35">
      <c r="A91" s="16">
        <v>89</v>
      </c>
      <c r="B91" s="8" t="str">
        <f>[1]Penghasilan!B5</f>
        <v>No KK</v>
      </c>
      <c r="C91" s="8" t="s">
        <v>149</v>
      </c>
      <c r="D91" s="9" t="s">
        <v>26</v>
      </c>
      <c r="E91" s="4" t="str">
        <f>'[1]B.kriteria &amp; R.kecocokan'!$B$24</f>
        <v>Cukup</v>
      </c>
      <c r="F91" s="10" t="str">
        <f>'[1]B.kriteria &amp; R.kecocokan'!$B$34</f>
        <v>Tinggi</v>
      </c>
      <c r="G91" s="5" t="str">
        <f>'[1]B.kriteria &amp; R.kecocokan'!$B$41</f>
        <v>Rendah</v>
      </c>
      <c r="H91" s="5" t="str">
        <f>'[1]B.kriteria &amp; R.kecocokan'!$B$72</f>
        <v>Rendah</v>
      </c>
      <c r="I91" s="5" t="str">
        <f>'[1]B.kriteria &amp; R.kecocokan'!$B$95</f>
        <v>Rendah</v>
      </c>
      <c r="J91" s="10" t="str">
        <f>'[1]B.kriteria &amp; R.kecocokan'!$B$81</f>
        <v>Tinggi</v>
      </c>
      <c r="K91" s="10" t="str">
        <f>'[1]B.kriteria &amp; R.kecocokan'!$B$90</f>
        <v>Sangat Sedikit</v>
      </c>
      <c r="L91" s="5" t="str">
        <f>'[1]B.kriteria &amp; R.kecocokan'!$B$49</f>
        <v>Rendah</v>
      </c>
      <c r="M91" s="5" t="str">
        <f>'[1]B.kriteria &amp; R.kecocokan'!$B$57</f>
        <v>Rendah</v>
      </c>
      <c r="N91" s="6" t="str">
        <f>'[1]B.kriteria &amp; R.kecocokan'!$B$65</f>
        <v>Rendah</v>
      </c>
      <c r="O91" s="12" t="s">
        <v>18</v>
      </c>
    </row>
    <row r="92" spans="1:15" x14ac:dyDescent="0.35">
      <c r="A92" s="15">
        <v>90</v>
      </c>
      <c r="B92" s="14" t="str">
        <f>[1]Penghasilan!B8</f>
        <v>3523151403061499</v>
      </c>
      <c r="C92" s="14" t="s">
        <v>150</v>
      </c>
      <c r="D92" s="9" t="s">
        <v>26</v>
      </c>
      <c r="E92" s="13" t="str">
        <f>'[1]B.kriteria &amp; R.kecocokan'!$B$25</f>
        <v>Sedikit</v>
      </c>
      <c r="F92" s="10" t="str">
        <f>'[1]B.kriteria &amp; R.kecocokan'!$B$35</f>
        <v>Sangat Tinggi</v>
      </c>
      <c r="G92" s="5" t="str">
        <f>'[1]B.kriteria &amp; R.kecocokan'!$B$41</f>
        <v>Rendah</v>
      </c>
      <c r="H92" s="5" t="str">
        <f>'[1]B.kriteria &amp; R.kecocokan'!$B$72</f>
        <v>Rendah</v>
      </c>
      <c r="I92" s="5" t="str">
        <f>'[1]B.kriteria &amp; R.kecocokan'!$B$95</f>
        <v>Rendah</v>
      </c>
      <c r="J92" s="10" t="str">
        <f>'[1]B.kriteria &amp; R.kecocokan'!$B$81</f>
        <v>Tinggi</v>
      </c>
      <c r="K92" s="10" t="str">
        <f>'[1]B.kriteria &amp; R.kecocokan'!$B$90</f>
        <v>Sangat Sedikit</v>
      </c>
      <c r="L92" s="10" t="str">
        <f>'[1]B.kriteria &amp; R.kecocokan'!$B$51</f>
        <v>Tinggi</v>
      </c>
      <c r="M92" s="10" t="str">
        <f>'[1]B.kriteria &amp; R.kecocokan'!$B$59</f>
        <v>Tinggi</v>
      </c>
      <c r="N92" s="6" t="str">
        <f>'[1]B.kriteria &amp; R.kecocokan'!$B$65</f>
        <v>Rendah</v>
      </c>
      <c r="O92" s="12" t="s">
        <v>36</v>
      </c>
    </row>
    <row r="93" spans="1:15" x14ac:dyDescent="0.35">
      <c r="A93" s="15">
        <v>91</v>
      </c>
      <c r="B93" s="8" t="str">
        <f>[1]Penghasilan!B9</f>
        <v>3523151403061502</v>
      </c>
      <c r="C93" s="8" t="s">
        <v>151</v>
      </c>
      <c r="D93" s="9" t="s">
        <v>26</v>
      </c>
      <c r="E93" s="13" t="str">
        <f>'[1]B.kriteria &amp; R.kecocokan'!$B$25</f>
        <v>Sedikit</v>
      </c>
      <c r="F93" s="10" t="str">
        <f>'[1]B.kriteria &amp; R.kecocokan'!$B$34</f>
        <v>Tinggi</v>
      </c>
      <c r="G93" s="5" t="str">
        <f>'[1]B.kriteria &amp; R.kecocokan'!$B$41</f>
        <v>Rendah</v>
      </c>
      <c r="H93" s="5" t="str">
        <f>'[1]B.kriteria &amp; R.kecocokan'!$B$72</f>
        <v>Rendah</v>
      </c>
      <c r="I93" s="5" t="str">
        <f>'[1]B.kriteria &amp; R.kecocokan'!$B$95</f>
        <v>Rendah</v>
      </c>
      <c r="J93" s="10" t="str">
        <f>'[1]B.kriteria &amp; R.kecocokan'!$B$81</f>
        <v>Tinggi</v>
      </c>
      <c r="K93" s="10" t="str">
        <f>'[1]B.kriteria &amp; R.kecocokan'!$B$90</f>
        <v>Sangat Sedikit</v>
      </c>
      <c r="L93" s="5" t="str">
        <f>'[1]B.kriteria &amp; R.kecocokan'!$B$49</f>
        <v>Rendah</v>
      </c>
      <c r="M93" s="10" t="str">
        <f>'[1]B.kriteria &amp; R.kecocokan'!$B$58</f>
        <v>Sedang</v>
      </c>
      <c r="N93" s="6" t="str">
        <f>'[1]B.kriteria &amp; R.kecocokan'!$B$65</f>
        <v>Rendah</v>
      </c>
      <c r="O93" s="12" t="s">
        <v>36</v>
      </c>
    </row>
    <row r="94" spans="1:15" x14ac:dyDescent="0.35">
      <c r="A94" s="16">
        <v>92</v>
      </c>
      <c r="B94" s="8" t="str">
        <f>[1]Penghasilan!B10</f>
        <v>3523151403061500</v>
      </c>
      <c r="C94" s="8" t="s">
        <v>152</v>
      </c>
      <c r="D94" s="9" t="s">
        <v>26</v>
      </c>
      <c r="E94" s="13" t="str">
        <f>'[1]B.kriteria &amp; R.kecocokan'!$B$25</f>
        <v>Sedikit</v>
      </c>
      <c r="F94" s="10" t="str">
        <f>'[1]B.kriteria &amp; R.kecocokan'!$B$34</f>
        <v>Tinggi</v>
      </c>
      <c r="G94" s="5" t="str">
        <f>'[1]B.kriteria &amp; R.kecocokan'!$B$41</f>
        <v>Rendah</v>
      </c>
      <c r="H94" s="5" t="str">
        <f>'[1]B.kriteria &amp; R.kecocokan'!$B$72</f>
        <v>Rendah</v>
      </c>
      <c r="I94" s="5" t="str">
        <f>'[1]B.kriteria &amp; R.kecocokan'!$B$95</f>
        <v>Rendah</v>
      </c>
      <c r="J94" s="5" t="str">
        <f>'[1]B.kriteria &amp; R.kecocokan'!$B$80</f>
        <v>Rendah</v>
      </c>
      <c r="K94" s="10" t="str">
        <f>'[1]B.kriteria &amp; R.kecocokan'!$B$88</f>
        <v>Sedang</v>
      </c>
      <c r="L94" s="5" t="str">
        <f>'[1]B.kriteria &amp; R.kecocokan'!$B$49</f>
        <v>Rendah</v>
      </c>
      <c r="M94" s="10" t="str">
        <f>'[1]B.kriteria &amp; R.kecocokan'!$B$58</f>
        <v>Sedang</v>
      </c>
      <c r="N94" s="6" t="str">
        <f>'[1]B.kriteria &amp; R.kecocokan'!$B$65</f>
        <v>Rendah</v>
      </c>
      <c r="O94" s="12" t="s">
        <v>36</v>
      </c>
    </row>
    <row r="95" spans="1:15" x14ac:dyDescent="0.35">
      <c r="A95" s="18">
        <v>93</v>
      </c>
      <c r="B95" s="19" t="str">
        <f>[1]Penghasilan!B23</f>
        <v>3523151503061503</v>
      </c>
      <c r="C95" s="19" t="s">
        <v>153</v>
      </c>
      <c r="D95" s="20" t="s">
        <v>26</v>
      </c>
      <c r="E95" s="21" t="str">
        <f>'[1]B.kriteria &amp; R.kecocokan'!$B$23</f>
        <v>Banyak</v>
      </c>
      <c r="F95" s="21" t="str">
        <f>'[1]B.kriteria &amp; R.kecocokan'!$B$34</f>
        <v>Tinggi</v>
      </c>
      <c r="G95" s="22" t="str">
        <f>'[1]B.kriteria &amp; R.kecocokan'!$B$41</f>
        <v>Rendah</v>
      </c>
      <c r="H95" s="22" t="str">
        <f>'[1]B.kriteria &amp; R.kecocokan'!$B$72</f>
        <v>Rendah</v>
      </c>
      <c r="I95" s="22" t="str">
        <f>'[1]B.kriteria &amp; R.kecocokan'!$B$95</f>
        <v>Rendah</v>
      </c>
      <c r="J95" s="22" t="str">
        <f>'[1]B.kriteria &amp; R.kecocokan'!$B$80</f>
        <v>Rendah</v>
      </c>
      <c r="K95" s="21" t="str">
        <f>'[1]B.kriteria &amp; R.kecocokan'!$B$88</f>
        <v>Sedang</v>
      </c>
      <c r="L95" s="22" t="str">
        <f>'[1]B.kriteria &amp; R.kecocokan'!$B$49</f>
        <v>Rendah</v>
      </c>
      <c r="M95" s="22" t="str">
        <f>'[1]B.kriteria &amp; R.kecocokan'!$B$57</f>
        <v>Rendah</v>
      </c>
      <c r="N95" s="23" t="str">
        <f>'[1]B.kriteria &amp; R.kecocokan'!$B$65</f>
        <v>Rendah</v>
      </c>
      <c r="O95" s="24" t="s">
        <v>18</v>
      </c>
    </row>
    <row r="98" spans="1:23" ht="29.5" thickBot="1" x14ac:dyDescent="0.4">
      <c r="A98" s="25" t="s">
        <v>0</v>
      </c>
      <c r="B98" s="26" t="s">
        <v>1</v>
      </c>
      <c r="C98" s="27" t="s">
        <v>2</v>
      </c>
      <c r="D98" s="26" t="s">
        <v>3</v>
      </c>
      <c r="E98" s="26" t="s">
        <v>4</v>
      </c>
      <c r="F98" s="27" t="s">
        <v>5</v>
      </c>
      <c r="G98" s="27" t="s">
        <v>6</v>
      </c>
      <c r="H98" s="27" t="s">
        <v>7</v>
      </c>
      <c r="I98" s="27" t="s">
        <v>8</v>
      </c>
      <c r="J98" s="27" t="s">
        <v>9</v>
      </c>
      <c r="K98" s="27" t="s">
        <v>10</v>
      </c>
      <c r="L98" s="27" t="s">
        <v>11</v>
      </c>
      <c r="M98" s="27" t="s">
        <v>12</v>
      </c>
      <c r="N98" s="28" t="s">
        <v>13</v>
      </c>
      <c r="O98" s="29" t="s">
        <v>14</v>
      </c>
      <c r="Q98" s="30" t="s">
        <v>176</v>
      </c>
      <c r="R98" s="30"/>
      <c r="S98" s="31" t="s">
        <v>155</v>
      </c>
      <c r="T98" s="31" t="s">
        <v>156</v>
      </c>
      <c r="U98" s="32" t="s">
        <v>157</v>
      </c>
      <c r="V98" s="31" t="s">
        <v>158</v>
      </c>
      <c r="W98" s="31" t="s">
        <v>159</v>
      </c>
    </row>
    <row r="99" spans="1:23" ht="15" hidden="1" thickTop="1" x14ac:dyDescent="0.35">
      <c r="A99" s="15">
        <v>1</v>
      </c>
      <c r="B99" s="1" t="s">
        <v>15</v>
      </c>
      <c r="C99" s="2" t="s">
        <v>16</v>
      </c>
      <c r="D99" s="3" t="s">
        <v>17</v>
      </c>
      <c r="E99" s="4" t="str">
        <f>'[1]B.kriteria &amp; R.kecocokan'!$B$24</f>
        <v>Cukup</v>
      </c>
      <c r="F99" s="5" t="str">
        <f>'[1]B.kriteria &amp; R.kecocokan'!$B$34</f>
        <v>Tinggi</v>
      </c>
      <c r="G99" s="5" t="str">
        <f>'[1]B.kriteria &amp; R.kecocokan'!$B$41</f>
        <v>Rendah</v>
      </c>
      <c r="H99" s="5" t="str">
        <f>'[1]B.kriteria &amp; R.kecocokan'!$B$72</f>
        <v>Rendah</v>
      </c>
      <c r="I99" s="5" t="str">
        <f>'[1]B.kriteria &amp; R.kecocokan'!$B$95</f>
        <v>Rendah</v>
      </c>
      <c r="J99" s="5" t="str">
        <f>'[1]B.kriteria &amp; R.kecocokan'!$B$80</f>
        <v>Rendah</v>
      </c>
      <c r="K99" s="5" t="str">
        <f>'[1]B.kriteria &amp; R.kecocokan'!$B$89</f>
        <v>Sedikit</v>
      </c>
      <c r="L99" s="5" t="str">
        <f>'[1]B.kriteria &amp; R.kecocokan'!$B$49</f>
        <v>Rendah</v>
      </c>
      <c r="M99" s="5" t="str">
        <f>'[1]B.kriteria &amp; R.kecocokan'!$B$57</f>
        <v>Rendah</v>
      </c>
      <c r="N99" s="6" t="str">
        <f>'[1]B.kriteria &amp; R.kecocokan'!$B$65</f>
        <v>Rendah</v>
      </c>
      <c r="O99" s="17" t="s">
        <v>18</v>
      </c>
    </row>
    <row r="100" spans="1:23" ht="15" hidden="1" thickTop="1" x14ac:dyDescent="0.35">
      <c r="A100" s="16">
        <v>2</v>
      </c>
      <c r="B100" s="7" t="s">
        <v>19</v>
      </c>
      <c r="C100" s="8" t="s">
        <v>20</v>
      </c>
      <c r="D100" s="9" t="s">
        <v>17</v>
      </c>
      <c r="E100" s="4" t="str">
        <f>'[1]B.kriteria &amp; R.kecocokan'!$B$24</f>
        <v>Cukup</v>
      </c>
      <c r="F100" s="10" t="str">
        <f>'[1]B.kriteria &amp; R.kecocokan'!$B$34</f>
        <v>Tinggi</v>
      </c>
      <c r="G100" s="5" t="str">
        <f>'[1]B.kriteria &amp; R.kecocokan'!$B$41</f>
        <v>Rendah</v>
      </c>
      <c r="H100" s="5" t="str">
        <f>'[1]B.kriteria &amp; R.kecocokan'!$B$72</f>
        <v>Rendah</v>
      </c>
      <c r="I100" s="5" t="str">
        <f>'[1]B.kriteria &amp; R.kecocokan'!$B$95</f>
        <v>Rendah</v>
      </c>
      <c r="J100" s="10" t="str">
        <f>'[1]B.kriteria &amp; R.kecocokan'!$B$81</f>
        <v>Tinggi</v>
      </c>
      <c r="K100" s="10" t="str">
        <f>'[1]B.kriteria &amp; R.kecocokan'!$B$90</f>
        <v>Sangat Sedikit</v>
      </c>
      <c r="L100" s="5" t="str">
        <f>'[1]B.kriteria &amp; R.kecocokan'!$B$49</f>
        <v>Rendah</v>
      </c>
      <c r="M100" s="5" t="str">
        <f>'[1]B.kriteria &amp; R.kecocokan'!$B$57</f>
        <v>Rendah</v>
      </c>
      <c r="N100" s="6" t="str">
        <f>'[1]B.kriteria &amp; R.kecocokan'!$B$65</f>
        <v>Rendah</v>
      </c>
      <c r="O100" s="12" t="s">
        <v>18</v>
      </c>
    </row>
    <row r="101" spans="1:23" ht="15" hidden="1" thickTop="1" x14ac:dyDescent="0.35">
      <c r="A101" s="15">
        <v>3</v>
      </c>
      <c r="B101" s="7" t="s">
        <v>21</v>
      </c>
      <c r="C101" s="8" t="s">
        <v>22</v>
      </c>
      <c r="D101" s="9" t="s">
        <v>17</v>
      </c>
      <c r="E101" s="10" t="str">
        <f>'[1]B.kriteria &amp; R.kecocokan'!$B$23</f>
        <v>Banyak</v>
      </c>
      <c r="F101" s="10" t="str">
        <f>'[1]B.kriteria &amp; R.kecocokan'!$B$34</f>
        <v>Tinggi</v>
      </c>
      <c r="G101" s="5" t="str">
        <f>'[1]B.kriteria &amp; R.kecocokan'!$B$41</f>
        <v>Rendah</v>
      </c>
      <c r="H101" s="5" t="str">
        <f>'[1]B.kriteria &amp; R.kecocokan'!$B$72</f>
        <v>Rendah</v>
      </c>
      <c r="I101" s="5" t="str">
        <f>'[1]B.kriteria &amp; R.kecocokan'!$B$95</f>
        <v>Rendah</v>
      </c>
      <c r="J101" s="5" t="str">
        <f>'[1]B.kriteria &amp; R.kecocokan'!$B$80</f>
        <v>Rendah</v>
      </c>
      <c r="K101" s="10" t="str">
        <f>'[1]B.kriteria &amp; R.kecocokan'!$B$90</f>
        <v>Sangat Sedikit</v>
      </c>
      <c r="L101" s="5" t="str">
        <f>'[1]B.kriteria &amp; R.kecocokan'!$B$49</f>
        <v>Rendah</v>
      </c>
      <c r="M101" s="5" t="str">
        <f>'[1]B.kriteria &amp; R.kecocokan'!$B$57</f>
        <v>Rendah</v>
      </c>
      <c r="N101" s="6" t="str">
        <f>'[1]B.kriteria &amp; R.kecocokan'!$B$65</f>
        <v>Rendah</v>
      </c>
      <c r="O101" s="12" t="s">
        <v>18</v>
      </c>
    </row>
    <row r="102" spans="1:23" ht="15" hidden="1" thickTop="1" x14ac:dyDescent="0.35">
      <c r="A102" s="15">
        <v>4</v>
      </c>
      <c r="B102" s="7" t="s">
        <v>23</v>
      </c>
      <c r="C102" s="8" t="s">
        <v>24</v>
      </c>
      <c r="D102" s="9" t="s">
        <v>17</v>
      </c>
      <c r="E102" s="4" t="str">
        <f>'[1]B.kriteria &amp; R.kecocokan'!$B$24</f>
        <v>Cukup</v>
      </c>
      <c r="F102" s="10" t="str">
        <f>'[1]B.kriteria &amp; R.kecocokan'!$B$34</f>
        <v>Tinggi</v>
      </c>
      <c r="G102" s="5" t="str">
        <f>'[1]B.kriteria &amp; R.kecocokan'!$B$41</f>
        <v>Rendah</v>
      </c>
      <c r="H102" s="5" t="str">
        <f>'[1]B.kriteria &amp; R.kecocokan'!$B$72</f>
        <v>Rendah</v>
      </c>
      <c r="I102" s="5" t="str">
        <f>'[1]B.kriteria &amp; R.kecocokan'!$B$95</f>
        <v>Rendah</v>
      </c>
      <c r="J102" s="5" t="str">
        <f>'[1]B.kriteria &amp; R.kecocokan'!$B$80</f>
        <v>Rendah</v>
      </c>
      <c r="K102" s="5" t="str">
        <f>'[1]B.kriteria &amp; R.kecocokan'!$B$89</f>
        <v>Sedikit</v>
      </c>
      <c r="L102" s="5" t="str">
        <f>'[1]B.kriteria &amp; R.kecocokan'!$B$49</f>
        <v>Rendah</v>
      </c>
      <c r="M102" s="5" t="str">
        <f>'[1]B.kriteria &amp; R.kecocokan'!$B$57</f>
        <v>Rendah</v>
      </c>
      <c r="N102" s="6" t="str">
        <f>'[1]B.kriteria &amp; R.kecocokan'!$B$65</f>
        <v>Rendah</v>
      </c>
      <c r="O102" s="12" t="s">
        <v>18</v>
      </c>
    </row>
    <row r="103" spans="1:23" ht="15" hidden="1" thickTop="1" x14ac:dyDescent="0.35">
      <c r="A103" s="16">
        <v>5</v>
      </c>
      <c r="B103" s="8">
        <f>[1]Penghasilan!B114</f>
        <v>0</v>
      </c>
      <c r="C103" s="8" t="s">
        <v>25</v>
      </c>
      <c r="D103" s="9" t="s">
        <v>26</v>
      </c>
      <c r="E103" s="4" t="str">
        <f>'[1]B.kriteria &amp; R.kecocokan'!$B$24</f>
        <v>Cukup</v>
      </c>
      <c r="F103" s="10" t="str">
        <f>'[1]B.kriteria &amp; R.kecocokan'!$B$34</f>
        <v>Tinggi</v>
      </c>
      <c r="G103" s="5" t="str">
        <f>'[1]B.kriteria &amp; R.kecocokan'!$B$41</f>
        <v>Rendah</v>
      </c>
      <c r="H103" s="5" t="str">
        <f>'[1]B.kriteria &amp; R.kecocokan'!$B$72</f>
        <v>Rendah</v>
      </c>
      <c r="I103" s="5" t="str">
        <f>'[1]B.kriteria &amp; R.kecocokan'!$B$95</f>
        <v>Rendah</v>
      </c>
      <c r="J103" s="5" t="str">
        <f>'[1]B.kriteria &amp; R.kecocokan'!$B$80</f>
        <v>Rendah</v>
      </c>
      <c r="K103" s="10" t="str">
        <f>'[1]B.kriteria &amp; R.kecocokan'!$B$88</f>
        <v>Sedang</v>
      </c>
      <c r="L103" s="5" t="str">
        <f>'[1]B.kriteria &amp; R.kecocokan'!$B$49</f>
        <v>Rendah</v>
      </c>
      <c r="M103" s="5" t="str">
        <f>'[1]B.kriteria &amp; R.kecocokan'!$B$57</f>
        <v>Rendah</v>
      </c>
      <c r="N103" s="6" t="str">
        <f>'[1]B.kriteria &amp; R.kecocokan'!$B$65</f>
        <v>Rendah</v>
      </c>
      <c r="O103" s="12" t="s">
        <v>18</v>
      </c>
    </row>
    <row r="104" spans="1:23" ht="15" hidden="1" thickTop="1" x14ac:dyDescent="0.35">
      <c r="A104" s="15">
        <v>6</v>
      </c>
      <c r="B104" s="7" t="s">
        <v>27</v>
      </c>
      <c r="C104" s="8" t="s">
        <v>28</v>
      </c>
      <c r="D104" s="9" t="s">
        <v>17</v>
      </c>
      <c r="E104" s="10" t="str">
        <f>'[1]B.kriteria &amp; R.kecocokan'!$B$23</f>
        <v>Banyak</v>
      </c>
      <c r="F104" s="10" t="str">
        <f>'[1]B.kriteria &amp; R.kecocokan'!$B$34</f>
        <v>Tinggi</v>
      </c>
      <c r="G104" s="5" t="str">
        <f>'[1]B.kriteria &amp; R.kecocokan'!$B$41</f>
        <v>Rendah</v>
      </c>
      <c r="H104" s="5" t="str">
        <f>'[1]B.kriteria &amp; R.kecocokan'!$B$72</f>
        <v>Rendah</v>
      </c>
      <c r="I104" s="5" t="str">
        <f>'[1]B.kriteria &amp; R.kecocokan'!$B$95</f>
        <v>Rendah</v>
      </c>
      <c r="J104" s="5" t="str">
        <f>'[1]B.kriteria &amp; R.kecocokan'!$B$80</f>
        <v>Rendah</v>
      </c>
      <c r="K104" s="5" t="str">
        <f>'[1]B.kriteria &amp; R.kecocokan'!$B$89</f>
        <v>Sedikit</v>
      </c>
      <c r="L104" s="5" t="str">
        <f>'[1]B.kriteria &amp; R.kecocokan'!$B$49</f>
        <v>Rendah</v>
      </c>
      <c r="M104" s="5" t="str">
        <f>'[1]B.kriteria &amp; R.kecocokan'!$B$57</f>
        <v>Rendah</v>
      </c>
      <c r="N104" s="6" t="str">
        <f>'[1]B.kriteria &amp; R.kecocokan'!$B$65</f>
        <v>Rendah</v>
      </c>
      <c r="O104" s="12" t="s">
        <v>18</v>
      </c>
    </row>
    <row r="105" spans="1:23" ht="15" hidden="1" thickTop="1" x14ac:dyDescent="0.35">
      <c r="A105" s="15">
        <v>7</v>
      </c>
      <c r="B105" s="7" t="s">
        <v>29</v>
      </c>
      <c r="C105" s="8" t="s">
        <v>30</v>
      </c>
      <c r="D105" s="9" t="s">
        <v>17</v>
      </c>
      <c r="E105" s="10" t="str">
        <f>'[1]B.kriteria &amp; R.kecocokan'!$B$23</f>
        <v>Banyak</v>
      </c>
      <c r="F105" s="10" t="str">
        <f>'[1]B.kriteria &amp; R.kecocokan'!$B$34</f>
        <v>Tinggi</v>
      </c>
      <c r="G105" s="5" t="str">
        <f>'[1]B.kriteria &amp; R.kecocokan'!$B$41</f>
        <v>Rendah</v>
      </c>
      <c r="H105" s="5" t="str">
        <f>'[1]B.kriteria &amp; R.kecocokan'!$B$72</f>
        <v>Rendah</v>
      </c>
      <c r="I105" s="5" t="str">
        <f>'[1]B.kriteria &amp; R.kecocokan'!$B$95</f>
        <v>Rendah</v>
      </c>
      <c r="J105" s="10" t="str">
        <f>'[1]B.kriteria &amp; R.kecocokan'!$B$81</f>
        <v>Tinggi</v>
      </c>
      <c r="K105" s="10" t="str">
        <f>'[1]B.kriteria &amp; R.kecocokan'!$B$88</f>
        <v>Sedang</v>
      </c>
      <c r="L105" s="5" t="str">
        <f>'[1]B.kriteria &amp; R.kecocokan'!$B$49</f>
        <v>Rendah</v>
      </c>
      <c r="M105" s="5" t="str">
        <f>'[1]B.kriteria &amp; R.kecocokan'!$B$57</f>
        <v>Rendah</v>
      </c>
      <c r="N105" s="6" t="str">
        <f>'[1]B.kriteria &amp; R.kecocokan'!$B$65</f>
        <v>Rendah</v>
      </c>
      <c r="O105" s="12" t="s">
        <v>18</v>
      </c>
    </row>
    <row r="106" spans="1:23" ht="15" hidden="1" thickTop="1" x14ac:dyDescent="0.35">
      <c r="A106" s="16">
        <v>8</v>
      </c>
      <c r="B106" s="7" t="s">
        <v>31</v>
      </c>
      <c r="C106" s="8" t="s">
        <v>32</v>
      </c>
      <c r="D106" s="11" t="s">
        <v>17</v>
      </c>
      <c r="E106" s="4" t="str">
        <f>'[1]B.kriteria &amp; R.kecocokan'!$B$24</f>
        <v>Cukup</v>
      </c>
      <c r="F106" s="10" t="str">
        <f>'[1]B.kriteria &amp; R.kecocokan'!$B$34</f>
        <v>Tinggi</v>
      </c>
      <c r="G106" s="5" t="str">
        <f>'[1]B.kriteria &amp; R.kecocokan'!$B$41</f>
        <v>Rendah</v>
      </c>
      <c r="H106" s="5" t="str">
        <f>'[1]B.kriteria &amp; R.kecocokan'!$B$72</f>
        <v>Rendah</v>
      </c>
      <c r="I106" s="5" t="str">
        <f>'[1]B.kriteria &amp; R.kecocokan'!$B$95</f>
        <v>Rendah</v>
      </c>
      <c r="J106" s="5" t="str">
        <f>'[1]B.kriteria &amp; R.kecocokan'!$B$80</f>
        <v>Rendah</v>
      </c>
      <c r="K106" s="5" t="str">
        <f>'[1]B.kriteria &amp; R.kecocokan'!$B$89</f>
        <v>Sedikit</v>
      </c>
      <c r="L106" s="5" t="str">
        <f>'[1]B.kriteria &amp; R.kecocokan'!$B$49</f>
        <v>Rendah</v>
      </c>
      <c r="M106" s="5" t="str">
        <f>'[1]B.kriteria &amp; R.kecocokan'!$B$57</f>
        <v>Rendah</v>
      </c>
      <c r="N106" s="6" t="str">
        <f>'[1]B.kriteria &amp; R.kecocokan'!$B$65</f>
        <v>Rendah</v>
      </c>
      <c r="O106" s="12" t="s">
        <v>18</v>
      </c>
    </row>
    <row r="107" spans="1:23" ht="15" hidden="1" thickTop="1" x14ac:dyDescent="0.35">
      <c r="A107" s="15">
        <v>9</v>
      </c>
      <c r="B107" s="8">
        <f>[1]Penghasilan!B162</f>
        <v>0</v>
      </c>
      <c r="C107" s="8" t="s">
        <v>33</v>
      </c>
      <c r="D107" s="9" t="s">
        <v>17</v>
      </c>
      <c r="E107" s="4" t="str">
        <f>'[1]B.kriteria &amp; R.kecocokan'!$B$24</f>
        <v>Cukup</v>
      </c>
      <c r="F107" s="10" t="str">
        <f>'[1]B.kriteria &amp; R.kecocokan'!$B$34</f>
        <v>Tinggi</v>
      </c>
      <c r="G107" s="10" t="str">
        <f>'[1]B.kriteria &amp; R.kecocokan'!$B$43</f>
        <v>Tinggi</v>
      </c>
      <c r="H107" s="5" t="str">
        <f>'[1]B.kriteria &amp; R.kecocokan'!$B$72</f>
        <v>Rendah</v>
      </c>
      <c r="I107" s="5" t="str">
        <f>'[1]B.kriteria &amp; R.kecocokan'!$B$95</f>
        <v>Rendah</v>
      </c>
      <c r="J107" s="5" t="str">
        <f>'[1]B.kriteria &amp; R.kecocokan'!$B$80</f>
        <v>Rendah</v>
      </c>
      <c r="K107" s="10" t="str">
        <f>'[1]B.kriteria &amp; R.kecocokan'!$B$88</f>
        <v>Sedang</v>
      </c>
      <c r="L107" s="5" t="str">
        <f>'[1]B.kriteria &amp; R.kecocokan'!$B$49</f>
        <v>Rendah</v>
      </c>
      <c r="M107" s="5" t="str">
        <f>'[1]B.kriteria &amp; R.kecocokan'!$B$57</f>
        <v>Rendah</v>
      </c>
      <c r="N107" s="6" t="str">
        <f>'[1]B.kriteria &amp; R.kecocokan'!$B$65</f>
        <v>Rendah</v>
      </c>
      <c r="O107" s="12" t="s">
        <v>18</v>
      </c>
    </row>
    <row r="108" spans="1:23" ht="15" hidden="1" thickTop="1" x14ac:dyDescent="0.35">
      <c r="A108" s="15">
        <v>10</v>
      </c>
      <c r="B108" s="7" t="s">
        <v>34</v>
      </c>
      <c r="C108" s="8" t="s">
        <v>35</v>
      </c>
      <c r="D108" s="11" t="s">
        <v>17</v>
      </c>
      <c r="E108" s="4" t="str">
        <f>'[1]B.kriteria &amp; R.kecocokan'!$B$24</f>
        <v>Cukup</v>
      </c>
      <c r="F108" s="10" t="str">
        <f>'[1]B.kriteria &amp; R.kecocokan'!$B$34</f>
        <v>Tinggi</v>
      </c>
      <c r="G108" s="5" t="str">
        <f>'[1]B.kriteria &amp; R.kecocokan'!$B$41</f>
        <v>Rendah</v>
      </c>
      <c r="H108" s="5" t="str">
        <f>'[1]B.kriteria &amp; R.kecocokan'!$B$72</f>
        <v>Rendah</v>
      </c>
      <c r="I108" s="5" t="str">
        <f>'[1]B.kriteria &amp; R.kecocokan'!$B$95</f>
        <v>Rendah</v>
      </c>
      <c r="J108" s="10" t="str">
        <f>'[1]B.kriteria &amp; R.kecocokan'!$B$81</f>
        <v>Tinggi</v>
      </c>
      <c r="K108" s="10" t="str">
        <f>'[1]B.kriteria &amp; R.kecocokan'!$B$90</f>
        <v>Sangat Sedikit</v>
      </c>
      <c r="L108" s="5" t="str">
        <f>'[1]B.kriteria &amp; R.kecocokan'!$B$49</f>
        <v>Rendah</v>
      </c>
      <c r="M108" s="5" t="str">
        <f>'[1]B.kriteria &amp; R.kecocokan'!$B$57</f>
        <v>Rendah</v>
      </c>
      <c r="N108" s="6" t="str">
        <f>'[1]B.kriteria &amp; R.kecocokan'!$B$65</f>
        <v>Rendah</v>
      </c>
      <c r="O108" s="12" t="s">
        <v>36</v>
      </c>
    </row>
    <row r="109" spans="1:23" ht="15" thickTop="1" x14ac:dyDescent="0.35">
      <c r="A109" s="16">
        <v>11</v>
      </c>
      <c r="B109" s="7" t="s">
        <v>37</v>
      </c>
      <c r="C109" s="8" t="s">
        <v>38</v>
      </c>
      <c r="D109" s="9" t="s">
        <v>17</v>
      </c>
      <c r="E109" s="10" t="str">
        <f>'[1]B.kriteria &amp; R.kecocokan'!$B$25</f>
        <v>Sedikit</v>
      </c>
      <c r="F109" s="10" t="str">
        <f>'[1]B.kriteria &amp; R.kecocokan'!$B$34</f>
        <v>Tinggi</v>
      </c>
      <c r="G109" s="5" t="str">
        <f>'[1]B.kriteria &amp; R.kecocokan'!$B$41</f>
        <v>Rendah</v>
      </c>
      <c r="H109" s="5" t="str">
        <f>'[1]B.kriteria &amp; R.kecocokan'!$B$72</f>
        <v>Rendah</v>
      </c>
      <c r="I109" s="5" t="str">
        <f>'[1]B.kriteria &amp; R.kecocokan'!$B$95</f>
        <v>Rendah</v>
      </c>
      <c r="J109" s="10" t="str">
        <f>'[1]B.kriteria &amp; R.kecocokan'!$B$81</f>
        <v>Tinggi</v>
      </c>
      <c r="K109" s="10" t="str">
        <f>'[1]B.kriteria &amp; R.kecocokan'!$B$90</f>
        <v>Sangat Sedikit</v>
      </c>
      <c r="L109" s="10" t="str">
        <f>'[1]B.kriteria &amp; R.kecocokan'!$B$50</f>
        <v>Sedang</v>
      </c>
      <c r="M109" s="10" t="str">
        <f>'[1]B.kriteria &amp; R.kecocokan'!$B$58</f>
        <v>Sedang</v>
      </c>
      <c r="N109" s="12" t="str">
        <f>'[1]B.kriteria &amp; R.kecocokan'!$B$66</f>
        <v>Sedang</v>
      </c>
      <c r="O109" s="12" t="s">
        <v>36</v>
      </c>
      <c r="Q109" s="38" t="s">
        <v>177</v>
      </c>
      <c r="S109">
        <f>S41</f>
        <v>15</v>
      </c>
      <c r="T109">
        <f>T41</f>
        <v>11</v>
      </c>
      <c r="U109">
        <f>U41</f>
        <v>4</v>
      </c>
      <c r="V109">
        <f>((-T109/S109)*IMLOG2(T109/S109))+((-U109/S109)*IMLOG2(U109/S109))</f>
        <v>0.83664074194116733</v>
      </c>
    </row>
    <row r="110" spans="1:23" hidden="1" x14ac:dyDescent="0.35">
      <c r="A110" s="15">
        <v>12</v>
      </c>
      <c r="B110" s="7" t="s">
        <v>39</v>
      </c>
      <c r="C110" s="8" t="s">
        <v>40</v>
      </c>
      <c r="D110" s="9" t="s">
        <v>17</v>
      </c>
      <c r="E110" s="4" t="str">
        <f>'[1]B.kriteria &amp; R.kecocokan'!$B$24</f>
        <v>Cukup</v>
      </c>
      <c r="F110" s="10" t="str">
        <f>'[1]B.kriteria &amp; R.kecocokan'!$B$34</f>
        <v>Tinggi</v>
      </c>
      <c r="G110" s="5" t="str">
        <f>'[1]B.kriteria &amp; R.kecocokan'!$B$41</f>
        <v>Rendah</v>
      </c>
      <c r="H110" s="5" t="str">
        <f>'[1]B.kriteria &amp; R.kecocokan'!$B$72</f>
        <v>Rendah</v>
      </c>
      <c r="I110" s="5" t="str">
        <f>'[1]B.kriteria &amp; R.kecocokan'!$B$95</f>
        <v>Rendah</v>
      </c>
      <c r="J110" s="10" t="str">
        <f>'[1]B.kriteria &amp; R.kecocokan'!$B$81</f>
        <v>Tinggi</v>
      </c>
      <c r="K110" s="10" t="str">
        <f>'[1]B.kriteria &amp; R.kecocokan'!$B$90</f>
        <v>Sangat Sedikit</v>
      </c>
      <c r="L110" s="5" t="str">
        <f>'[1]B.kriteria &amp; R.kecocokan'!$B$49</f>
        <v>Rendah</v>
      </c>
      <c r="M110" s="5" t="str">
        <f>'[1]B.kriteria &amp; R.kecocokan'!$B$57</f>
        <v>Rendah</v>
      </c>
      <c r="N110" s="6" t="str">
        <f>'[1]B.kriteria &amp; R.kecocokan'!$B$65</f>
        <v>Rendah</v>
      </c>
      <c r="O110" s="12" t="s">
        <v>18</v>
      </c>
    </row>
    <row r="111" spans="1:23" hidden="1" x14ac:dyDescent="0.35">
      <c r="A111" s="15">
        <v>13</v>
      </c>
      <c r="B111" s="7" t="s">
        <v>41</v>
      </c>
      <c r="C111" s="8" t="s">
        <v>42</v>
      </c>
      <c r="D111" s="9" t="s">
        <v>17</v>
      </c>
      <c r="E111" s="4" t="str">
        <f>'[1]B.kriteria &amp; R.kecocokan'!$B$24</f>
        <v>Cukup</v>
      </c>
      <c r="F111" s="10" t="str">
        <f>'[1]B.kriteria &amp; R.kecocokan'!$B$34</f>
        <v>Tinggi</v>
      </c>
      <c r="G111" s="10" t="str">
        <f>'[1]B.kriteria &amp; R.kecocokan'!$B$43</f>
        <v>Tinggi</v>
      </c>
      <c r="H111" s="5" t="str">
        <f>'[1]B.kriteria &amp; R.kecocokan'!$B$72</f>
        <v>Rendah</v>
      </c>
      <c r="I111" s="5" t="str">
        <f>'[1]B.kriteria &amp; R.kecocokan'!$B$95</f>
        <v>Rendah</v>
      </c>
      <c r="J111" s="5" t="str">
        <f>'[1]B.kriteria &amp; R.kecocokan'!$B$80</f>
        <v>Rendah</v>
      </c>
      <c r="K111" s="10" t="str">
        <f>'[1]B.kriteria &amp; R.kecocokan'!$B$88</f>
        <v>Sedang</v>
      </c>
      <c r="L111" s="5" t="str">
        <f>'[1]B.kriteria &amp; R.kecocokan'!$B$49</f>
        <v>Rendah</v>
      </c>
      <c r="M111" s="5" t="str">
        <f>'[1]B.kriteria &amp; R.kecocokan'!$B$57</f>
        <v>Rendah</v>
      </c>
      <c r="N111" s="6" t="str">
        <f>'[1]B.kriteria &amp; R.kecocokan'!$B$65</f>
        <v>Rendah</v>
      </c>
      <c r="O111" s="12" t="s">
        <v>18</v>
      </c>
    </row>
    <row r="112" spans="1:23" x14ac:dyDescent="0.35">
      <c r="A112" s="16">
        <v>14</v>
      </c>
      <c r="B112" s="7" t="s">
        <v>43</v>
      </c>
      <c r="C112" s="8" t="s">
        <v>44</v>
      </c>
      <c r="D112" s="9" t="s">
        <v>17</v>
      </c>
      <c r="E112" s="4" t="str">
        <f>'[1]B.kriteria &amp; R.kecocokan'!$B$24</f>
        <v>Cukup</v>
      </c>
      <c r="F112" s="10" t="str">
        <f>'[1]B.kriteria &amp; R.kecocokan'!$B$35</f>
        <v>Sangat Tinggi</v>
      </c>
      <c r="G112" s="5" t="str">
        <f>'[1]B.kriteria &amp; R.kecocokan'!$B$41</f>
        <v>Rendah</v>
      </c>
      <c r="H112" s="5" t="str">
        <f>'[1]B.kriteria &amp; R.kecocokan'!$B$72</f>
        <v>Rendah</v>
      </c>
      <c r="I112" s="5" t="str">
        <f>'[1]B.kriteria &amp; R.kecocokan'!$B$95</f>
        <v>Rendah</v>
      </c>
      <c r="J112" s="5" t="str">
        <f>'[1]B.kriteria &amp; R.kecocokan'!$B$80</f>
        <v>Rendah</v>
      </c>
      <c r="K112" s="5" t="str">
        <f>'[1]B.kriteria &amp; R.kecocokan'!$B$89</f>
        <v>Sedikit</v>
      </c>
      <c r="L112" s="5" t="str">
        <f>'[1]B.kriteria &amp; R.kecocokan'!$B$49</f>
        <v>Rendah</v>
      </c>
      <c r="M112" s="10" t="str">
        <f>'[1]B.kriteria &amp; R.kecocokan'!$B$58</f>
        <v>Sedang</v>
      </c>
      <c r="N112" s="6" t="str">
        <f>'[1]B.kriteria &amp; R.kecocokan'!$B$65</f>
        <v>Rendah</v>
      </c>
      <c r="O112" s="12" t="s">
        <v>18</v>
      </c>
      <c r="Q112" s="43" t="s">
        <v>4</v>
      </c>
      <c r="R112" s="43"/>
      <c r="S112" s="44"/>
      <c r="T112" s="44"/>
      <c r="U112" s="44"/>
      <c r="V112" s="44"/>
      <c r="W112" s="44">
        <f>$V$109-((S115/$S$109*V115)+(S116/$S$109*V116)+(S117/$S$109*V117))</f>
        <v>8.6966575418731429E-2</v>
      </c>
    </row>
    <row r="113" spans="1:23" hidden="1" x14ac:dyDescent="0.35">
      <c r="A113" s="15">
        <v>15</v>
      </c>
      <c r="B113" s="7" t="s">
        <v>45</v>
      </c>
      <c r="C113" s="8" t="s">
        <v>46</v>
      </c>
      <c r="D113" s="9" t="s">
        <v>17</v>
      </c>
      <c r="E113" s="10" t="str">
        <f>'[1]B.kriteria &amp; R.kecocokan'!$B$23</f>
        <v>Banyak</v>
      </c>
      <c r="F113" s="10" t="str">
        <f>'[1]B.kriteria &amp; R.kecocokan'!$B$35</f>
        <v>Sangat Tinggi</v>
      </c>
      <c r="G113" s="5" t="str">
        <f>'[1]B.kriteria &amp; R.kecocokan'!$B$41</f>
        <v>Rendah</v>
      </c>
      <c r="H113" s="5" t="str">
        <f>'[1]B.kriteria &amp; R.kecocokan'!$B$72</f>
        <v>Rendah</v>
      </c>
      <c r="I113" s="5" t="str">
        <f>'[1]B.kriteria &amp; R.kecocokan'!$B$95</f>
        <v>Rendah</v>
      </c>
      <c r="J113" s="5" t="str">
        <f>'[1]B.kriteria &amp; R.kecocokan'!$B$80</f>
        <v>Rendah</v>
      </c>
      <c r="K113" s="10" t="str">
        <f>'[1]B.kriteria &amp; R.kecocokan'!$B$88</f>
        <v>Sedang</v>
      </c>
      <c r="L113" s="5" t="str">
        <f>'[1]B.kriteria &amp; R.kecocokan'!$B$49</f>
        <v>Rendah</v>
      </c>
      <c r="M113" s="5" t="str">
        <f>'[1]B.kriteria &amp; R.kecocokan'!$B$57</f>
        <v>Rendah</v>
      </c>
      <c r="N113" s="6" t="str">
        <f>'[1]B.kriteria &amp; R.kecocokan'!$B$65</f>
        <v>Rendah</v>
      </c>
      <c r="O113" s="12" t="s">
        <v>18</v>
      </c>
      <c r="Q113" s="30"/>
      <c r="R113" s="30"/>
    </row>
    <row r="114" spans="1:23" hidden="1" x14ac:dyDescent="0.35">
      <c r="A114" s="15">
        <v>16</v>
      </c>
      <c r="B114" s="7" t="s">
        <v>47</v>
      </c>
      <c r="C114" s="8" t="s">
        <v>48</v>
      </c>
      <c r="D114" s="9" t="s">
        <v>17</v>
      </c>
      <c r="E114" s="4" t="str">
        <f>'[1]B.kriteria &amp; R.kecocokan'!$B$24</f>
        <v>Cukup</v>
      </c>
      <c r="F114" s="10" t="str">
        <f>'[1]B.kriteria &amp; R.kecocokan'!$B$34</f>
        <v>Tinggi</v>
      </c>
      <c r="G114" s="5" t="str">
        <f>'[1]B.kriteria &amp; R.kecocokan'!$B$41</f>
        <v>Rendah</v>
      </c>
      <c r="H114" s="5" t="str">
        <f>'[1]B.kriteria &amp; R.kecocokan'!$B$72</f>
        <v>Rendah</v>
      </c>
      <c r="I114" s="5" t="str">
        <f>'[1]B.kriteria &amp; R.kecocokan'!$B$95</f>
        <v>Rendah</v>
      </c>
      <c r="J114" s="10" t="str">
        <f>'[1]B.kriteria &amp; R.kecocokan'!$B$81</f>
        <v>Tinggi</v>
      </c>
      <c r="K114" s="10" t="str">
        <f>'[1]B.kriteria &amp; R.kecocokan'!$B$90</f>
        <v>Sangat Sedikit</v>
      </c>
      <c r="L114" s="5" t="str">
        <f>'[1]B.kriteria &amp; R.kecocokan'!$B$49</f>
        <v>Rendah</v>
      </c>
      <c r="M114" s="5" t="str">
        <f>'[1]B.kriteria &amp; R.kecocokan'!$B$57</f>
        <v>Rendah</v>
      </c>
      <c r="N114" s="6" t="str">
        <f>'[1]B.kriteria &amp; R.kecocokan'!$B$65</f>
        <v>Rendah</v>
      </c>
      <c r="O114" s="12" t="s">
        <v>18</v>
      </c>
      <c r="Q114" s="30"/>
      <c r="R114" s="30"/>
    </row>
    <row r="115" spans="1:23" x14ac:dyDescent="0.35">
      <c r="A115" s="16">
        <v>17</v>
      </c>
      <c r="B115" s="7" t="s">
        <v>49</v>
      </c>
      <c r="C115" s="8" t="s">
        <v>50</v>
      </c>
      <c r="D115" s="9" t="s">
        <v>17</v>
      </c>
      <c r="E115" s="4" t="str">
        <f>'[1]B.kriteria &amp; R.kecocokan'!$B$24</f>
        <v>Cukup</v>
      </c>
      <c r="F115" s="10" t="str">
        <f>'[1]B.kriteria &amp; R.kecocokan'!$B$35</f>
        <v>Sangat Tinggi</v>
      </c>
      <c r="G115" s="5" t="str">
        <f>'[1]B.kriteria &amp; R.kecocokan'!$B$41</f>
        <v>Rendah</v>
      </c>
      <c r="H115" s="5" t="str">
        <f>'[1]B.kriteria &amp; R.kecocokan'!$B$72</f>
        <v>Rendah</v>
      </c>
      <c r="I115" s="5" t="str">
        <f>'[1]B.kriteria &amp; R.kecocokan'!$B$95</f>
        <v>Rendah</v>
      </c>
      <c r="J115" s="5" t="str">
        <f>'[1]B.kriteria &amp; R.kecocokan'!$B$80</f>
        <v>Rendah</v>
      </c>
      <c r="K115" s="10" t="str">
        <f>'[1]B.kriteria &amp; R.kecocokan'!$B$88</f>
        <v>Sedang</v>
      </c>
      <c r="L115" s="10" t="str">
        <f>'[1]B.kriteria &amp; R.kecocokan'!$B$51</f>
        <v>Tinggi</v>
      </c>
      <c r="M115" s="10" t="str">
        <f>'[1]B.kriteria &amp; R.kecocokan'!$B$58</f>
        <v>Sedang</v>
      </c>
      <c r="N115" s="6" t="str">
        <f>'[1]B.kriteria &amp; R.kecocokan'!$B$65</f>
        <v>Rendah</v>
      </c>
      <c r="O115" s="12" t="s">
        <v>36</v>
      </c>
      <c r="Q115" s="30"/>
      <c r="R115" s="30" t="s">
        <v>178</v>
      </c>
      <c r="S115">
        <v>0</v>
      </c>
      <c r="T115">
        <v>0</v>
      </c>
      <c r="U115">
        <v>0</v>
      </c>
      <c r="V115">
        <v>0</v>
      </c>
    </row>
    <row r="116" spans="1:23" x14ac:dyDescent="0.35">
      <c r="A116" s="15">
        <v>18</v>
      </c>
      <c r="B116" s="7" t="s">
        <v>51</v>
      </c>
      <c r="C116" s="8" t="s">
        <v>52</v>
      </c>
      <c r="D116" s="9" t="s">
        <v>17</v>
      </c>
      <c r="E116" s="4" t="str">
        <f>'[1]B.kriteria &amp; R.kecocokan'!$B$24</f>
        <v>Cukup</v>
      </c>
      <c r="F116" s="10" t="str">
        <f>'[1]B.kriteria &amp; R.kecocokan'!$B$35</f>
        <v>Sangat Tinggi</v>
      </c>
      <c r="G116" s="5" t="str">
        <f>'[1]B.kriteria &amp; R.kecocokan'!$B$41</f>
        <v>Rendah</v>
      </c>
      <c r="H116" s="5" t="str">
        <f>'[1]B.kriteria &amp; R.kecocokan'!$B$72</f>
        <v>Rendah</v>
      </c>
      <c r="I116" s="5" t="str">
        <f>'[1]B.kriteria &amp; R.kecocokan'!$B$95</f>
        <v>Rendah</v>
      </c>
      <c r="J116" s="5" t="str">
        <f>'[1]B.kriteria &amp; R.kecocokan'!$B$80</f>
        <v>Rendah</v>
      </c>
      <c r="K116" s="10" t="str">
        <f>'[1]B.kriteria &amp; R.kecocokan'!$B$88</f>
        <v>Sedang</v>
      </c>
      <c r="L116" s="10" t="str">
        <f>'[1]B.kriteria &amp; R.kecocokan'!$B$50</f>
        <v>Sedang</v>
      </c>
      <c r="M116" s="10" t="str">
        <f>'[1]B.kriteria &amp; R.kecocokan'!$B$58</f>
        <v>Sedang</v>
      </c>
      <c r="N116" s="6" t="str">
        <f>'[1]B.kriteria &amp; R.kecocokan'!$B$65</f>
        <v>Rendah</v>
      </c>
      <c r="O116" s="12" t="s">
        <v>36</v>
      </c>
      <c r="Q116" s="30"/>
      <c r="R116" s="30" t="s">
        <v>179</v>
      </c>
      <c r="S116">
        <v>7</v>
      </c>
      <c r="T116">
        <f>COUNTIFS($E$109:$E$190,$E$115,$M$109:$M$190,$M$117,$O$109:$O$190,$O$109)</f>
        <v>4</v>
      </c>
      <c r="U116">
        <f>COUNTIFS($E$109:$E$190,$E$115,$M$109:$M$190,$M$117,$O$109:$O$190,$O$112)</f>
        <v>3</v>
      </c>
      <c r="V116">
        <f t="shared" ref="V116:V117" si="21">((-T116/S116)*IMLOG2(T116/S116))+((-U116/S116)*IMLOG2(U116/S116))</f>
        <v>0.9852281360342523</v>
      </c>
    </row>
    <row r="117" spans="1:23" x14ac:dyDescent="0.35">
      <c r="A117" s="15">
        <v>19</v>
      </c>
      <c r="B117" s="7" t="s">
        <v>53</v>
      </c>
      <c r="C117" s="8" t="s">
        <v>54</v>
      </c>
      <c r="D117" s="9" t="s">
        <v>17</v>
      </c>
      <c r="E117" s="10" t="str">
        <f>'[1]B.kriteria &amp; R.kecocokan'!$B$25</f>
        <v>Sedikit</v>
      </c>
      <c r="F117" s="10" t="str">
        <f>'[1]B.kriteria &amp; R.kecocokan'!$B$34</f>
        <v>Tinggi</v>
      </c>
      <c r="G117" s="5" t="str">
        <f>'[1]B.kriteria &amp; R.kecocokan'!$B$41</f>
        <v>Rendah</v>
      </c>
      <c r="H117" s="5" t="str">
        <f>'[1]B.kriteria &amp; R.kecocokan'!$B$72</f>
        <v>Rendah</v>
      </c>
      <c r="I117" s="5" t="str">
        <f>'[1]B.kriteria &amp; R.kecocokan'!$B$95</f>
        <v>Rendah</v>
      </c>
      <c r="J117" s="10" t="str">
        <f>'[1]B.kriteria &amp; R.kecocokan'!$B$81</f>
        <v>Tinggi</v>
      </c>
      <c r="K117" s="10" t="str">
        <f>'[1]B.kriteria &amp; R.kecocokan'!$B$90</f>
        <v>Sangat Sedikit</v>
      </c>
      <c r="L117" s="5" t="str">
        <f>'[1]B.kriteria &amp; R.kecocokan'!$B$49</f>
        <v>Rendah</v>
      </c>
      <c r="M117" s="10" t="str">
        <f>'[1]B.kriteria &amp; R.kecocokan'!$B$58</f>
        <v>Sedang</v>
      </c>
      <c r="N117" s="6" t="str">
        <f>'[1]B.kriteria &amp; R.kecocokan'!$B$65</f>
        <v>Rendah</v>
      </c>
      <c r="O117" s="12" t="s">
        <v>36</v>
      </c>
      <c r="Q117" s="30"/>
      <c r="R117" s="30" t="s">
        <v>180</v>
      </c>
      <c r="S117">
        <v>8</v>
      </c>
      <c r="T117">
        <f>COUNTIFS($E$109:$E$190,$E$149,$M$109:$M$190,$M$109,$O$109:$O$190,$O$109)</f>
        <v>7</v>
      </c>
      <c r="U117">
        <f>COUNTIFS($E$109:$E$190,$E$149,$M$109:$M$190,$M$109,$O$109:$O$190,$O$112)</f>
        <v>1</v>
      </c>
      <c r="V117">
        <f t="shared" si="21"/>
        <v>0.54356444319959651</v>
      </c>
    </row>
    <row r="118" spans="1:23" x14ac:dyDescent="0.35">
      <c r="A118" s="16">
        <v>20</v>
      </c>
      <c r="B118" s="7" t="s">
        <v>55</v>
      </c>
      <c r="C118" s="8" t="s">
        <v>56</v>
      </c>
      <c r="D118" s="9" t="s">
        <v>17</v>
      </c>
      <c r="E118" s="4" t="str">
        <f>'[1]B.kriteria &amp; R.kecocokan'!$B$24</f>
        <v>Cukup</v>
      </c>
      <c r="F118" s="10" t="str">
        <f>'[1]B.kriteria &amp; R.kecocokan'!$B$34</f>
        <v>Tinggi</v>
      </c>
      <c r="G118" s="5" t="str">
        <f>'[1]B.kriteria &amp; R.kecocokan'!$B$41</f>
        <v>Rendah</v>
      </c>
      <c r="H118" s="5" t="str">
        <f>'[1]B.kriteria &amp; R.kecocokan'!$B$72</f>
        <v>Rendah</v>
      </c>
      <c r="I118" s="5" t="str">
        <f>'[1]B.kriteria &amp; R.kecocokan'!$B$95</f>
        <v>Rendah</v>
      </c>
      <c r="J118" s="5" t="str">
        <f>'[1]B.kriteria &amp; R.kecocokan'!$B$80</f>
        <v>Rendah</v>
      </c>
      <c r="K118" s="5" t="str">
        <f>'[1]B.kriteria &amp; R.kecocokan'!$B$89</f>
        <v>Sedikit</v>
      </c>
      <c r="L118" s="5" t="str">
        <f>'[1]B.kriteria &amp; R.kecocokan'!$B$49</f>
        <v>Rendah</v>
      </c>
      <c r="M118" s="10" t="str">
        <f>'[1]B.kriteria &amp; R.kecocokan'!$B$58</f>
        <v>Sedang</v>
      </c>
      <c r="N118" s="6" t="str">
        <f>'[1]B.kriteria &amp; R.kecocokan'!$B$65</f>
        <v>Rendah</v>
      </c>
      <c r="O118" s="12" t="s">
        <v>18</v>
      </c>
      <c r="Q118" s="30"/>
      <c r="R118" s="30"/>
    </row>
    <row r="119" spans="1:23" x14ac:dyDescent="0.35">
      <c r="A119" s="15">
        <v>21</v>
      </c>
      <c r="B119" s="7" t="s">
        <v>57</v>
      </c>
      <c r="C119" s="8" t="s">
        <v>58</v>
      </c>
      <c r="D119" s="9" t="s">
        <v>17</v>
      </c>
      <c r="E119" s="10" t="str">
        <f>'[1]B.kriteria &amp; R.kecocokan'!$B$25</f>
        <v>Sedikit</v>
      </c>
      <c r="F119" s="10" t="str">
        <f>'[1]B.kriteria &amp; R.kecocokan'!$B$35</f>
        <v>Sangat Tinggi</v>
      </c>
      <c r="G119" s="5" t="str">
        <f>'[1]B.kriteria &amp; R.kecocokan'!$B$41</f>
        <v>Rendah</v>
      </c>
      <c r="H119" s="5" t="str">
        <f>'[1]B.kriteria &amp; R.kecocokan'!$B$72</f>
        <v>Rendah</v>
      </c>
      <c r="I119" s="5" t="str">
        <f>'[1]B.kriteria &amp; R.kecocokan'!$B$95</f>
        <v>Rendah</v>
      </c>
      <c r="J119" s="10" t="str">
        <f>'[1]B.kriteria &amp; R.kecocokan'!$B$81</f>
        <v>Tinggi</v>
      </c>
      <c r="K119" s="10" t="str">
        <f>'[1]B.kriteria &amp; R.kecocokan'!$B$90</f>
        <v>Sangat Sedikit</v>
      </c>
      <c r="L119" s="5" t="str">
        <f>'[1]B.kriteria &amp; R.kecocokan'!$B$49</f>
        <v>Rendah</v>
      </c>
      <c r="M119" s="10" t="str">
        <f>'[1]B.kriteria &amp; R.kecocokan'!$B$58</f>
        <v>Sedang</v>
      </c>
      <c r="N119" s="6" t="str">
        <f>'[1]B.kriteria &amp; R.kecocokan'!$B$65</f>
        <v>Rendah</v>
      </c>
      <c r="O119" s="12" t="s">
        <v>36</v>
      </c>
      <c r="Q119" s="30" t="s">
        <v>5</v>
      </c>
      <c r="R119" s="30"/>
      <c r="W119">
        <f>$V$109-((S123/$S$109*V123)+(S126/$S$109*V126))</f>
        <v>2.5654272849131021E-2</v>
      </c>
    </row>
    <row r="120" spans="1:23" hidden="1" x14ac:dyDescent="0.35">
      <c r="A120" s="15">
        <v>22</v>
      </c>
      <c r="B120" s="7" t="s">
        <v>59</v>
      </c>
      <c r="C120" s="8" t="s">
        <v>60</v>
      </c>
      <c r="D120" s="9" t="s">
        <v>17</v>
      </c>
      <c r="E120" s="10" t="str">
        <f>'[1]B.kriteria &amp; R.kecocokan'!$B$23</f>
        <v>Banyak</v>
      </c>
      <c r="F120" s="10" t="str">
        <f>'[1]B.kriteria &amp; R.kecocokan'!$B$34</f>
        <v>Tinggi</v>
      </c>
      <c r="G120" s="5" t="str">
        <f>'[1]B.kriteria &amp; R.kecocokan'!$B$41</f>
        <v>Rendah</v>
      </c>
      <c r="H120" s="5" t="str">
        <f>'[1]B.kriteria &amp; R.kecocokan'!$B$72</f>
        <v>Rendah</v>
      </c>
      <c r="I120" s="5" t="str">
        <f>'[1]B.kriteria &amp; R.kecocokan'!$B$95</f>
        <v>Rendah</v>
      </c>
      <c r="J120" s="5" t="str">
        <f>'[1]B.kriteria &amp; R.kecocokan'!$B$80</f>
        <v>Rendah</v>
      </c>
      <c r="K120" s="10" t="str">
        <f>'[1]B.kriteria &amp; R.kecocokan'!$B$88</f>
        <v>Sedang</v>
      </c>
      <c r="L120" s="5" t="str">
        <f>'[1]B.kriteria &amp; R.kecocokan'!$B$49</f>
        <v>Rendah</v>
      </c>
      <c r="M120" s="5" t="str">
        <f>'[1]B.kriteria &amp; R.kecocokan'!$B$57</f>
        <v>Rendah</v>
      </c>
      <c r="N120" s="6" t="str">
        <f>'[1]B.kriteria &amp; R.kecocokan'!$B$65</f>
        <v>Rendah</v>
      </c>
      <c r="O120" s="12" t="s">
        <v>18</v>
      </c>
      <c r="Q120" s="30"/>
      <c r="R120" s="30"/>
    </row>
    <row r="121" spans="1:23" hidden="1" x14ac:dyDescent="0.35">
      <c r="A121" s="16">
        <v>23</v>
      </c>
      <c r="B121" s="7" t="s">
        <v>61</v>
      </c>
      <c r="C121" s="8" t="s">
        <v>62</v>
      </c>
      <c r="D121" s="9" t="s">
        <v>17</v>
      </c>
      <c r="E121" s="4" t="str">
        <f>'[1]B.kriteria &amp; R.kecocokan'!$B$24</f>
        <v>Cukup</v>
      </c>
      <c r="F121" s="10" t="str">
        <f>'[1]B.kriteria &amp; R.kecocokan'!$B$34</f>
        <v>Tinggi</v>
      </c>
      <c r="G121" s="5" t="str">
        <f>'[1]B.kriteria &amp; R.kecocokan'!$B$41</f>
        <v>Rendah</v>
      </c>
      <c r="H121" s="5" t="str">
        <f>'[1]B.kriteria &amp; R.kecocokan'!$B$72</f>
        <v>Rendah</v>
      </c>
      <c r="I121" s="5" t="str">
        <f>'[1]B.kriteria &amp; R.kecocokan'!$B$95</f>
        <v>Rendah</v>
      </c>
      <c r="J121" s="5" t="str">
        <f>'[1]B.kriteria &amp; R.kecocokan'!$B$80</f>
        <v>Rendah</v>
      </c>
      <c r="K121" s="10" t="str">
        <f>'[1]B.kriteria &amp; R.kecocokan'!$B$88</f>
        <v>Sedang</v>
      </c>
      <c r="L121" s="5" t="str">
        <f>'[1]B.kriteria &amp; R.kecocokan'!$B$49</f>
        <v>Rendah</v>
      </c>
      <c r="M121" s="5" t="str">
        <f>'[1]B.kriteria &amp; R.kecocokan'!$B$57</f>
        <v>Rendah</v>
      </c>
      <c r="N121" s="6" t="str">
        <f>'[1]B.kriteria &amp; R.kecocokan'!$B$65</f>
        <v>Rendah</v>
      </c>
      <c r="O121" s="12" t="s">
        <v>18</v>
      </c>
      <c r="Q121" s="30"/>
      <c r="R121" s="30"/>
    </row>
    <row r="122" spans="1:23" hidden="1" x14ac:dyDescent="0.35">
      <c r="A122" s="15">
        <v>24</v>
      </c>
      <c r="B122" s="7" t="s">
        <v>63</v>
      </c>
      <c r="C122" s="8" t="s">
        <v>64</v>
      </c>
      <c r="D122" s="9" t="s">
        <v>17</v>
      </c>
      <c r="E122" s="4" t="str">
        <f>'[1]B.kriteria &amp; R.kecocokan'!$B$24</f>
        <v>Cukup</v>
      </c>
      <c r="F122" s="10" t="str">
        <f>'[1]B.kriteria &amp; R.kecocokan'!$B$35</f>
        <v>Sangat Tinggi</v>
      </c>
      <c r="G122" s="5" t="str">
        <f>'[1]B.kriteria &amp; R.kecocokan'!$B$41</f>
        <v>Rendah</v>
      </c>
      <c r="H122" s="5" t="str">
        <f>'[1]B.kriteria &amp; R.kecocokan'!$B$72</f>
        <v>Rendah</v>
      </c>
      <c r="I122" s="5" t="str">
        <f>'[1]B.kriteria &amp; R.kecocokan'!$B$95</f>
        <v>Rendah</v>
      </c>
      <c r="J122" s="5" t="str">
        <f>'[1]B.kriteria &amp; R.kecocokan'!$B$80</f>
        <v>Rendah</v>
      </c>
      <c r="K122" s="10" t="str">
        <f>'[1]B.kriteria &amp; R.kecocokan'!$B$88</f>
        <v>Sedang</v>
      </c>
      <c r="L122" s="5" t="str">
        <f>'[1]B.kriteria &amp; R.kecocokan'!$B$49</f>
        <v>Rendah</v>
      </c>
      <c r="M122" s="5" t="str">
        <f>'[1]B.kriteria &amp; R.kecocokan'!$B$57</f>
        <v>Rendah</v>
      </c>
      <c r="N122" s="6" t="str">
        <f>'[1]B.kriteria &amp; R.kecocokan'!$B$65</f>
        <v>Rendah</v>
      </c>
      <c r="O122" s="12" t="s">
        <v>18</v>
      </c>
      <c r="Q122" s="30"/>
      <c r="R122" s="30"/>
    </row>
    <row r="123" spans="1:23" x14ac:dyDescent="0.35">
      <c r="A123" s="15">
        <v>25</v>
      </c>
      <c r="B123" s="7" t="s">
        <v>65</v>
      </c>
      <c r="C123" s="8" t="s">
        <v>66</v>
      </c>
      <c r="D123" s="9" t="s">
        <v>17</v>
      </c>
      <c r="E123" s="10" t="str">
        <f>'[1]B.kriteria &amp; R.kecocokan'!$B$25</f>
        <v>Sedikit</v>
      </c>
      <c r="F123" s="10" t="str">
        <f>'[1]B.kriteria &amp; R.kecocokan'!$B$35</f>
        <v>Sangat Tinggi</v>
      </c>
      <c r="G123" s="5" t="str">
        <f>'[1]B.kriteria &amp; R.kecocokan'!$B$41</f>
        <v>Rendah</v>
      </c>
      <c r="H123" s="5" t="str">
        <f>'[1]B.kriteria &amp; R.kecocokan'!$B$72</f>
        <v>Rendah</v>
      </c>
      <c r="I123" s="5" t="str">
        <f>'[1]B.kriteria &amp; R.kecocokan'!$B$95</f>
        <v>Rendah</v>
      </c>
      <c r="J123" s="10" t="str">
        <f>'[1]B.kriteria &amp; R.kecocokan'!$B$81</f>
        <v>Tinggi</v>
      </c>
      <c r="K123" s="10" t="str">
        <f>'[1]B.kriteria &amp; R.kecocokan'!$B$90</f>
        <v>Sangat Sedikit</v>
      </c>
      <c r="L123" s="5" t="str">
        <f>'[1]B.kriteria &amp; R.kecocokan'!$B$49</f>
        <v>Rendah</v>
      </c>
      <c r="M123" s="10" t="str">
        <f>'[1]B.kriteria &amp; R.kecocokan'!$B$58</f>
        <v>Sedang</v>
      </c>
      <c r="N123" s="6" t="str">
        <f>'[1]B.kriteria &amp; R.kecocokan'!$B$65</f>
        <v>Rendah</v>
      </c>
      <c r="O123" s="12" t="s">
        <v>36</v>
      </c>
      <c r="Q123" s="30"/>
      <c r="R123" s="30" t="s">
        <v>181</v>
      </c>
      <c r="S123">
        <f>COUNTIFS($F$109:$F$190,$F$109,$M$109:$M$190,$M$117)</f>
        <v>9</v>
      </c>
      <c r="T123">
        <f>COUNTIFS($F$109:$F$190,$F$109,$M$109:$M$190,$M$117,$O$109:$O$190,$O$109)</f>
        <v>6</v>
      </c>
      <c r="U123">
        <f>COUNTIFS($F$109:$F$190,$F$109,$M$109:$M$190,$M$109,$O$109:$O$190,$O$112)</f>
        <v>3</v>
      </c>
      <c r="V123">
        <f t="shared" ref="V123:V126" si="22">((-T123/S123)*IMLOG2(T123/S123))+((-U123/S123)*IMLOG2(U123/S123))</f>
        <v>0.91829583405449056</v>
      </c>
    </row>
    <row r="124" spans="1:23" hidden="1" x14ac:dyDescent="0.35">
      <c r="A124" s="16">
        <v>26</v>
      </c>
      <c r="B124" s="7" t="s">
        <v>67</v>
      </c>
      <c r="C124" s="8" t="s">
        <v>68</v>
      </c>
      <c r="D124" s="9" t="s">
        <v>17</v>
      </c>
      <c r="E124" s="10" t="str">
        <f>'[1]B.kriteria &amp; R.kecocokan'!$B$25</f>
        <v>Sedikit</v>
      </c>
      <c r="F124" s="10" t="str">
        <f>'[1]B.kriteria &amp; R.kecocokan'!$B$34</f>
        <v>Tinggi</v>
      </c>
      <c r="G124" s="5" t="str">
        <f>'[1]B.kriteria &amp; R.kecocokan'!$B$41</f>
        <v>Rendah</v>
      </c>
      <c r="H124" s="5" t="str">
        <f>'[1]B.kriteria &amp; R.kecocokan'!$B$72</f>
        <v>Rendah</v>
      </c>
      <c r="I124" s="5" t="str">
        <f>'[1]B.kriteria &amp; R.kecocokan'!$B$95</f>
        <v>Rendah</v>
      </c>
      <c r="J124" s="10" t="str">
        <f>'[1]B.kriteria &amp; R.kecocokan'!$B$81</f>
        <v>Tinggi</v>
      </c>
      <c r="K124" s="10" t="str">
        <f>'[1]B.kriteria &amp; R.kecocokan'!$B$90</f>
        <v>Sangat Sedikit</v>
      </c>
      <c r="L124" s="5" t="str">
        <f>'[1]B.kriteria &amp; R.kecocokan'!$B$49</f>
        <v>Rendah</v>
      </c>
      <c r="M124" s="5" t="str">
        <f>'[1]B.kriteria &amp; R.kecocokan'!$B$57</f>
        <v>Rendah</v>
      </c>
      <c r="N124" s="6" t="str">
        <f>'[1]B.kriteria &amp; R.kecocokan'!$B$65</f>
        <v>Rendah</v>
      </c>
      <c r="O124" s="12" t="s">
        <v>18</v>
      </c>
      <c r="Q124" s="30"/>
      <c r="R124" s="30"/>
      <c r="V124" t="e">
        <f t="shared" si="22"/>
        <v>#DIV/0!</v>
      </c>
    </row>
    <row r="125" spans="1:23" hidden="1" x14ac:dyDescent="0.35">
      <c r="A125" s="15">
        <v>27</v>
      </c>
      <c r="B125" s="7" t="s">
        <v>69</v>
      </c>
      <c r="C125" s="8" t="s">
        <v>70</v>
      </c>
      <c r="D125" s="9" t="s">
        <v>17</v>
      </c>
      <c r="E125" s="4" t="str">
        <f>'[1]B.kriteria &amp; R.kecocokan'!$B$24</f>
        <v>Cukup</v>
      </c>
      <c r="F125" s="10" t="str">
        <f>'[1]B.kriteria &amp; R.kecocokan'!$B$34</f>
        <v>Tinggi</v>
      </c>
      <c r="G125" s="10" t="str">
        <f>'[1]B.kriteria &amp; R.kecocokan'!$B$43</f>
        <v>Tinggi</v>
      </c>
      <c r="H125" s="5" t="str">
        <f>'[1]B.kriteria &amp; R.kecocokan'!$B$72</f>
        <v>Rendah</v>
      </c>
      <c r="I125" s="5" t="str">
        <f>'[1]B.kriteria &amp; R.kecocokan'!$B$95</f>
        <v>Rendah</v>
      </c>
      <c r="J125" s="5" t="str">
        <f>'[1]B.kriteria &amp; R.kecocokan'!$B$80</f>
        <v>Rendah</v>
      </c>
      <c r="K125" s="10" t="str">
        <f>'[1]B.kriteria &amp; R.kecocokan'!$B$88</f>
        <v>Sedang</v>
      </c>
      <c r="L125" s="5" t="str">
        <f>'[1]B.kriteria &amp; R.kecocokan'!$B$49</f>
        <v>Rendah</v>
      </c>
      <c r="M125" s="5" t="str">
        <f>'[1]B.kriteria &amp; R.kecocokan'!$B$57</f>
        <v>Rendah</v>
      </c>
      <c r="N125" s="6" t="str">
        <f>'[1]B.kriteria &amp; R.kecocokan'!$B$65</f>
        <v>Rendah</v>
      </c>
      <c r="O125" s="12" t="s">
        <v>18</v>
      </c>
      <c r="Q125" s="30"/>
      <c r="R125" s="30"/>
      <c r="V125" t="e">
        <f t="shared" si="22"/>
        <v>#DIV/0!</v>
      </c>
    </row>
    <row r="126" spans="1:23" x14ac:dyDescent="0.35">
      <c r="A126" s="15">
        <v>28</v>
      </c>
      <c r="B126" s="7" t="s">
        <v>71</v>
      </c>
      <c r="C126" s="8" t="s">
        <v>72</v>
      </c>
      <c r="D126" s="9" t="s">
        <v>17</v>
      </c>
      <c r="E126" s="4" t="str">
        <f>'[1]B.kriteria &amp; R.kecocokan'!$B$24</f>
        <v>Cukup</v>
      </c>
      <c r="F126" s="10" t="str">
        <f>'[1]B.kriteria &amp; R.kecocokan'!$B$34</f>
        <v>Tinggi</v>
      </c>
      <c r="G126" s="5" t="str">
        <f>'[1]B.kriteria &amp; R.kecocokan'!$B$41</f>
        <v>Rendah</v>
      </c>
      <c r="H126" s="5" t="str">
        <f>'[1]B.kriteria &amp; R.kecocokan'!$B$72</f>
        <v>Rendah</v>
      </c>
      <c r="I126" s="5" t="str">
        <f>'[1]B.kriteria &amp; R.kecocokan'!$B$95</f>
        <v>Rendah</v>
      </c>
      <c r="J126" s="5" t="str">
        <f>'[1]B.kriteria &amp; R.kecocokan'!$B$80</f>
        <v>Rendah</v>
      </c>
      <c r="K126" s="5" t="str">
        <f>'[1]B.kriteria &amp; R.kecocokan'!$B$89</f>
        <v>Sedikit</v>
      </c>
      <c r="L126" s="5" t="str">
        <f>'[1]B.kriteria &amp; R.kecocokan'!$B$49</f>
        <v>Rendah</v>
      </c>
      <c r="M126" s="10" t="str">
        <f>'[1]B.kriteria &amp; R.kecocokan'!$B$58</f>
        <v>Sedang</v>
      </c>
      <c r="N126" s="6" t="str">
        <f>'[1]B.kriteria &amp; R.kecocokan'!$B$65</f>
        <v>Rendah</v>
      </c>
      <c r="O126" s="12" t="s">
        <v>18</v>
      </c>
      <c r="Q126" s="30"/>
      <c r="R126" s="30" t="s">
        <v>182</v>
      </c>
      <c r="S126">
        <f>COUNTIFS($F$109:$F$190,$F$119,$M$109:$M$190,$M$112)</f>
        <v>6</v>
      </c>
      <c r="T126">
        <f>COUNTIFS($F$109:$F$190,$F$119,$M$109:$M$190,$M$112,$O$109:$O$190,$O$109)</f>
        <v>5</v>
      </c>
      <c r="U126">
        <f>COUNTIFS($F$109:$F$190,$F$119,$M$109:$M$190,$M$112,$O$109:$O$190,$O$112)</f>
        <v>1</v>
      </c>
      <c r="V126">
        <f t="shared" si="22"/>
        <v>0.650022421648355</v>
      </c>
    </row>
    <row r="127" spans="1:23" hidden="1" x14ac:dyDescent="0.35">
      <c r="A127" s="16">
        <v>29</v>
      </c>
      <c r="B127" s="7" t="s">
        <v>73</v>
      </c>
      <c r="C127" s="8" t="s">
        <v>74</v>
      </c>
      <c r="D127" s="9" t="s">
        <v>17</v>
      </c>
      <c r="E127" s="10" t="str">
        <f>'[1]B.kriteria &amp; R.kecocokan'!$B$23</f>
        <v>Banyak</v>
      </c>
      <c r="F127" s="10" t="str">
        <f>'[1]B.kriteria &amp; R.kecocokan'!$B$35</f>
        <v>Sangat Tinggi</v>
      </c>
      <c r="G127" s="5" t="str">
        <f>'[1]B.kriteria &amp; R.kecocokan'!$B$41</f>
        <v>Rendah</v>
      </c>
      <c r="H127" s="5" t="str">
        <f>'[1]B.kriteria &amp; R.kecocokan'!$B$72</f>
        <v>Rendah</v>
      </c>
      <c r="I127" s="5" t="str">
        <f>'[1]B.kriteria &amp; R.kecocokan'!$B$95</f>
        <v>Rendah</v>
      </c>
      <c r="J127" s="5" t="str">
        <f>'[1]B.kriteria &amp; R.kecocokan'!$B$80</f>
        <v>Rendah</v>
      </c>
      <c r="K127" s="10" t="str">
        <f>'[1]B.kriteria &amp; R.kecocokan'!$B$90</f>
        <v>Sangat Sedikit</v>
      </c>
      <c r="L127" s="5" t="str">
        <f>'[1]B.kriteria &amp; R.kecocokan'!$B$49</f>
        <v>Rendah</v>
      </c>
      <c r="M127" s="5" t="str">
        <f>'[1]B.kriteria &amp; R.kecocokan'!$B$57</f>
        <v>Rendah</v>
      </c>
      <c r="N127" s="6" t="str">
        <f>'[1]B.kriteria &amp; R.kecocokan'!$B$65</f>
        <v>Rendah</v>
      </c>
      <c r="O127" s="12" t="s">
        <v>18</v>
      </c>
      <c r="Q127" s="30"/>
      <c r="R127" s="30"/>
    </row>
    <row r="128" spans="1:23" hidden="1" x14ac:dyDescent="0.35">
      <c r="A128" s="15">
        <v>30</v>
      </c>
      <c r="B128" s="7" t="s">
        <v>75</v>
      </c>
      <c r="C128" s="8" t="s">
        <v>76</v>
      </c>
      <c r="D128" s="9" t="s">
        <v>17</v>
      </c>
      <c r="E128" s="10" t="str">
        <f>'[1]B.kriteria &amp; R.kecocokan'!$B$25</f>
        <v>Sedikit</v>
      </c>
      <c r="F128" s="10" t="str">
        <f>'[1]B.kriteria &amp; R.kecocokan'!$B$35</f>
        <v>Sangat Tinggi</v>
      </c>
      <c r="G128" s="5" t="str">
        <f>'[1]B.kriteria &amp; R.kecocokan'!$B$41</f>
        <v>Rendah</v>
      </c>
      <c r="H128" s="5" t="str">
        <f>'[1]B.kriteria &amp; R.kecocokan'!$B$72</f>
        <v>Rendah</v>
      </c>
      <c r="I128" s="5" t="str">
        <f>'[1]B.kriteria &amp; R.kecocokan'!$B$95</f>
        <v>Rendah</v>
      </c>
      <c r="J128" s="10" t="str">
        <f>'[1]B.kriteria &amp; R.kecocokan'!$B$81</f>
        <v>Tinggi</v>
      </c>
      <c r="K128" s="10" t="str">
        <f>'[1]B.kriteria &amp; R.kecocokan'!$B$88</f>
        <v>Sedang</v>
      </c>
      <c r="L128" s="10" t="str">
        <f>'[1]B.kriteria &amp; R.kecocokan'!$B$51</f>
        <v>Tinggi</v>
      </c>
      <c r="M128" s="10" t="str">
        <f>'[1]B.kriteria &amp; R.kecocokan'!$B$59</f>
        <v>Tinggi</v>
      </c>
      <c r="N128" s="6" t="str">
        <f>'[1]B.kriteria &amp; R.kecocokan'!$B$65</f>
        <v>Rendah</v>
      </c>
      <c r="O128" s="12" t="s">
        <v>36</v>
      </c>
      <c r="Q128" s="30"/>
      <c r="R128" s="30"/>
    </row>
    <row r="129" spans="1:18" x14ac:dyDescent="0.35">
      <c r="A129" s="15">
        <v>31</v>
      </c>
      <c r="B129" s="7" t="s">
        <v>77</v>
      </c>
      <c r="C129" s="8" t="s">
        <v>78</v>
      </c>
      <c r="D129" s="9" t="s">
        <v>17</v>
      </c>
      <c r="E129" s="4" t="str">
        <f>'[1]B.kriteria &amp; R.kecocokan'!$B$24</f>
        <v>Cukup</v>
      </c>
      <c r="F129" s="10" t="str">
        <f>'[1]B.kriteria &amp; R.kecocokan'!$B$35</f>
        <v>Sangat Tinggi</v>
      </c>
      <c r="G129" s="5" t="str">
        <f>'[1]B.kriteria &amp; R.kecocokan'!$B$41</f>
        <v>Rendah</v>
      </c>
      <c r="H129" s="5" t="str">
        <f>'[1]B.kriteria &amp; R.kecocokan'!$B$72</f>
        <v>Rendah</v>
      </c>
      <c r="I129" s="5" t="str">
        <f>'[1]B.kriteria &amp; R.kecocokan'!$B$95</f>
        <v>Rendah</v>
      </c>
      <c r="J129" s="5" t="str">
        <f>'[1]B.kriteria &amp; R.kecocokan'!$B$80</f>
        <v>Rendah</v>
      </c>
      <c r="K129" s="5" t="str">
        <f>'[1]B.kriteria &amp; R.kecocokan'!$B$89</f>
        <v>Sedikit</v>
      </c>
      <c r="L129" s="5" t="str">
        <f>'[1]B.kriteria &amp; R.kecocokan'!$B$49</f>
        <v>Rendah</v>
      </c>
      <c r="M129" s="10" t="str">
        <f>'[1]B.kriteria &amp; R.kecocokan'!$B$58</f>
        <v>Sedang</v>
      </c>
      <c r="N129" s="6" t="str">
        <f>'[1]B.kriteria &amp; R.kecocokan'!$B$65</f>
        <v>Rendah</v>
      </c>
      <c r="O129" s="12" t="s">
        <v>36</v>
      </c>
      <c r="Q129" s="30"/>
      <c r="R129" s="30"/>
    </row>
    <row r="130" spans="1:18" hidden="1" x14ac:dyDescent="0.35">
      <c r="A130" s="16">
        <v>32</v>
      </c>
      <c r="B130" s="7" t="s">
        <v>79</v>
      </c>
      <c r="C130" s="8" t="s">
        <v>80</v>
      </c>
      <c r="D130" s="9" t="s">
        <v>17</v>
      </c>
      <c r="E130" s="4" t="str">
        <f>'[1]B.kriteria &amp; R.kecocokan'!$B$24</f>
        <v>Cukup</v>
      </c>
      <c r="F130" s="10" t="str">
        <f>'[1]B.kriteria &amp; R.kecocokan'!$B$34</f>
        <v>Tinggi</v>
      </c>
      <c r="G130" s="5" t="str">
        <f>'[1]B.kriteria &amp; R.kecocokan'!$B$41</f>
        <v>Rendah</v>
      </c>
      <c r="H130" s="5" t="str">
        <f>'[1]B.kriteria &amp; R.kecocokan'!$B$72</f>
        <v>Rendah</v>
      </c>
      <c r="I130" s="5" t="str">
        <f>'[1]B.kriteria &amp; R.kecocokan'!$B$95</f>
        <v>Rendah</v>
      </c>
      <c r="J130" s="5" t="str">
        <f>'[1]B.kriteria &amp; R.kecocokan'!$B$80</f>
        <v>Rendah</v>
      </c>
      <c r="K130" s="10" t="str">
        <f>'[1]B.kriteria &amp; R.kecocokan'!$B$88</f>
        <v>Sedang</v>
      </c>
      <c r="L130" s="5" t="str">
        <f>'[1]B.kriteria &amp; R.kecocokan'!$B$49</f>
        <v>Rendah</v>
      </c>
      <c r="M130" s="5" t="str">
        <f>'[1]B.kriteria &amp; R.kecocokan'!$B$57</f>
        <v>Rendah</v>
      </c>
      <c r="N130" s="6" t="str">
        <f>'[1]B.kriteria &amp; R.kecocokan'!$B$65</f>
        <v>Rendah</v>
      </c>
      <c r="O130" s="12" t="s">
        <v>18</v>
      </c>
      <c r="Q130" s="30"/>
      <c r="R130" s="30"/>
    </row>
    <row r="131" spans="1:18" hidden="1" x14ac:dyDescent="0.35">
      <c r="A131" s="15">
        <v>33</v>
      </c>
      <c r="B131" s="7" t="s">
        <v>81</v>
      </c>
      <c r="C131" s="8" t="s">
        <v>82</v>
      </c>
      <c r="D131" s="9" t="s">
        <v>17</v>
      </c>
      <c r="E131" s="10" t="str">
        <f>'[1]B.kriteria &amp; R.kecocokan'!$B$25</f>
        <v>Sedikit</v>
      </c>
      <c r="F131" s="10" t="str">
        <f>'[1]B.kriteria &amp; R.kecocokan'!$B$34</f>
        <v>Tinggi</v>
      </c>
      <c r="G131" s="10" t="str">
        <f>'[1]B.kriteria &amp; R.kecocokan'!$B$43</f>
        <v>Tinggi</v>
      </c>
      <c r="H131" s="5" t="str">
        <f>'[1]B.kriteria &amp; R.kecocokan'!$B$72</f>
        <v>Rendah</v>
      </c>
      <c r="I131" s="5" t="str">
        <f>'[1]B.kriteria &amp; R.kecocokan'!$B$95</f>
        <v>Rendah</v>
      </c>
      <c r="J131" s="10" t="str">
        <f>'[1]B.kriteria &amp; R.kecocokan'!$B$81</f>
        <v>Tinggi</v>
      </c>
      <c r="K131" s="10" t="str">
        <f>'[1]B.kriteria &amp; R.kecocokan'!$B$90</f>
        <v>Sangat Sedikit</v>
      </c>
      <c r="L131" s="5" t="str">
        <f>'[1]B.kriteria &amp; R.kecocokan'!$B$49</f>
        <v>Rendah</v>
      </c>
      <c r="M131" s="5" t="str">
        <f>'[1]B.kriteria &amp; R.kecocokan'!$B$57</f>
        <v>Rendah</v>
      </c>
      <c r="N131" s="6" t="str">
        <f>'[1]B.kriteria &amp; R.kecocokan'!$B$65</f>
        <v>Rendah</v>
      </c>
      <c r="O131" s="12" t="s">
        <v>18</v>
      </c>
      <c r="Q131" s="30"/>
      <c r="R131" s="30"/>
    </row>
    <row r="132" spans="1:18" hidden="1" x14ac:dyDescent="0.35">
      <c r="A132" s="15">
        <v>34</v>
      </c>
      <c r="B132" s="7" t="s">
        <v>83</v>
      </c>
      <c r="C132" s="8" t="s">
        <v>84</v>
      </c>
      <c r="D132" s="9" t="s">
        <v>17</v>
      </c>
      <c r="E132" s="10" t="str">
        <f>'[1]B.kriteria &amp; R.kecocokan'!$B$23</f>
        <v>Banyak</v>
      </c>
      <c r="F132" s="10" t="str">
        <f>'[1]B.kriteria &amp; R.kecocokan'!$B$34</f>
        <v>Tinggi</v>
      </c>
      <c r="G132" s="5" t="str">
        <f>'[1]B.kriteria &amp; R.kecocokan'!$B$41</f>
        <v>Rendah</v>
      </c>
      <c r="H132" s="5" t="str">
        <f>'[1]B.kriteria &amp; R.kecocokan'!$B$72</f>
        <v>Rendah</v>
      </c>
      <c r="I132" s="5" t="str">
        <f>'[1]B.kriteria &amp; R.kecocokan'!$B$95</f>
        <v>Rendah</v>
      </c>
      <c r="J132" s="10" t="str">
        <f>'[1]B.kriteria &amp; R.kecocokan'!$B$81</f>
        <v>Tinggi</v>
      </c>
      <c r="K132" s="10" t="str">
        <f>'[1]B.kriteria &amp; R.kecocokan'!$B$90</f>
        <v>Sangat Sedikit</v>
      </c>
      <c r="L132" s="5" t="str">
        <f>'[1]B.kriteria &amp; R.kecocokan'!$B$49</f>
        <v>Rendah</v>
      </c>
      <c r="M132" s="5" t="str">
        <f>'[1]B.kriteria &amp; R.kecocokan'!$B$57</f>
        <v>Rendah</v>
      </c>
      <c r="N132" s="6" t="str">
        <f>'[1]B.kriteria &amp; R.kecocokan'!$B$65</f>
        <v>Rendah</v>
      </c>
      <c r="O132" s="12" t="s">
        <v>18</v>
      </c>
      <c r="Q132" s="30"/>
      <c r="R132" s="30"/>
    </row>
    <row r="133" spans="1:18" hidden="1" x14ac:dyDescent="0.35">
      <c r="A133" s="16">
        <v>35</v>
      </c>
      <c r="B133" s="7" t="s">
        <v>85</v>
      </c>
      <c r="C133" s="8" t="s">
        <v>86</v>
      </c>
      <c r="D133" s="9" t="s">
        <v>17</v>
      </c>
      <c r="E133" s="10" t="str">
        <f>'[1]B.kriteria &amp; R.kecocokan'!$B$25</f>
        <v>Sedikit</v>
      </c>
      <c r="F133" s="10" t="str">
        <f>'[1]B.kriteria &amp; R.kecocokan'!$B$34</f>
        <v>Tinggi</v>
      </c>
      <c r="G133" s="5" t="str">
        <f>'[1]B.kriteria &amp; R.kecocokan'!$B$41</f>
        <v>Rendah</v>
      </c>
      <c r="H133" s="10" t="str">
        <f>'[1]B.kriteria &amp; R.kecocokan'!$B$74</f>
        <v>Tinggi</v>
      </c>
      <c r="I133" s="5" t="str">
        <f>'[1]B.kriteria &amp; R.kecocokan'!$B$95</f>
        <v>Rendah</v>
      </c>
      <c r="J133" s="10" t="str">
        <f>'[1]B.kriteria &amp; R.kecocokan'!$B$81</f>
        <v>Tinggi</v>
      </c>
      <c r="K133" s="10" t="str">
        <f>'[1]B.kriteria &amp; R.kecocokan'!$B$90</f>
        <v>Sangat Sedikit</v>
      </c>
      <c r="L133" s="10" t="str">
        <f>'[1]B.kriteria &amp; R.kecocokan'!$B$50</f>
        <v>Sedang</v>
      </c>
      <c r="M133" s="10" t="str">
        <f>'[1]B.kriteria &amp; R.kecocokan'!$B$59</f>
        <v>Tinggi</v>
      </c>
      <c r="N133" s="6" t="str">
        <f>'[1]B.kriteria &amp; R.kecocokan'!$B$65</f>
        <v>Rendah</v>
      </c>
      <c r="O133" s="12" t="s">
        <v>36</v>
      </c>
      <c r="Q133" s="37"/>
      <c r="R133" s="35"/>
    </row>
    <row r="134" spans="1:18" hidden="1" x14ac:dyDescent="0.35">
      <c r="A134" s="15">
        <v>36</v>
      </c>
      <c r="B134" s="7" t="s">
        <v>87</v>
      </c>
      <c r="C134" s="8" t="s">
        <v>88</v>
      </c>
      <c r="D134" s="9" t="s">
        <v>17</v>
      </c>
      <c r="E134" s="4" t="str">
        <f>'[1]B.kriteria &amp; R.kecocokan'!$B$24</f>
        <v>Cukup</v>
      </c>
      <c r="F134" s="10" t="str">
        <f>'[1]B.kriteria &amp; R.kecocokan'!$B$34</f>
        <v>Tinggi</v>
      </c>
      <c r="G134" s="5" t="str">
        <f>'[1]B.kriteria &amp; R.kecocokan'!$B$41</f>
        <v>Rendah</v>
      </c>
      <c r="H134" s="5" t="str">
        <f>'[1]B.kriteria &amp; R.kecocokan'!$B$72</f>
        <v>Rendah</v>
      </c>
      <c r="I134" s="5" t="str">
        <f>'[1]B.kriteria &amp; R.kecocokan'!$B$95</f>
        <v>Rendah</v>
      </c>
      <c r="J134" s="5" t="str">
        <f>'[1]B.kriteria &amp; R.kecocokan'!$B$80</f>
        <v>Rendah</v>
      </c>
      <c r="K134" s="10" t="str">
        <f>'[1]B.kriteria &amp; R.kecocokan'!$B$90</f>
        <v>Sangat Sedikit</v>
      </c>
      <c r="L134" s="5" t="str">
        <f>'[1]B.kriteria &amp; R.kecocokan'!$B$49</f>
        <v>Rendah</v>
      </c>
      <c r="M134" s="5" t="str">
        <f>'[1]B.kriteria &amp; R.kecocokan'!$B$57</f>
        <v>Rendah</v>
      </c>
      <c r="N134" s="6" t="str">
        <f>'[1]B.kriteria &amp; R.kecocokan'!$B$65</f>
        <v>Rendah</v>
      </c>
      <c r="O134" s="12" t="s">
        <v>18</v>
      </c>
      <c r="Q134" s="35"/>
      <c r="R134" s="35"/>
    </row>
    <row r="135" spans="1:18" hidden="1" x14ac:dyDescent="0.35">
      <c r="A135" s="15">
        <v>37</v>
      </c>
      <c r="B135" s="7" t="s">
        <v>89</v>
      </c>
      <c r="C135" s="8" t="s">
        <v>90</v>
      </c>
      <c r="D135" s="9" t="s">
        <v>17</v>
      </c>
      <c r="E135" s="4" t="str">
        <f>'[1]B.kriteria &amp; R.kecocokan'!$B$24</f>
        <v>Cukup</v>
      </c>
      <c r="F135" s="10" t="str">
        <f>'[1]B.kriteria &amp; R.kecocokan'!$B$34</f>
        <v>Tinggi</v>
      </c>
      <c r="G135" s="5" t="str">
        <f>'[1]B.kriteria &amp; R.kecocokan'!$B$41</f>
        <v>Rendah</v>
      </c>
      <c r="H135" s="5" t="str">
        <f>'[1]B.kriteria &amp; R.kecocokan'!$B$72</f>
        <v>Rendah</v>
      </c>
      <c r="I135" s="5" t="str">
        <f>'[1]B.kriteria &amp; R.kecocokan'!$B$95</f>
        <v>Rendah</v>
      </c>
      <c r="J135" s="5" t="str">
        <f>'[1]B.kriteria &amp; R.kecocokan'!$B$80</f>
        <v>Rendah</v>
      </c>
      <c r="K135" s="10" t="str">
        <f>'[1]B.kriteria &amp; R.kecocokan'!$B$88</f>
        <v>Sedang</v>
      </c>
      <c r="L135" s="5" t="str">
        <f>'[1]B.kriteria &amp; R.kecocokan'!$B$49</f>
        <v>Rendah</v>
      </c>
      <c r="M135" s="5" t="str">
        <f>'[1]B.kriteria &amp; R.kecocokan'!$B$57</f>
        <v>Rendah</v>
      </c>
      <c r="N135" s="6" t="str">
        <f>'[1]B.kriteria &amp; R.kecocokan'!$B$65</f>
        <v>Rendah</v>
      </c>
      <c r="O135" s="12" t="s">
        <v>18</v>
      </c>
      <c r="Q135" s="35"/>
      <c r="R135" s="35"/>
    </row>
    <row r="136" spans="1:18" hidden="1" x14ac:dyDescent="0.35">
      <c r="A136" s="16">
        <v>38</v>
      </c>
      <c r="B136" s="7" t="s">
        <v>91</v>
      </c>
      <c r="C136" s="8" t="s">
        <v>92</v>
      </c>
      <c r="D136" s="9" t="s">
        <v>17</v>
      </c>
      <c r="E136" s="10" t="str">
        <f>'[1]B.kriteria &amp; R.kecocokan'!$B$25</f>
        <v>Sedikit</v>
      </c>
      <c r="F136" s="10" t="str">
        <f>'[1]B.kriteria &amp; R.kecocokan'!$B$34</f>
        <v>Tinggi</v>
      </c>
      <c r="G136" s="10" t="str">
        <f>'[1]B.kriteria &amp; R.kecocokan'!$B$43</f>
        <v>Tinggi</v>
      </c>
      <c r="H136" s="5" t="str">
        <f>'[1]B.kriteria &amp; R.kecocokan'!$B$72</f>
        <v>Rendah</v>
      </c>
      <c r="I136" s="5" t="str">
        <f>'[1]B.kriteria &amp; R.kecocokan'!$B$95</f>
        <v>Rendah</v>
      </c>
      <c r="J136" s="10" t="str">
        <f>'[1]B.kriteria &amp; R.kecocokan'!$B$81</f>
        <v>Tinggi</v>
      </c>
      <c r="K136" s="10" t="str">
        <f>'[1]B.kriteria &amp; R.kecocokan'!$B$90</f>
        <v>Sangat Sedikit</v>
      </c>
      <c r="L136" s="5" t="str">
        <f>'[1]B.kriteria &amp; R.kecocokan'!$B$49</f>
        <v>Rendah</v>
      </c>
      <c r="M136" s="5" t="str">
        <f>'[1]B.kriteria &amp; R.kecocokan'!$B$57</f>
        <v>Rendah</v>
      </c>
      <c r="N136" s="6" t="str">
        <f>'[1]B.kriteria &amp; R.kecocokan'!$B$65</f>
        <v>Rendah</v>
      </c>
      <c r="O136" s="12" t="s">
        <v>18</v>
      </c>
      <c r="Q136" s="30"/>
      <c r="R136" s="30"/>
    </row>
    <row r="137" spans="1:18" hidden="1" x14ac:dyDescent="0.35">
      <c r="A137" s="15">
        <v>39</v>
      </c>
      <c r="B137" s="7" t="s">
        <v>93</v>
      </c>
      <c r="C137" s="8" t="s">
        <v>94</v>
      </c>
      <c r="D137" s="9" t="s">
        <v>17</v>
      </c>
      <c r="E137" s="10" t="str">
        <f>'[1]B.kriteria &amp; R.kecocokan'!$B$25</f>
        <v>Sedikit</v>
      </c>
      <c r="F137" s="10" t="str">
        <f>'[1]B.kriteria &amp; R.kecocokan'!$B$34</f>
        <v>Tinggi</v>
      </c>
      <c r="G137" s="5" t="str">
        <f>'[1]B.kriteria &amp; R.kecocokan'!$B$41</f>
        <v>Rendah</v>
      </c>
      <c r="H137" s="5" t="str">
        <f>'[1]B.kriteria &amp; R.kecocokan'!$B$72</f>
        <v>Rendah</v>
      </c>
      <c r="I137" s="5" t="str">
        <f>'[1]B.kriteria &amp; R.kecocokan'!$B$95</f>
        <v>Rendah</v>
      </c>
      <c r="J137" s="10" t="str">
        <f>'[1]B.kriteria &amp; R.kecocokan'!$B$81</f>
        <v>Tinggi</v>
      </c>
      <c r="K137" s="10" t="str">
        <f>'[1]B.kriteria &amp; R.kecocokan'!$B$90</f>
        <v>Sangat Sedikit</v>
      </c>
      <c r="L137" s="5" t="str">
        <f>'[1]B.kriteria &amp; R.kecocokan'!$B$49</f>
        <v>Rendah</v>
      </c>
      <c r="M137" s="5" t="str">
        <f>'[1]B.kriteria &amp; R.kecocokan'!$B$57</f>
        <v>Rendah</v>
      </c>
      <c r="N137" s="6" t="str">
        <f>'[1]B.kriteria &amp; R.kecocokan'!$B$65</f>
        <v>Rendah</v>
      </c>
      <c r="O137" s="12" t="s">
        <v>18</v>
      </c>
      <c r="Q137" s="30"/>
      <c r="R137" s="30"/>
    </row>
    <row r="138" spans="1:18" hidden="1" x14ac:dyDescent="0.35">
      <c r="A138" s="15">
        <v>40</v>
      </c>
      <c r="B138" s="7" t="s">
        <v>95</v>
      </c>
      <c r="C138" s="8" t="s">
        <v>96</v>
      </c>
      <c r="D138" s="9" t="s">
        <v>17</v>
      </c>
      <c r="E138" s="4" t="str">
        <f>'[1]B.kriteria &amp; R.kecocokan'!$B$24</f>
        <v>Cukup</v>
      </c>
      <c r="F138" s="10" t="str">
        <f>'[1]B.kriteria &amp; R.kecocokan'!$B$34</f>
        <v>Tinggi</v>
      </c>
      <c r="G138" s="10" t="str">
        <f>'[1]B.kriteria &amp; R.kecocokan'!$B$43</f>
        <v>Tinggi</v>
      </c>
      <c r="H138" s="5" t="str">
        <f>'[1]B.kriteria &amp; R.kecocokan'!$B$72</f>
        <v>Rendah</v>
      </c>
      <c r="I138" s="5" t="str">
        <f>'[1]B.kriteria &amp; R.kecocokan'!$B$95</f>
        <v>Rendah</v>
      </c>
      <c r="J138" s="5" t="str">
        <f>'[1]B.kriteria &amp; R.kecocokan'!$B$80</f>
        <v>Rendah</v>
      </c>
      <c r="K138" s="10" t="str">
        <f>'[1]B.kriteria &amp; R.kecocokan'!$B$88</f>
        <v>Sedang</v>
      </c>
      <c r="L138" s="5" t="str">
        <f>'[1]B.kriteria &amp; R.kecocokan'!$B$49</f>
        <v>Rendah</v>
      </c>
      <c r="M138" s="5" t="str">
        <f>'[1]B.kriteria &amp; R.kecocokan'!$B$57</f>
        <v>Rendah</v>
      </c>
      <c r="N138" s="6" t="str">
        <f>'[1]B.kriteria &amp; R.kecocokan'!$B$65</f>
        <v>Rendah</v>
      </c>
      <c r="O138" s="12" t="s">
        <v>18</v>
      </c>
      <c r="Q138" s="30"/>
      <c r="R138" s="30"/>
    </row>
    <row r="139" spans="1:18" hidden="1" x14ac:dyDescent="0.35">
      <c r="A139" s="16">
        <v>41</v>
      </c>
      <c r="B139" s="7" t="s">
        <v>97</v>
      </c>
      <c r="C139" s="8" t="s">
        <v>98</v>
      </c>
      <c r="D139" s="9" t="s">
        <v>17</v>
      </c>
      <c r="E139" s="10" t="str">
        <f>'[1]B.kriteria &amp; R.kecocokan'!$B$23</f>
        <v>Banyak</v>
      </c>
      <c r="F139" s="10" t="str">
        <f>'[1]B.kriteria &amp; R.kecocokan'!$B$34</f>
        <v>Tinggi</v>
      </c>
      <c r="G139" s="5" t="str">
        <f>'[1]B.kriteria &amp; R.kecocokan'!$B$41</f>
        <v>Rendah</v>
      </c>
      <c r="H139" s="5" t="str">
        <f>'[1]B.kriteria &amp; R.kecocokan'!$B$72</f>
        <v>Rendah</v>
      </c>
      <c r="I139" s="5" t="str">
        <f>'[1]B.kriteria &amp; R.kecocokan'!$B$95</f>
        <v>Rendah</v>
      </c>
      <c r="J139" s="10" t="str">
        <f>'[1]B.kriteria &amp; R.kecocokan'!$B$81</f>
        <v>Tinggi</v>
      </c>
      <c r="K139" s="10" t="str">
        <f>'[1]B.kriteria &amp; R.kecocokan'!$B$90</f>
        <v>Sangat Sedikit</v>
      </c>
      <c r="L139" s="5" t="str">
        <f>'[1]B.kriteria &amp; R.kecocokan'!$B$49</f>
        <v>Rendah</v>
      </c>
      <c r="M139" s="5" t="str">
        <f>'[1]B.kriteria &amp; R.kecocokan'!$B$57</f>
        <v>Rendah</v>
      </c>
      <c r="N139" s="6" t="str">
        <f>'[1]B.kriteria &amp; R.kecocokan'!$B$65</f>
        <v>Rendah</v>
      </c>
      <c r="O139" s="12" t="s">
        <v>18</v>
      </c>
      <c r="Q139" s="30"/>
      <c r="R139" s="30"/>
    </row>
    <row r="140" spans="1:18" hidden="1" x14ac:dyDescent="0.35">
      <c r="A140" s="15">
        <v>42</v>
      </c>
      <c r="B140" s="8">
        <f>[1]Penghasilan!B117</f>
        <v>0</v>
      </c>
      <c r="C140" s="8" t="s">
        <v>99</v>
      </c>
      <c r="D140" s="9" t="s">
        <v>100</v>
      </c>
      <c r="E140" s="13" t="str">
        <f>'[1]B.kriteria &amp; R.kecocokan'!$B$25</f>
        <v>Sedikit</v>
      </c>
      <c r="F140" s="10" t="str">
        <f>'[1]B.kriteria &amp; R.kecocokan'!$B$34</f>
        <v>Tinggi</v>
      </c>
      <c r="G140" s="5" t="str">
        <f>'[1]B.kriteria &amp; R.kecocokan'!$B$41</f>
        <v>Rendah</v>
      </c>
      <c r="H140" s="5" t="str">
        <f>'[1]B.kriteria &amp; R.kecocokan'!$B$72</f>
        <v>Rendah</v>
      </c>
      <c r="I140" s="5" t="str">
        <f>'[1]B.kriteria &amp; R.kecocokan'!$B$95</f>
        <v>Rendah</v>
      </c>
      <c r="J140" s="10" t="str">
        <f>'[1]B.kriteria &amp; R.kecocokan'!$B$81</f>
        <v>Tinggi</v>
      </c>
      <c r="K140" s="10" t="str">
        <f>'[1]B.kriteria &amp; R.kecocokan'!$B$88</f>
        <v>Sedang</v>
      </c>
      <c r="L140" s="10" t="str">
        <f>'[1]B.kriteria &amp; R.kecocokan'!$B$50</f>
        <v>Sedang</v>
      </c>
      <c r="M140" s="5" t="str">
        <f>'[1]B.kriteria &amp; R.kecocokan'!$B$57</f>
        <v>Rendah</v>
      </c>
      <c r="N140" s="6" t="str">
        <f>'[1]B.kriteria &amp; R.kecocokan'!$B$65</f>
        <v>Rendah</v>
      </c>
      <c r="O140" s="12" t="s">
        <v>36</v>
      </c>
      <c r="Q140" s="30"/>
      <c r="R140" s="30"/>
    </row>
    <row r="141" spans="1:18" hidden="1" x14ac:dyDescent="0.35">
      <c r="A141" s="15">
        <v>43</v>
      </c>
      <c r="B141" s="8">
        <f>[1]Penghasilan!B130</f>
        <v>0</v>
      </c>
      <c r="C141" s="8" t="s">
        <v>101</v>
      </c>
      <c r="D141" s="9" t="s">
        <v>26</v>
      </c>
      <c r="E141" s="13" t="str">
        <f>'[1]B.kriteria &amp; R.kecocokan'!$B$25</f>
        <v>Sedikit</v>
      </c>
      <c r="F141" s="10" t="str">
        <f>'[1]B.kriteria &amp; R.kecocokan'!$B$34</f>
        <v>Tinggi</v>
      </c>
      <c r="G141" s="5" t="str">
        <f>'[1]B.kriteria &amp; R.kecocokan'!$B$41</f>
        <v>Rendah</v>
      </c>
      <c r="H141" s="5" t="str">
        <f>'[1]B.kriteria &amp; R.kecocokan'!$B$72</f>
        <v>Rendah</v>
      </c>
      <c r="I141" s="5" t="str">
        <f>'[1]B.kriteria &amp; R.kecocokan'!$B$95</f>
        <v>Rendah</v>
      </c>
      <c r="J141" s="5" t="str">
        <f>'[1]B.kriteria &amp; R.kecocokan'!$B$80</f>
        <v>Rendah</v>
      </c>
      <c r="K141" s="10" t="str">
        <f>'[1]B.kriteria &amp; R.kecocokan'!$B$90</f>
        <v>Sangat Sedikit</v>
      </c>
      <c r="L141" s="5" t="str">
        <f>'[1]B.kriteria &amp; R.kecocokan'!$B$49</f>
        <v>Rendah</v>
      </c>
      <c r="M141" s="5" t="str">
        <f>'[1]B.kriteria &amp; R.kecocokan'!$B$57</f>
        <v>Rendah</v>
      </c>
      <c r="N141" s="6" t="str">
        <f>'[1]B.kriteria &amp; R.kecocokan'!$B$65</f>
        <v>Rendah</v>
      </c>
      <c r="O141" s="12" t="s">
        <v>18</v>
      </c>
      <c r="Q141" s="30"/>
      <c r="R141" s="30"/>
    </row>
    <row r="142" spans="1:18" hidden="1" x14ac:dyDescent="0.35">
      <c r="A142" s="16">
        <v>44</v>
      </c>
      <c r="B142" s="8">
        <f>[1]Penghasilan!B129</f>
        <v>0</v>
      </c>
      <c r="C142" s="8" t="s">
        <v>102</v>
      </c>
      <c r="D142" s="9" t="s">
        <v>26</v>
      </c>
      <c r="E142" s="13" t="str">
        <f>'[1]B.kriteria &amp; R.kecocokan'!$B$25</f>
        <v>Sedikit</v>
      </c>
      <c r="F142" s="10" t="str">
        <f>'[1]B.kriteria &amp; R.kecocokan'!$B$35</f>
        <v>Sangat Tinggi</v>
      </c>
      <c r="G142" s="5" t="str">
        <f>'[1]B.kriteria &amp; R.kecocokan'!$B$41</f>
        <v>Rendah</v>
      </c>
      <c r="H142" s="5" t="str">
        <f>'[1]B.kriteria &amp; R.kecocokan'!$B$72</f>
        <v>Rendah</v>
      </c>
      <c r="I142" s="5" t="str">
        <f>'[1]B.kriteria &amp; R.kecocokan'!$B$95</f>
        <v>Rendah</v>
      </c>
      <c r="J142" s="10" t="str">
        <f>'[1]B.kriteria &amp; R.kecocokan'!$B$81</f>
        <v>Tinggi</v>
      </c>
      <c r="K142" s="10" t="str">
        <f>'[1]B.kriteria &amp; R.kecocokan'!$B$90</f>
        <v>Sangat Sedikit</v>
      </c>
      <c r="L142" s="10" t="str">
        <f>'[1]B.kriteria &amp; R.kecocokan'!$B$50</f>
        <v>Sedang</v>
      </c>
      <c r="M142" s="10" t="str">
        <f>'[1]B.kriteria &amp; R.kecocokan'!$B$59</f>
        <v>Tinggi</v>
      </c>
      <c r="N142" s="6" t="str">
        <f>'[1]B.kriteria &amp; R.kecocokan'!$B$65</f>
        <v>Rendah</v>
      </c>
      <c r="O142" s="12" t="s">
        <v>36</v>
      </c>
      <c r="Q142" s="30"/>
      <c r="R142" s="30"/>
    </row>
    <row r="143" spans="1:18" hidden="1" x14ac:dyDescent="0.35">
      <c r="A143" s="15">
        <v>45</v>
      </c>
      <c r="B143" s="8">
        <f>[1]Penghasilan!B131</f>
        <v>0</v>
      </c>
      <c r="C143" s="8" t="s">
        <v>103</v>
      </c>
      <c r="D143" s="9" t="s">
        <v>26</v>
      </c>
      <c r="E143" s="4" t="str">
        <f>'[1]B.kriteria &amp; R.kecocokan'!$B$24</f>
        <v>Cukup</v>
      </c>
      <c r="F143" s="10" t="str">
        <f>'[1]B.kriteria &amp; R.kecocokan'!$B$34</f>
        <v>Tinggi</v>
      </c>
      <c r="G143" s="5" t="str">
        <f>'[1]B.kriteria &amp; R.kecocokan'!$B$41</f>
        <v>Rendah</v>
      </c>
      <c r="H143" s="5" t="str">
        <f>'[1]B.kriteria &amp; R.kecocokan'!$B$72</f>
        <v>Rendah</v>
      </c>
      <c r="I143" s="5" t="str">
        <f>'[1]B.kriteria &amp; R.kecocokan'!$B$95</f>
        <v>Rendah</v>
      </c>
      <c r="J143" s="10" t="str">
        <f>'[1]B.kriteria &amp; R.kecocokan'!$B$81</f>
        <v>Tinggi</v>
      </c>
      <c r="K143" s="10" t="str">
        <f>'[1]B.kriteria &amp; R.kecocokan'!$B$90</f>
        <v>Sangat Sedikit</v>
      </c>
      <c r="L143" s="5" t="str">
        <f>'[1]B.kriteria &amp; R.kecocokan'!$B$49</f>
        <v>Rendah</v>
      </c>
      <c r="M143" s="5" t="str">
        <f>'[1]B.kriteria &amp; R.kecocokan'!$B$57</f>
        <v>Rendah</v>
      </c>
      <c r="N143" s="6" t="str">
        <f>'[1]B.kriteria &amp; R.kecocokan'!$B$65</f>
        <v>Rendah</v>
      </c>
      <c r="O143" s="12" t="s">
        <v>18</v>
      </c>
      <c r="Q143" s="30"/>
      <c r="R143" s="30"/>
    </row>
    <row r="144" spans="1:18" hidden="1" x14ac:dyDescent="0.35">
      <c r="A144" s="15">
        <v>46</v>
      </c>
      <c r="B144" s="8">
        <f>[1]Penghasilan!B135</f>
        <v>0</v>
      </c>
      <c r="C144" s="8" t="s">
        <v>104</v>
      </c>
      <c r="D144" s="9" t="s">
        <v>100</v>
      </c>
      <c r="E144" s="4" t="str">
        <f>'[1]B.kriteria &amp; R.kecocokan'!$B$24</f>
        <v>Cukup</v>
      </c>
      <c r="F144" s="10" t="str">
        <f>'[1]B.kriteria &amp; R.kecocokan'!$B$34</f>
        <v>Tinggi</v>
      </c>
      <c r="G144" s="5" t="str">
        <f>'[1]B.kriteria &amp; R.kecocokan'!$B$41</f>
        <v>Rendah</v>
      </c>
      <c r="H144" s="5" t="str">
        <f>'[1]B.kriteria &amp; R.kecocokan'!$B$72</f>
        <v>Rendah</v>
      </c>
      <c r="I144" s="5" t="str">
        <f>'[1]B.kriteria &amp; R.kecocokan'!$B$95</f>
        <v>Rendah</v>
      </c>
      <c r="J144" s="5" t="str">
        <f>'[1]B.kriteria &amp; R.kecocokan'!$B$80</f>
        <v>Rendah</v>
      </c>
      <c r="K144" s="10" t="str">
        <f>'[1]B.kriteria &amp; R.kecocokan'!$B$88</f>
        <v>Sedang</v>
      </c>
      <c r="L144" s="5" t="str">
        <f>'[1]B.kriteria &amp; R.kecocokan'!$B$49</f>
        <v>Rendah</v>
      </c>
      <c r="M144" s="5" t="str">
        <f>'[1]B.kriteria &amp; R.kecocokan'!$B$57</f>
        <v>Rendah</v>
      </c>
      <c r="N144" s="6" t="str">
        <f>'[1]B.kriteria &amp; R.kecocokan'!$B$65</f>
        <v>Rendah</v>
      </c>
      <c r="O144" s="12" t="s">
        <v>18</v>
      </c>
      <c r="Q144" s="30"/>
      <c r="R144" s="30"/>
    </row>
    <row r="145" spans="1:23" hidden="1" x14ac:dyDescent="0.35">
      <c r="A145" s="16">
        <v>47</v>
      </c>
      <c r="B145" s="8">
        <f>[1]Penghasilan!B127</f>
        <v>0</v>
      </c>
      <c r="C145" s="8" t="s">
        <v>105</v>
      </c>
      <c r="D145" s="9" t="s">
        <v>100</v>
      </c>
      <c r="E145" s="13" t="str">
        <f>'[1]B.kriteria &amp; R.kecocokan'!$B$25</f>
        <v>Sedikit</v>
      </c>
      <c r="F145" s="10" t="str">
        <f>'[1]B.kriteria &amp; R.kecocokan'!$B$34</f>
        <v>Tinggi</v>
      </c>
      <c r="G145" s="5" t="str">
        <f>'[1]B.kriteria &amp; R.kecocokan'!$B$41</f>
        <v>Rendah</v>
      </c>
      <c r="H145" s="5" t="str">
        <f>'[1]B.kriteria &amp; R.kecocokan'!$B$72</f>
        <v>Rendah</v>
      </c>
      <c r="I145" s="5" t="str">
        <f>'[1]B.kriteria &amp; R.kecocokan'!$B$95</f>
        <v>Rendah</v>
      </c>
      <c r="J145" s="10" t="str">
        <f>'[1]B.kriteria &amp; R.kecocokan'!$B$81</f>
        <v>Tinggi</v>
      </c>
      <c r="K145" s="10" t="str">
        <f>'[1]B.kriteria &amp; R.kecocokan'!$B$90</f>
        <v>Sangat Sedikit</v>
      </c>
      <c r="L145" s="5" t="str">
        <f>'[1]B.kriteria &amp; R.kecocokan'!$B$49</f>
        <v>Rendah</v>
      </c>
      <c r="M145" s="5" t="str">
        <f>'[1]B.kriteria &amp; R.kecocokan'!$B$57</f>
        <v>Rendah</v>
      </c>
      <c r="N145" s="6" t="str">
        <f>'[1]B.kriteria &amp; R.kecocokan'!$B$65</f>
        <v>Rendah</v>
      </c>
      <c r="O145" s="12" t="s">
        <v>18</v>
      </c>
      <c r="Q145" s="30"/>
      <c r="R145" s="30"/>
    </row>
    <row r="146" spans="1:23" hidden="1" x14ac:dyDescent="0.35">
      <c r="A146" s="15">
        <v>48</v>
      </c>
      <c r="B146" s="8">
        <f>[1]Penghasilan!B133</f>
        <v>0</v>
      </c>
      <c r="C146" s="8" t="s">
        <v>106</v>
      </c>
      <c r="D146" s="9" t="s">
        <v>26</v>
      </c>
      <c r="E146" s="4" t="str">
        <f>'[1]B.kriteria &amp; R.kecocokan'!$B$24</f>
        <v>Cukup</v>
      </c>
      <c r="F146" s="10" t="str">
        <f>'[1]B.kriteria &amp; R.kecocokan'!$B$34</f>
        <v>Tinggi</v>
      </c>
      <c r="G146" s="5" t="str">
        <f>'[1]B.kriteria &amp; R.kecocokan'!$B$41</f>
        <v>Rendah</v>
      </c>
      <c r="H146" s="5" t="str">
        <f>'[1]B.kriteria &amp; R.kecocokan'!$B$72</f>
        <v>Rendah</v>
      </c>
      <c r="I146" s="5" t="str">
        <f>'[1]B.kriteria &amp; R.kecocokan'!$B$95</f>
        <v>Rendah</v>
      </c>
      <c r="J146" s="5" t="str">
        <f>'[1]B.kriteria &amp; R.kecocokan'!$B$80</f>
        <v>Rendah</v>
      </c>
      <c r="K146" s="5" t="str">
        <f>'[1]B.kriteria &amp; R.kecocokan'!$B$89</f>
        <v>Sedikit</v>
      </c>
      <c r="L146" s="5" t="str">
        <f>'[1]B.kriteria &amp; R.kecocokan'!$B$49</f>
        <v>Rendah</v>
      </c>
      <c r="M146" s="5" t="str">
        <f>'[1]B.kriteria &amp; R.kecocokan'!$B$57</f>
        <v>Rendah</v>
      </c>
      <c r="N146" s="6" t="str">
        <f>'[1]B.kriteria &amp; R.kecocokan'!$B$65</f>
        <v>Rendah</v>
      </c>
      <c r="O146" s="12" t="s">
        <v>18</v>
      </c>
    </row>
    <row r="147" spans="1:23" hidden="1" x14ac:dyDescent="0.35">
      <c r="A147" s="15">
        <v>49</v>
      </c>
      <c r="B147" s="8">
        <f>[1]Penghasilan!B132</f>
        <v>0</v>
      </c>
      <c r="C147" s="8" t="s">
        <v>107</v>
      </c>
      <c r="D147" s="9" t="s">
        <v>100</v>
      </c>
      <c r="E147" s="13" t="str">
        <f>'[1]B.kriteria &amp; R.kecocokan'!$B$25</f>
        <v>Sedikit</v>
      </c>
      <c r="F147" s="10" t="str">
        <f>'[1]B.kriteria &amp; R.kecocokan'!$B$35</f>
        <v>Sangat Tinggi</v>
      </c>
      <c r="G147" s="5" t="str">
        <f>'[1]B.kriteria &amp; R.kecocokan'!$B$41</f>
        <v>Rendah</v>
      </c>
      <c r="H147" s="5" t="str">
        <f>'[1]B.kriteria &amp; R.kecocokan'!$B$72</f>
        <v>Rendah</v>
      </c>
      <c r="I147" s="5" t="str">
        <f>'[1]B.kriteria &amp; R.kecocokan'!$B$95</f>
        <v>Rendah</v>
      </c>
      <c r="J147" s="10" t="str">
        <f>'[1]B.kriteria &amp; R.kecocokan'!$B$81</f>
        <v>Tinggi</v>
      </c>
      <c r="K147" s="10" t="str">
        <f>'[1]B.kriteria &amp; R.kecocokan'!$B$90</f>
        <v>Sangat Sedikit</v>
      </c>
      <c r="L147" s="5" t="str">
        <f>'[1]B.kriteria &amp; R.kecocokan'!$B$49</f>
        <v>Rendah</v>
      </c>
      <c r="M147" s="5" t="str">
        <f>'[1]B.kriteria &amp; R.kecocokan'!$B$57</f>
        <v>Rendah</v>
      </c>
      <c r="N147" s="6" t="str">
        <f>'[1]B.kriteria &amp; R.kecocokan'!$B$65</f>
        <v>Rendah</v>
      </c>
      <c r="O147" s="12" t="s">
        <v>36</v>
      </c>
    </row>
    <row r="148" spans="1:23" hidden="1" x14ac:dyDescent="0.35">
      <c r="A148" s="16">
        <v>50</v>
      </c>
      <c r="B148" s="8">
        <f>[1]Penghasilan!B123</f>
        <v>0</v>
      </c>
      <c r="C148" s="8" t="s">
        <v>108</v>
      </c>
      <c r="D148" s="9" t="s">
        <v>100</v>
      </c>
      <c r="E148" s="13" t="str">
        <f>'[1]B.kriteria &amp; R.kecocokan'!$B$25</f>
        <v>Sedikit</v>
      </c>
      <c r="F148" s="10" t="str">
        <f>'[1]B.kriteria &amp; R.kecocokan'!$B$34</f>
        <v>Tinggi</v>
      </c>
      <c r="G148" s="5" t="str">
        <f>'[1]B.kriteria &amp; R.kecocokan'!$B$41</f>
        <v>Rendah</v>
      </c>
      <c r="H148" s="5" t="str">
        <f>'[1]B.kriteria &amp; R.kecocokan'!$B$72</f>
        <v>Rendah</v>
      </c>
      <c r="I148" s="5" t="str">
        <f>'[1]B.kriteria &amp; R.kecocokan'!$B$95</f>
        <v>Rendah</v>
      </c>
      <c r="J148" s="5" t="str">
        <f>'[1]B.kriteria &amp; R.kecocokan'!$B$80</f>
        <v>Rendah</v>
      </c>
      <c r="K148" s="10" t="str">
        <f>'[1]B.kriteria &amp; R.kecocokan'!$B$88</f>
        <v>Sedang</v>
      </c>
      <c r="L148" s="10" t="str">
        <f>'[1]B.kriteria &amp; R.kecocokan'!$B$50</f>
        <v>Sedang</v>
      </c>
      <c r="M148" s="10" t="str">
        <f>'[1]B.kriteria &amp; R.kecocokan'!$B$59</f>
        <v>Tinggi</v>
      </c>
      <c r="N148" s="6" t="str">
        <f>'[1]B.kriteria &amp; R.kecocokan'!$B$65</f>
        <v>Rendah</v>
      </c>
      <c r="O148" s="12" t="s">
        <v>36</v>
      </c>
    </row>
    <row r="149" spans="1:23" x14ac:dyDescent="0.35">
      <c r="A149" s="15">
        <v>51</v>
      </c>
      <c r="B149" s="8">
        <f>[1]Penghasilan!B125</f>
        <v>0</v>
      </c>
      <c r="C149" s="8" t="s">
        <v>109</v>
      </c>
      <c r="D149" s="9" t="s">
        <v>100</v>
      </c>
      <c r="E149" s="13" t="str">
        <f>'[1]B.kriteria &amp; R.kecocokan'!$B$25</f>
        <v>Sedikit</v>
      </c>
      <c r="F149" s="10" t="str">
        <f>'[1]B.kriteria &amp; R.kecocokan'!$B$34</f>
        <v>Tinggi</v>
      </c>
      <c r="G149" s="5" t="str">
        <f>'[1]B.kriteria &amp; R.kecocokan'!$B$41</f>
        <v>Rendah</v>
      </c>
      <c r="H149" s="5" t="str">
        <f>'[1]B.kriteria &amp; R.kecocokan'!$B$72</f>
        <v>Rendah</v>
      </c>
      <c r="I149" s="5" t="str">
        <f>'[1]B.kriteria &amp; R.kecocokan'!$B$95</f>
        <v>Rendah</v>
      </c>
      <c r="J149" s="5" t="str">
        <f>'[1]B.kriteria &amp; R.kecocokan'!$B$80</f>
        <v>Rendah</v>
      </c>
      <c r="K149" s="10" t="str">
        <f>'[1]B.kriteria &amp; R.kecocokan'!$B$88</f>
        <v>Sedang</v>
      </c>
      <c r="L149" s="5" t="str">
        <f>'[1]B.kriteria &amp; R.kecocokan'!$B$49</f>
        <v>Rendah</v>
      </c>
      <c r="M149" s="10" t="str">
        <f>'[1]B.kriteria &amp; R.kecocokan'!$B$58</f>
        <v>Sedang</v>
      </c>
      <c r="N149" s="6" t="str">
        <f>'[1]B.kriteria &amp; R.kecocokan'!$B$65</f>
        <v>Rendah</v>
      </c>
      <c r="O149" s="12" t="s">
        <v>18</v>
      </c>
      <c r="Q149" t="s">
        <v>183</v>
      </c>
      <c r="W149" s="41">
        <f>$V$109-((S177/$S$109*V177)+(S181/$S$109*V181))</f>
        <v>0</v>
      </c>
    </row>
    <row r="150" spans="1:23" hidden="1" x14ac:dyDescent="0.35">
      <c r="A150" s="15">
        <v>52</v>
      </c>
      <c r="B150" s="8">
        <f>[1]Penghasilan!B126</f>
        <v>0</v>
      </c>
      <c r="C150" s="8" t="s">
        <v>110</v>
      </c>
      <c r="D150" s="9" t="s">
        <v>100</v>
      </c>
      <c r="E150" s="13" t="str">
        <f>'[1]B.kriteria &amp; R.kecocokan'!$B$25</f>
        <v>Sedikit</v>
      </c>
      <c r="F150" s="10" t="str">
        <f>'[1]B.kriteria &amp; R.kecocokan'!$B$34</f>
        <v>Tinggi</v>
      </c>
      <c r="G150" s="5" t="str">
        <f>'[1]B.kriteria &amp; R.kecocokan'!$B$41</f>
        <v>Rendah</v>
      </c>
      <c r="H150" s="5" t="str">
        <f>'[1]B.kriteria &amp; R.kecocokan'!$B$72</f>
        <v>Rendah</v>
      </c>
      <c r="I150" s="5" t="str">
        <f>'[1]B.kriteria &amp; R.kecocokan'!$B$95</f>
        <v>Rendah</v>
      </c>
      <c r="J150" s="5" t="str">
        <f>'[1]B.kriteria &amp; R.kecocokan'!$B$80</f>
        <v>Rendah</v>
      </c>
      <c r="K150" s="5" t="str">
        <f>'[1]B.kriteria &amp; R.kecocokan'!$B$89</f>
        <v>Sedikit</v>
      </c>
      <c r="L150" s="5" t="str">
        <f>'[1]B.kriteria &amp; R.kecocokan'!$B$49</f>
        <v>Rendah</v>
      </c>
      <c r="M150" s="5" t="str">
        <f>'[1]B.kriteria &amp; R.kecocokan'!$B$57</f>
        <v>Rendah</v>
      </c>
      <c r="N150" s="6" t="str">
        <f>'[1]B.kriteria &amp; R.kecocokan'!$B$65</f>
        <v>Rendah</v>
      </c>
      <c r="O150" s="12" t="s">
        <v>18</v>
      </c>
    </row>
    <row r="151" spans="1:23" hidden="1" x14ac:dyDescent="0.35">
      <c r="A151" s="16">
        <v>53</v>
      </c>
      <c r="B151" s="8">
        <f>[1]Penghasilan!B128</f>
        <v>0</v>
      </c>
      <c r="C151" s="8" t="s">
        <v>111</v>
      </c>
      <c r="D151" s="9" t="s">
        <v>26</v>
      </c>
      <c r="E151" s="10" t="str">
        <f>'[1]B.kriteria &amp; R.kecocokan'!$B$23</f>
        <v>Banyak</v>
      </c>
      <c r="F151" s="10" t="str">
        <f>'[1]B.kriteria &amp; R.kecocokan'!$B$34</f>
        <v>Tinggi</v>
      </c>
      <c r="G151" s="5" t="str">
        <f>'[1]B.kriteria &amp; R.kecocokan'!$B$41</f>
        <v>Rendah</v>
      </c>
      <c r="H151" s="5" t="str">
        <f>'[1]B.kriteria &amp; R.kecocokan'!$B$72</f>
        <v>Rendah</v>
      </c>
      <c r="I151" s="5" t="str">
        <f>'[1]B.kriteria &amp; R.kecocokan'!$B$95</f>
        <v>Rendah</v>
      </c>
      <c r="J151" s="5" t="str">
        <f>'[1]B.kriteria &amp; R.kecocokan'!$B$80</f>
        <v>Rendah</v>
      </c>
      <c r="K151" s="10" t="str">
        <f>'[1]B.kriteria &amp; R.kecocokan'!$B$88</f>
        <v>Sedang</v>
      </c>
      <c r="L151" s="5" t="str">
        <f>'[1]B.kriteria &amp; R.kecocokan'!$B$49</f>
        <v>Rendah</v>
      </c>
      <c r="M151" s="5" t="str">
        <f>'[1]B.kriteria &amp; R.kecocokan'!$B$57</f>
        <v>Rendah</v>
      </c>
      <c r="N151" s="6" t="str">
        <f>'[1]B.kriteria &amp; R.kecocokan'!$B$65</f>
        <v>Rendah</v>
      </c>
      <c r="O151" s="12" t="s">
        <v>18</v>
      </c>
    </row>
    <row r="152" spans="1:23" hidden="1" x14ac:dyDescent="0.35">
      <c r="A152" s="15">
        <v>54</v>
      </c>
      <c r="B152" s="8">
        <f>[1]Penghasilan!B124</f>
        <v>0</v>
      </c>
      <c r="C152" s="8" t="s">
        <v>112</v>
      </c>
      <c r="D152" s="9" t="s">
        <v>100</v>
      </c>
      <c r="E152" s="10" t="str">
        <f>'[1]B.kriteria &amp; R.kecocokan'!$B$23</f>
        <v>Banyak</v>
      </c>
      <c r="F152" s="10" t="str">
        <f>'[1]B.kriteria &amp; R.kecocokan'!$B$34</f>
        <v>Tinggi</v>
      </c>
      <c r="G152" s="5" t="str">
        <f>'[1]B.kriteria &amp; R.kecocokan'!$B$41</f>
        <v>Rendah</v>
      </c>
      <c r="H152" s="5" t="str">
        <f>'[1]B.kriteria &amp; R.kecocokan'!$B$72</f>
        <v>Rendah</v>
      </c>
      <c r="I152" s="5" t="str">
        <f>'[1]B.kriteria &amp; R.kecocokan'!$B$95</f>
        <v>Rendah</v>
      </c>
      <c r="J152" s="5" t="str">
        <f>'[1]B.kriteria &amp; R.kecocokan'!$B$80</f>
        <v>Rendah</v>
      </c>
      <c r="K152" s="5" t="str">
        <f>'[1]B.kriteria &amp; R.kecocokan'!$B$89</f>
        <v>Sedikit</v>
      </c>
      <c r="L152" s="5" t="str">
        <f>'[1]B.kriteria &amp; R.kecocokan'!$B$49</f>
        <v>Rendah</v>
      </c>
      <c r="M152" s="5" t="str">
        <f>'[1]B.kriteria &amp; R.kecocokan'!$B$57</f>
        <v>Rendah</v>
      </c>
      <c r="N152" s="6" t="str">
        <f>'[1]B.kriteria &amp; R.kecocokan'!$B$65</f>
        <v>Rendah</v>
      </c>
      <c r="O152" s="12" t="s">
        <v>18</v>
      </c>
    </row>
    <row r="153" spans="1:23" hidden="1" x14ac:dyDescent="0.35">
      <c r="A153" s="15">
        <v>55</v>
      </c>
      <c r="B153" s="8">
        <f>[1]Penghasilan!B136</f>
        <v>0</v>
      </c>
      <c r="C153" s="8" t="s">
        <v>113</v>
      </c>
      <c r="D153" s="9" t="s">
        <v>100</v>
      </c>
      <c r="E153" s="13" t="str">
        <f>'[1]B.kriteria &amp; R.kecocokan'!$B$25</f>
        <v>Sedikit</v>
      </c>
      <c r="F153" s="10" t="str">
        <f>'[1]B.kriteria &amp; R.kecocokan'!$B$34</f>
        <v>Tinggi</v>
      </c>
      <c r="G153" s="10" t="str">
        <f>'[1]B.kriteria &amp; R.kecocokan'!$B$43</f>
        <v>Tinggi</v>
      </c>
      <c r="H153" s="5" t="str">
        <f>'[1]B.kriteria &amp; R.kecocokan'!$B$72</f>
        <v>Rendah</v>
      </c>
      <c r="I153" s="5" t="str">
        <f>'[1]B.kriteria &amp; R.kecocokan'!$B$95</f>
        <v>Rendah</v>
      </c>
      <c r="J153" s="5" t="str">
        <f>'[1]B.kriteria &amp; R.kecocokan'!$B$80</f>
        <v>Rendah</v>
      </c>
      <c r="K153" s="5" t="str">
        <f>'[1]B.kriteria &amp; R.kecocokan'!$B$89</f>
        <v>Sedikit</v>
      </c>
      <c r="L153" s="5" t="str">
        <f>'[1]B.kriteria &amp; R.kecocokan'!$B$49</f>
        <v>Rendah</v>
      </c>
      <c r="M153" s="5" t="str">
        <f>'[1]B.kriteria &amp; R.kecocokan'!$B$57</f>
        <v>Rendah</v>
      </c>
      <c r="N153" s="6" t="str">
        <f>'[1]B.kriteria &amp; R.kecocokan'!$B$65</f>
        <v>Rendah</v>
      </c>
      <c r="O153" s="12" t="s">
        <v>18</v>
      </c>
    </row>
    <row r="154" spans="1:23" hidden="1" x14ac:dyDescent="0.35">
      <c r="A154" s="16">
        <v>56</v>
      </c>
      <c r="B154" s="8">
        <f>[1]Penghasilan!B137</f>
        <v>0</v>
      </c>
      <c r="C154" s="8" t="s">
        <v>114</v>
      </c>
      <c r="D154" s="9" t="s">
        <v>26</v>
      </c>
      <c r="E154" s="10" t="str">
        <f>'[1]B.kriteria &amp; R.kecocokan'!$B$23</f>
        <v>Banyak</v>
      </c>
      <c r="F154" s="10" t="str">
        <f>'[1]B.kriteria &amp; R.kecocokan'!$B$34</f>
        <v>Tinggi</v>
      </c>
      <c r="G154" s="5" t="str">
        <f>'[1]B.kriteria &amp; R.kecocokan'!$B$41</f>
        <v>Rendah</v>
      </c>
      <c r="H154" s="5" t="str">
        <f>'[1]B.kriteria &amp; R.kecocokan'!$B$72</f>
        <v>Rendah</v>
      </c>
      <c r="I154" s="5" t="str">
        <f>'[1]B.kriteria &amp; R.kecocokan'!$B$95</f>
        <v>Rendah</v>
      </c>
      <c r="J154" s="10" t="str">
        <f>'[1]B.kriteria &amp; R.kecocokan'!$B$81</f>
        <v>Tinggi</v>
      </c>
      <c r="K154" s="10" t="str">
        <f>'[1]B.kriteria &amp; R.kecocokan'!$B$90</f>
        <v>Sangat Sedikit</v>
      </c>
      <c r="L154" s="5" t="str">
        <f>'[1]B.kriteria &amp; R.kecocokan'!$B$49</f>
        <v>Rendah</v>
      </c>
      <c r="M154" s="5" t="str">
        <f>'[1]B.kriteria &amp; R.kecocokan'!$B$57</f>
        <v>Rendah</v>
      </c>
      <c r="N154" s="6" t="str">
        <f>'[1]B.kriteria &amp; R.kecocokan'!$B$65</f>
        <v>Rendah</v>
      </c>
      <c r="O154" s="12" t="s">
        <v>18</v>
      </c>
    </row>
    <row r="155" spans="1:23" hidden="1" x14ac:dyDescent="0.35">
      <c r="A155" s="15">
        <v>57</v>
      </c>
      <c r="B155" s="8">
        <f>[1]Penghasilan!B138</f>
        <v>0</v>
      </c>
      <c r="C155" s="8" t="s">
        <v>115</v>
      </c>
      <c r="D155" s="9" t="s">
        <v>100</v>
      </c>
      <c r="E155" s="10" t="str">
        <f>'[1]B.kriteria &amp; R.kecocokan'!$B$23</f>
        <v>Banyak</v>
      </c>
      <c r="F155" s="10" t="str">
        <f>'[1]B.kriteria &amp; R.kecocokan'!$B$34</f>
        <v>Tinggi</v>
      </c>
      <c r="G155" s="5" t="str">
        <f>'[1]B.kriteria &amp; R.kecocokan'!$B$41</f>
        <v>Rendah</v>
      </c>
      <c r="H155" s="5" t="str">
        <f>'[1]B.kriteria &amp; R.kecocokan'!$B$72</f>
        <v>Rendah</v>
      </c>
      <c r="I155" s="5" t="str">
        <f>'[1]B.kriteria &amp; R.kecocokan'!$B$95</f>
        <v>Rendah</v>
      </c>
      <c r="J155" s="5" t="str">
        <f>'[1]B.kriteria &amp; R.kecocokan'!$B$80</f>
        <v>Rendah</v>
      </c>
      <c r="K155" s="10" t="str">
        <f>'[1]B.kriteria &amp; R.kecocokan'!$B$88</f>
        <v>Sedang</v>
      </c>
      <c r="L155" s="5" t="str">
        <f>'[1]B.kriteria &amp; R.kecocokan'!$B$49</f>
        <v>Rendah</v>
      </c>
      <c r="M155" s="5" t="str">
        <f>'[1]B.kriteria &amp; R.kecocokan'!$B$57</f>
        <v>Rendah</v>
      </c>
      <c r="N155" s="6" t="str">
        <f>'[1]B.kriteria &amp; R.kecocokan'!$B$65</f>
        <v>Rendah</v>
      </c>
      <c r="O155" s="12" t="s">
        <v>18</v>
      </c>
    </row>
    <row r="156" spans="1:23" hidden="1" x14ac:dyDescent="0.35">
      <c r="A156" s="15">
        <v>58</v>
      </c>
      <c r="B156" s="8">
        <f>[1]Penghasilan!B139</f>
        <v>0</v>
      </c>
      <c r="C156" s="8" t="s">
        <v>116</v>
      </c>
      <c r="D156" s="9" t="s">
        <v>100</v>
      </c>
      <c r="E156" s="13" t="str">
        <f>'[1]B.kriteria &amp; R.kecocokan'!$B$25</f>
        <v>Sedikit</v>
      </c>
      <c r="F156" s="10" t="str">
        <f>'[1]B.kriteria &amp; R.kecocokan'!$B$34</f>
        <v>Tinggi</v>
      </c>
      <c r="G156" s="5" t="str">
        <f>'[1]B.kriteria &amp; R.kecocokan'!$B$41</f>
        <v>Rendah</v>
      </c>
      <c r="H156" s="5" t="str">
        <f>'[1]B.kriteria &amp; R.kecocokan'!$B$72</f>
        <v>Rendah</v>
      </c>
      <c r="I156" s="5" t="str">
        <f>'[1]B.kriteria &amp; R.kecocokan'!$B$95</f>
        <v>Rendah</v>
      </c>
      <c r="J156" s="5" t="str">
        <f>'[1]B.kriteria &amp; R.kecocokan'!$B$80</f>
        <v>Rendah</v>
      </c>
      <c r="K156" s="10" t="str">
        <f>'[1]B.kriteria &amp; R.kecocokan'!$B$88</f>
        <v>Sedang</v>
      </c>
      <c r="L156" s="5" t="str">
        <f>'[1]B.kriteria &amp; R.kecocokan'!$B$49</f>
        <v>Rendah</v>
      </c>
      <c r="M156" s="5" t="str">
        <f>'[1]B.kriteria &amp; R.kecocokan'!$B$57</f>
        <v>Rendah</v>
      </c>
      <c r="N156" s="6" t="str">
        <f>'[1]B.kriteria &amp; R.kecocokan'!$B$65</f>
        <v>Rendah</v>
      </c>
      <c r="O156" s="12" t="s">
        <v>18</v>
      </c>
    </row>
    <row r="157" spans="1:23" hidden="1" x14ac:dyDescent="0.35">
      <c r="A157" s="16">
        <v>59</v>
      </c>
      <c r="B157" s="8">
        <f>[1]Penghasilan!B140</f>
        <v>0</v>
      </c>
      <c r="C157" s="8" t="s">
        <v>117</v>
      </c>
      <c r="D157" s="9" t="s">
        <v>100</v>
      </c>
      <c r="E157" s="10" t="str">
        <f>'[1]B.kriteria &amp; R.kecocokan'!$B$23</f>
        <v>Banyak</v>
      </c>
      <c r="F157" s="10" t="str">
        <f>'[1]B.kriteria &amp; R.kecocokan'!$B$34</f>
        <v>Tinggi</v>
      </c>
      <c r="G157" s="5" t="str">
        <f>'[1]B.kriteria &amp; R.kecocokan'!$B$41</f>
        <v>Rendah</v>
      </c>
      <c r="H157" s="5" t="str">
        <f>'[1]B.kriteria &amp; R.kecocokan'!$B$72</f>
        <v>Rendah</v>
      </c>
      <c r="I157" s="5" t="str">
        <f>'[1]B.kriteria &amp; R.kecocokan'!$B$95</f>
        <v>Rendah</v>
      </c>
      <c r="J157" s="5" t="str">
        <f>'[1]B.kriteria &amp; R.kecocokan'!$B$80</f>
        <v>Rendah</v>
      </c>
      <c r="K157" s="10" t="str">
        <f>'[1]B.kriteria &amp; R.kecocokan'!$B$90</f>
        <v>Sangat Sedikit</v>
      </c>
      <c r="L157" s="5" t="str">
        <f>'[1]B.kriteria &amp; R.kecocokan'!$B$49</f>
        <v>Rendah</v>
      </c>
      <c r="M157" s="5" t="str">
        <f>'[1]B.kriteria &amp; R.kecocokan'!$B$57</f>
        <v>Rendah</v>
      </c>
      <c r="N157" s="6" t="str">
        <f>'[1]B.kriteria &amp; R.kecocokan'!$B$65</f>
        <v>Rendah</v>
      </c>
      <c r="O157" s="12" t="s">
        <v>18</v>
      </c>
    </row>
    <row r="158" spans="1:23" hidden="1" x14ac:dyDescent="0.35">
      <c r="A158" s="15">
        <v>60</v>
      </c>
      <c r="B158" s="8">
        <f>[1]Penghasilan!B141</f>
        <v>0</v>
      </c>
      <c r="C158" s="8" t="s">
        <v>118</v>
      </c>
      <c r="D158" s="9" t="s">
        <v>26</v>
      </c>
      <c r="E158" s="13" t="str">
        <f>'[1]B.kriteria &amp; R.kecocokan'!$B$25</f>
        <v>Sedikit</v>
      </c>
      <c r="F158" s="10" t="str">
        <f>'[1]B.kriteria &amp; R.kecocokan'!$B$34</f>
        <v>Tinggi</v>
      </c>
      <c r="G158" s="5" t="str">
        <f>'[1]B.kriteria &amp; R.kecocokan'!$B$41</f>
        <v>Rendah</v>
      </c>
      <c r="H158" s="5" t="str">
        <f>'[1]B.kriteria &amp; R.kecocokan'!$B$72</f>
        <v>Rendah</v>
      </c>
      <c r="I158" s="5" t="str">
        <f>'[1]B.kriteria &amp; R.kecocokan'!$B$95</f>
        <v>Rendah</v>
      </c>
      <c r="J158" s="10" t="str">
        <f>'[1]B.kriteria &amp; R.kecocokan'!$B$81</f>
        <v>Tinggi</v>
      </c>
      <c r="K158" s="10" t="str">
        <f>'[1]B.kriteria &amp; R.kecocokan'!$B$90</f>
        <v>Sangat Sedikit</v>
      </c>
      <c r="L158" s="5" t="str">
        <f>'[1]B.kriteria &amp; R.kecocokan'!$B$49</f>
        <v>Rendah</v>
      </c>
      <c r="M158" s="5" t="str">
        <f>'[1]B.kriteria &amp; R.kecocokan'!$B$57</f>
        <v>Rendah</v>
      </c>
      <c r="N158" s="6" t="str">
        <f>'[1]B.kriteria &amp; R.kecocokan'!$B$65</f>
        <v>Rendah</v>
      </c>
      <c r="O158" s="12" t="s">
        <v>18</v>
      </c>
    </row>
    <row r="159" spans="1:23" hidden="1" x14ac:dyDescent="0.35">
      <c r="A159" s="15">
        <v>61</v>
      </c>
      <c r="B159" s="8" t="str">
        <f>[1]Penghasilan!B101</f>
        <v>3523151604600002</v>
      </c>
      <c r="C159" s="8" t="s">
        <v>119</v>
      </c>
      <c r="D159" s="9" t="s">
        <v>26</v>
      </c>
      <c r="E159" s="13" t="str">
        <f>'[1]B.kriteria &amp; R.kecocokan'!$B$25</f>
        <v>Sedikit</v>
      </c>
      <c r="F159" s="10" t="str">
        <f>'[1]B.kriteria &amp; R.kecocokan'!$B$34</f>
        <v>Tinggi</v>
      </c>
      <c r="G159" s="5" t="str">
        <f>'[1]B.kriteria &amp; R.kecocokan'!$B$41</f>
        <v>Rendah</v>
      </c>
      <c r="H159" s="5" t="str">
        <f>'[1]B.kriteria &amp; R.kecocokan'!$B$72</f>
        <v>Rendah</v>
      </c>
      <c r="I159" s="5" t="str">
        <f>'[1]B.kriteria &amp; R.kecocokan'!$B$95</f>
        <v>Rendah</v>
      </c>
      <c r="J159" s="5" t="str">
        <f>'[1]B.kriteria &amp; R.kecocokan'!$B$80</f>
        <v>Rendah</v>
      </c>
      <c r="K159" s="5" t="str">
        <f>'[1]B.kriteria &amp; R.kecocokan'!$B$89</f>
        <v>Sedikit</v>
      </c>
      <c r="L159" s="5" t="str">
        <f>'[1]B.kriteria &amp; R.kecocokan'!$B$49</f>
        <v>Rendah</v>
      </c>
      <c r="M159" s="5" t="str">
        <f>'[1]B.kriteria &amp; R.kecocokan'!$B$57</f>
        <v>Rendah</v>
      </c>
      <c r="N159" s="6" t="str">
        <f>'[1]B.kriteria &amp; R.kecocokan'!$B$65</f>
        <v>Rendah</v>
      </c>
      <c r="O159" s="12" t="s">
        <v>18</v>
      </c>
    </row>
    <row r="160" spans="1:23" hidden="1" x14ac:dyDescent="0.35">
      <c r="A160" s="16">
        <v>62</v>
      </c>
      <c r="B160" s="8">
        <f>[1]Penghasilan!B142</f>
        <v>0</v>
      </c>
      <c r="C160" s="8" t="s">
        <v>120</v>
      </c>
      <c r="D160" s="9" t="s">
        <v>26</v>
      </c>
      <c r="E160" s="13" t="str">
        <f>'[1]B.kriteria &amp; R.kecocokan'!$B$25</f>
        <v>Sedikit</v>
      </c>
      <c r="F160" s="10" t="str">
        <f>'[1]B.kriteria &amp; R.kecocokan'!$B$34</f>
        <v>Tinggi</v>
      </c>
      <c r="G160" s="5" t="str">
        <f>'[1]B.kriteria &amp; R.kecocokan'!$B$41</f>
        <v>Rendah</v>
      </c>
      <c r="H160" s="5" t="str">
        <f>'[1]B.kriteria &amp; R.kecocokan'!$B$72</f>
        <v>Rendah</v>
      </c>
      <c r="I160" s="5" t="str">
        <f>'[1]B.kriteria &amp; R.kecocokan'!$B$95</f>
        <v>Rendah</v>
      </c>
      <c r="J160" s="10" t="str">
        <f>'[1]B.kriteria &amp; R.kecocokan'!$B$81</f>
        <v>Tinggi</v>
      </c>
      <c r="K160" s="10" t="str">
        <f>'[1]B.kriteria &amp; R.kecocokan'!$B$90</f>
        <v>Sangat Sedikit</v>
      </c>
      <c r="L160" s="5" t="str">
        <f>'[1]B.kriteria &amp; R.kecocokan'!$B$49</f>
        <v>Rendah</v>
      </c>
      <c r="M160" s="5" t="str">
        <f>'[1]B.kriteria &amp; R.kecocokan'!$B$57</f>
        <v>Rendah</v>
      </c>
      <c r="N160" s="6" t="str">
        <f>'[1]B.kriteria &amp; R.kecocokan'!$B$65</f>
        <v>Rendah</v>
      </c>
      <c r="O160" s="12" t="s">
        <v>36</v>
      </c>
    </row>
    <row r="161" spans="1:15" hidden="1" x14ac:dyDescent="0.35">
      <c r="A161" s="15">
        <v>63</v>
      </c>
      <c r="B161" s="8">
        <f>[1]Penghasilan!B145</f>
        <v>0</v>
      </c>
      <c r="C161" s="8" t="s">
        <v>121</v>
      </c>
      <c r="D161" s="9" t="s">
        <v>26</v>
      </c>
      <c r="E161" s="10" t="str">
        <f>'[1]B.kriteria &amp; R.kecocokan'!$B$23</f>
        <v>Banyak</v>
      </c>
      <c r="F161" s="10" t="str">
        <f>'[1]B.kriteria &amp; R.kecocokan'!$B$34</f>
        <v>Tinggi</v>
      </c>
      <c r="G161" s="5" t="str">
        <f>'[1]B.kriteria &amp; R.kecocokan'!$B$41</f>
        <v>Rendah</v>
      </c>
      <c r="H161" s="5" t="str">
        <f>'[1]B.kriteria &amp; R.kecocokan'!$B$72</f>
        <v>Rendah</v>
      </c>
      <c r="I161" s="5" t="str">
        <f>'[1]B.kriteria &amp; R.kecocokan'!$B$95</f>
        <v>Rendah</v>
      </c>
      <c r="J161" s="10" t="str">
        <f>'[1]B.kriteria &amp; R.kecocokan'!$B$81</f>
        <v>Tinggi</v>
      </c>
      <c r="K161" s="10" t="str">
        <f>'[1]B.kriteria &amp; R.kecocokan'!$B$90</f>
        <v>Sangat Sedikit</v>
      </c>
      <c r="L161" s="5" t="str">
        <f>'[1]B.kriteria &amp; R.kecocokan'!$B$49</f>
        <v>Rendah</v>
      </c>
      <c r="M161" s="5" t="str">
        <f>'[1]B.kriteria &amp; R.kecocokan'!$B$57</f>
        <v>Rendah</v>
      </c>
      <c r="N161" s="6" t="str">
        <f>'[1]B.kriteria &amp; R.kecocokan'!$B$65</f>
        <v>Rendah</v>
      </c>
      <c r="O161" s="12" t="s">
        <v>18</v>
      </c>
    </row>
    <row r="162" spans="1:15" hidden="1" x14ac:dyDescent="0.35">
      <c r="A162" s="15">
        <v>64</v>
      </c>
      <c r="B162" s="8">
        <f>[1]Penghasilan!B143</f>
        <v>0</v>
      </c>
      <c r="C162" s="8" t="s">
        <v>122</v>
      </c>
      <c r="D162" s="9" t="s">
        <v>123</v>
      </c>
      <c r="E162" s="13" t="str">
        <f>'[1]B.kriteria &amp; R.kecocokan'!$B$25</f>
        <v>Sedikit</v>
      </c>
      <c r="F162" s="10" t="str">
        <f>'[1]B.kriteria &amp; R.kecocokan'!$B$34</f>
        <v>Tinggi</v>
      </c>
      <c r="G162" s="5" t="str">
        <f>'[1]B.kriteria &amp; R.kecocokan'!$B$41</f>
        <v>Rendah</v>
      </c>
      <c r="H162" s="5" t="str">
        <f>'[1]B.kriteria &amp; R.kecocokan'!$B$72</f>
        <v>Rendah</v>
      </c>
      <c r="I162" s="5" t="str">
        <f>'[1]B.kriteria &amp; R.kecocokan'!$B$95</f>
        <v>Rendah</v>
      </c>
      <c r="J162" s="10" t="str">
        <f>'[1]B.kriteria &amp; R.kecocokan'!$B$81</f>
        <v>Tinggi</v>
      </c>
      <c r="K162" s="10" t="str">
        <f>'[1]B.kriteria &amp; R.kecocokan'!$B$90</f>
        <v>Sangat Sedikit</v>
      </c>
      <c r="L162" s="5" t="str">
        <f>'[1]B.kriteria &amp; R.kecocokan'!$B$49</f>
        <v>Rendah</v>
      </c>
      <c r="M162" s="5" t="str">
        <f>'[1]B.kriteria &amp; R.kecocokan'!$B$57</f>
        <v>Rendah</v>
      </c>
      <c r="N162" s="6" t="str">
        <f>'[1]B.kriteria &amp; R.kecocokan'!$B$65</f>
        <v>Rendah</v>
      </c>
      <c r="O162" s="12" t="s">
        <v>18</v>
      </c>
    </row>
    <row r="163" spans="1:15" hidden="1" x14ac:dyDescent="0.35">
      <c r="A163" s="16">
        <v>65</v>
      </c>
      <c r="B163" s="8">
        <f>[1]Penghasilan!B144</f>
        <v>0</v>
      </c>
      <c r="C163" s="8" t="s">
        <v>124</v>
      </c>
      <c r="D163" s="9" t="s">
        <v>26</v>
      </c>
      <c r="E163" s="10" t="str">
        <f>'[1]B.kriteria &amp; R.kecocokan'!$B$23</f>
        <v>Banyak</v>
      </c>
      <c r="F163" s="10" t="str">
        <f>'[1]B.kriteria &amp; R.kecocokan'!$B$34</f>
        <v>Tinggi</v>
      </c>
      <c r="G163" s="5" t="str">
        <f>'[1]B.kriteria &amp; R.kecocokan'!$B$41</f>
        <v>Rendah</v>
      </c>
      <c r="H163" s="5" t="str">
        <f>'[1]B.kriteria &amp; R.kecocokan'!$B$72</f>
        <v>Rendah</v>
      </c>
      <c r="I163" s="5" t="str">
        <f>'[1]B.kriteria &amp; R.kecocokan'!$B$95</f>
        <v>Rendah</v>
      </c>
      <c r="J163" s="5" t="str">
        <f>'[1]B.kriteria &amp; R.kecocokan'!$B$80</f>
        <v>Rendah</v>
      </c>
      <c r="K163" s="5" t="str">
        <f>'[1]B.kriteria &amp; R.kecocokan'!$B$89</f>
        <v>Sedikit</v>
      </c>
      <c r="L163" s="5" t="str">
        <f>'[1]B.kriteria &amp; R.kecocokan'!$B$49</f>
        <v>Rendah</v>
      </c>
      <c r="M163" s="5" t="str">
        <f>'[1]B.kriteria &amp; R.kecocokan'!$B$57</f>
        <v>Rendah</v>
      </c>
      <c r="N163" s="6" t="str">
        <f>'[1]B.kriteria &amp; R.kecocokan'!$B$65</f>
        <v>Rendah</v>
      </c>
      <c r="O163" s="12" t="s">
        <v>18</v>
      </c>
    </row>
    <row r="164" spans="1:15" hidden="1" x14ac:dyDescent="0.35">
      <c r="A164" s="15">
        <v>66</v>
      </c>
      <c r="B164" s="8">
        <f>[1]Penghasilan!B146</f>
        <v>0</v>
      </c>
      <c r="C164" s="8" t="s">
        <v>125</v>
      </c>
      <c r="D164" s="9" t="s">
        <v>26</v>
      </c>
      <c r="E164" s="10" t="str">
        <f>'[1]B.kriteria &amp; R.kecocokan'!$B$23</f>
        <v>Banyak</v>
      </c>
      <c r="F164" s="10" t="str">
        <f>'[1]B.kriteria &amp; R.kecocokan'!$B$34</f>
        <v>Tinggi</v>
      </c>
      <c r="G164" s="5" t="str">
        <f>'[1]B.kriteria &amp; R.kecocokan'!$B$41</f>
        <v>Rendah</v>
      </c>
      <c r="H164" s="5" t="str">
        <f>'[1]B.kriteria &amp; R.kecocokan'!$B$72</f>
        <v>Rendah</v>
      </c>
      <c r="I164" s="5" t="str">
        <f>'[1]B.kriteria &amp; R.kecocokan'!$B$95</f>
        <v>Rendah</v>
      </c>
      <c r="J164" s="5" t="str">
        <f>'[1]B.kriteria &amp; R.kecocokan'!$B$80</f>
        <v>Rendah</v>
      </c>
      <c r="K164" s="5" t="str">
        <f>'[1]B.kriteria &amp; R.kecocokan'!$B$89</f>
        <v>Sedikit</v>
      </c>
      <c r="L164" s="5" t="str">
        <f>'[1]B.kriteria &amp; R.kecocokan'!$B$49</f>
        <v>Rendah</v>
      </c>
      <c r="M164" s="5" t="str">
        <f>'[1]B.kriteria &amp; R.kecocokan'!$B$57</f>
        <v>Rendah</v>
      </c>
      <c r="N164" s="6" t="str">
        <f>'[1]B.kriteria &amp; R.kecocokan'!$B$65</f>
        <v>Rendah</v>
      </c>
      <c r="O164" s="12" t="s">
        <v>18</v>
      </c>
    </row>
    <row r="165" spans="1:15" hidden="1" x14ac:dyDescent="0.35">
      <c r="A165" s="15">
        <v>67</v>
      </c>
      <c r="B165" s="8">
        <f>[1]Penghasilan!B147</f>
        <v>0</v>
      </c>
      <c r="C165" s="8" t="s">
        <v>126</v>
      </c>
      <c r="D165" s="9" t="s">
        <v>26</v>
      </c>
      <c r="E165" s="4" t="str">
        <f>'[1]B.kriteria &amp; R.kecocokan'!$B$24</f>
        <v>Cukup</v>
      </c>
      <c r="F165" s="10" t="str">
        <f>'[1]B.kriteria &amp; R.kecocokan'!$B$34</f>
        <v>Tinggi</v>
      </c>
      <c r="G165" s="5" t="str">
        <f>'[1]B.kriteria &amp; R.kecocokan'!$B$41</f>
        <v>Rendah</v>
      </c>
      <c r="H165" s="5" t="str">
        <f>'[1]B.kriteria &amp; R.kecocokan'!$B$72</f>
        <v>Rendah</v>
      </c>
      <c r="I165" s="5" t="str">
        <f>'[1]B.kriteria &amp; R.kecocokan'!$B$95</f>
        <v>Rendah</v>
      </c>
      <c r="J165" s="5" t="str">
        <f>'[1]B.kriteria &amp; R.kecocokan'!$B$80</f>
        <v>Rendah</v>
      </c>
      <c r="K165" s="5" t="str">
        <f>'[1]B.kriteria &amp; R.kecocokan'!$B$89</f>
        <v>Sedikit</v>
      </c>
      <c r="L165" s="5" t="str">
        <f>'[1]B.kriteria &amp; R.kecocokan'!$B$49</f>
        <v>Rendah</v>
      </c>
      <c r="M165" s="5" t="str">
        <f>'[1]B.kriteria &amp; R.kecocokan'!$B$57</f>
        <v>Rendah</v>
      </c>
      <c r="N165" s="6" t="str">
        <f>'[1]B.kriteria &amp; R.kecocokan'!$B$65</f>
        <v>Rendah</v>
      </c>
      <c r="O165" s="12" t="s">
        <v>18</v>
      </c>
    </row>
    <row r="166" spans="1:15" hidden="1" x14ac:dyDescent="0.35">
      <c r="A166" s="16">
        <v>68</v>
      </c>
      <c r="B166" s="8">
        <f>[1]Penghasilan!B148</f>
        <v>0</v>
      </c>
      <c r="C166" s="8" t="s">
        <v>127</v>
      </c>
      <c r="D166" s="9" t="s">
        <v>100</v>
      </c>
      <c r="E166" s="4" t="str">
        <f>'[1]B.kriteria &amp; R.kecocokan'!$B$24</f>
        <v>Cukup</v>
      </c>
      <c r="F166" s="10" t="str">
        <f>'[1]B.kriteria &amp; R.kecocokan'!$B$34</f>
        <v>Tinggi</v>
      </c>
      <c r="G166" s="5" t="str">
        <f>'[1]B.kriteria &amp; R.kecocokan'!$B$41</f>
        <v>Rendah</v>
      </c>
      <c r="H166" s="5" t="str">
        <f>'[1]B.kriteria &amp; R.kecocokan'!$B$72</f>
        <v>Rendah</v>
      </c>
      <c r="I166" s="5" t="str">
        <f>'[1]B.kriteria &amp; R.kecocokan'!$B$95</f>
        <v>Rendah</v>
      </c>
      <c r="J166" s="5" t="str">
        <f>'[1]B.kriteria &amp; R.kecocokan'!$B$80</f>
        <v>Rendah</v>
      </c>
      <c r="K166" s="5" t="str">
        <f>'[1]B.kriteria &amp; R.kecocokan'!$B$89</f>
        <v>Sedikit</v>
      </c>
      <c r="L166" s="5" t="str">
        <f>'[1]B.kriteria &amp; R.kecocokan'!$B$49</f>
        <v>Rendah</v>
      </c>
      <c r="M166" s="5" t="str">
        <f>'[1]B.kriteria &amp; R.kecocokan'!$B$57</f>
        <v>Rendah</v>
      </c>
      <c r="N166" s="6" t="str">
        <f>'[1]B.kriteria &amp; R.kecocokan'!$B$65</f>
        <v>Rendah</v>
      </c>
      <c r="O166" s="12" t="s">
        <v>18</v>
      </c>
    </row>
    <row r="167" spans="1:15" hidden="1" x14ac:dyDescent="0.35">
      <c r="A167" s="15">
        <v>69</v>
      </c>
      <c r="B167" s="8">
        <f>[1]Penghasilan!B150</f>
        <v>0</v>
      </c>
      <c r="C167" s="8" t="s">
        <v>128</v>
      </c>
      <c r="D167" s="9" t="s">
        <v>129</v>
      </c>
      <c r="E167" s="13" t="str">
        <f>'[1]B.kriteria &amp; R.kecocokan'!$B$25</f>
        <v>Sedikit</v>
      </c>
      <c r="F167" s="10" t="str">
        <f>'[1]B.kriteria &amp; R.kecocokan'!$B$34</f>
        <v>Tinggi</v>
      </c>
      <c r="G167" s="5" t="str">
        <f>'[1]B.kriteria &amp; R.kecocokan'!$B$41</f>
        <v>Rendah</v>
      </c>
      <c r="H167" s="5" t="str">
        <f>'[1]B.kriteria &amp; R.kecocokan'!$B$72</f>
        <v>Rendah</v>
      </c>
      <c r="I167" s="5" t="str">
        <f>'[1]B.kriteria &amp; R.kecocokan'!$B$95</f>
        <v>Rendah</v>
      </c>
      <c r="J167" s="10" t="str">
        <f>'[1]B.kriteria &amp; R.kecocokan'!$B$81</f>
        <v>Tinggi</v>
      </c>
      <c r="K167" s="10" t="str">
        <f>'[1]B.kriteria &amp; R.kecocokan'!$B$90</f>
        <v>Sangat Sedikit</v>
      </c>
      <c r="L167" s="5" t="str">
        <f>'[1]B.kriteria &amp; R.kecocokan'!$B$49</f>
        <v>Rendah</v>
      </c>
      <c r="M167" s="5" t="str">
        <f>'[1]B.kriteria &amp; R.kecocokan'!$B$57</f>
        <v>Rendah</v>
      </c>
      <c r="N167" s="6" t="str">
        <f>'[1]B.kriteria &amp; R.kecocokan'!$B$65</f>
        <v>Rendah</v>
      </c>
      <c r="O167" s="12" t="s">
        <v>18</v>
      </c>
    </row>
    <row r="168" spans="1:15" hidden="1" x14ac:dyDescent="0.35">
      <c r="A168" s="15">
        <v>70</v>
      </c>
      <c r="B168" s="8">
        <f>[1]Penghasilan!B149</f>
        <v>0</v>
      </c>
      <c r="C168" s="8" t="s">
        <v>130</v>
      </c>
      <c r="D168" s="9" t="s">
        <v>26</v>
      </c>
      <c r="E168" s="10" t="str">
        <f>'[1]B.kriteria &amp; R.kecocokan'!$B$23</f>
        <v>Banyak</v>
      </c>
      <c r="F168" s="10" t="str">
        <f>'[1]B.kriteria &amp; R.kecocokan'!$B$34</f>
        <v>Tinggi</v>
      </c>
      <c r="G168" s="5" t="str">
        <f>'[1]B.kriteria &amp; R.kecocokan'!$B$41</f>
        <v>Rendah</v>
      </c>
      <c r="H168" s="5" t="str">
        <f>'[1]B.kriteria &amp; R.kecocokan'!$B$72</f>
        <v>Rendah</v>
      </c>
      <c r="I168" s="5" t="str">
        <f>'[1]B.kriteria &amp; R.kecocokan'!$B$95</f>
        <v>Rendah</v>
      </c>
      <c r="J168" s="5" t="str">
        <f>'[1]B.kriteria &amp; R.kecocokan'!$B$80</f>
        <v>Rendah</v>
      </c>
      <c r="K168" s="10" t="str">
        <f>'[1]B.kriteria &amp; R.kecocokan'!$B$88</f>
        <v>Sedang</v>
      </c>
      <c r="L168" s="5" t="str">
        <f>'[1]B.kriteria &amp; R.kecocokan'!$B$49</f>
        <v>Rendah</v>
      </c>
      <c r="M168" s="5" t="str">
        <f>'[1]B.kriteria &amp; R.kecocokan'!$B$57</f>
        <v>Rendah</v>
      </c>
      <c r="N168" s="6" t="str">
        <f>'[1]B.kriteria &amp; R.kecocokan'!$B$65</f>
        <v>Rendah</v>
      </c>
      <c r="O168" s="12" t="s">
        <v>18</v>
      </c>
    </row>
    <row r="169" spans="1:15" hidden="1" x14ac:dyDescent="0.35">
      <c r="A169" s="16">
        <v>71</v>
      </c>
      <c r="B169" s="8">
        <f>[1]Penghasilan!B151</f>
        <v>0</v>
      </c>
      <c r="C169" s="8" t="s">
        <v>131</v>
      </c>
      <c r="D169" s="9" t="s">
        <v>26</v>
      </c>
      <c r="E169" s="10" t="str">
        <f>'[1]B.kriteria &amp; R.kecocokan'!$B$23</f>
        <v>Banyak</v>
      </c>
      <c r="F169" s="10" t="str">
        <f>'[1]B.kriteria &amp; R.kecocokan'!$B$34</f>
        <v>Tinggi</v>
      </c>
      <c r="G169" s="5" t="str">
        <f>'[1]B.kriteria &amp; R.kecocokan'!$B$41</f>
        <v>Rendah</v>
      </c>
      <c r="H169" s="5" t="str">
        <f>'[1]B.kriteria &amp; R.kecocokan'!$B$72</f>
        <v>Rendah</v>
      </c>
      <c r="I169" s="5" t="str">
        <f>'[1]B.kriteria &amp; R.kecocokan'!$B$95</f>
        <v>Rendah</v>
      </c>
      <c r="J169" s="5" t="str">
        <f>'[1]B.kriteria &amp; R.kecocokan'!$B$80</f>
        <v>Rendah</v>
      </c>
      <c r="K169" s="10" t="str">
        <f>'[1]B.kriteria &amp; R.kecocokan'!$B$88</f>
        <v>Sedang</v>
      </c>
      <c r="L169" s="5" t="str">
        <f>'[1]B.kriteria &amp; R.kecocokan'!$B$49</f>
        <v>Rendah</v>
      </c>
      <c r="M169" s="5" t="str">
        <f>'[1]B.kriteria &amp; R.kecocokan'!$B$57</f>
        <v>Rendah</v>
      </c>
      <c r="N169" s="6" t="str">
        <f>'[1]B.kriteria &amp; R.kecocokan'!$B$65</f>
        <v>Rendah</v>
      </c>
      <c r="O169" s="12" t="s">
        <v>18</v>
      </c>
    </row>
    <row r="170" spans="1:15" hidden="1" x14ac:dyDescent="0.35">
      <c r="A170" s="15">
        <v>72</v>
      </c>
      <c r="B170" s="8">
        <f>[1]Penghasilan!B152</f>
        <v>0</v>
      </c>
      <c r="C170" s="8" t="s">
        <v>132</v>
      </c>
      <c r="D170" s="9" t="s">
        <v>26</v>
      </c>
      <c r="E170" s="10" t="str">
        <f>'[1]B.kriteria &amp; R.kecocokan'!$B$23</f>
        <v>Banyak</v>
      </c>
      <c r="F170" s="10" t="str">
        <f>'[1]B.kriteria &amp; R.kecocokan'!$B$34</f>
        <v>Tinggi</v>
      </c>
      <c r="G170" s="5" t="str">
        <f>'[1]B.kriteria &amp; R.kecocokan'!$B$41</f>
        <v>Rendah</v>
      </c>
      <c r="H170" s="5" t="str">
        <f>'[1]B.kriteria &amp; R.kecocokan'!$B$72</f>
        <v>Rendah</v>
      </c>
      <c r="I170" s="5" t="str">
        <f>'[1]B.kriteria &amp; R.kecocokan'!$B$95</f>
        <v>Rendah</v>
      </c>
      <c r="J170" s="10" t="str">
        <f>'[1]B.kriteria &amp; R.kecocokan'!$B$81</f>
        <v>Tinggi</v>
      </c>
      <c r="K170" s="10" t="str">
        <f>'[1]B.kriteria &amp; R.kecocokan'!$B$90</f>
        <v>Sangat Sedikit</v>
      </c>
      <c r="L170" s="5" t="str">
        <f>'[1]B.kriteria &amp; R.kecocokan'!$B$49</f>
        <v>Rendah</v>
      </c>
      <c r="M170" s="5" t="str">
        <f>'[1]B.kriteria &amp; R.kecocokan'!$B$57</f>
        <v>Rendah</v>
      </c>
      <c r="N170" s="6" t="str">
        <f>'[1]B.kriteria &amp; R.kecocokan'!$B$65</f>
        <v>Rendah</v>
      </c>
      <c r="O170" s="12" t="s">
        <v>18</v>
      </c>
    </row>
    <row r="171" spans="1:15" hidden="1" x14ac:dyDescent="0.35">
      <c r="A171" s="15">
        <v>73</v>
      </c>
      <c r="B171" s="8">
        <f>[1]Penghasilan!B153</f>
        <v>0</v>
      </c>
      <c r="C171" s="8" t="s">
        <v>133</v>
      </c>
      <c r="D171" s="9" t="s">
        <v>26</v>
      </c>
      <c r="E171" s="10" t="str">
        <f>'[1]B.kriteria &amp; R.kecocokan'!$B$23</f>
        <v>Banyak</v>
      </c>
      <c r="F171" s="10" t="str">
        <f>'[1]B.kriteria &amp; R.kecocokan'!$B$35</f>
        <v>Sangat Tinggi</v>
      </c>
      <c r="G171" s="5" t="str">
        <f>'[1]B.kriteria &amp; R.kecocokan'!$B$41</f>
        <v>Rendah</v>
      </c>
      <c r="H171" s="5" t="str">
        <f>'[1]B.kriteria &amp; R.kecocokan'!$B$72</f>
        <v>Rendah</v>
      </c>
      <c r="I171" s="5" t="str">
        <f>'[1]B.kriteria &amp; R.kecocokan'!$B$95</f>
        <v>Rendah</v>
      </c>
      <c r="J171" s="5" t="str">
        <f>'[1]B.kriteria &amp; R.kecocokan'!$B$80</f>
        <v>Rendah</v>
      </c>
      <c r="K171" s="10" t="str">
        <f>'[1]B.kriteria &amp; R.kecocokan'!$B$90</f>
        <v>Sangat Sedikit</v>
      </c>
      <c r="L171" s="10" t="str">
        <f>'[1]B.kriteria &amp; R.kecocokan'!$B$51</f>
        <v>Tinggi</v>
      </c>
      <c r="M171" s="5" t="str">
        <f>'[1]B.kriteria &amp; R.kecocokan'!$B$57</f>
        <v>Rendah</v>
      </c>
      <c r="N171" s="6" t="str">
        <f>'[1]B.kriteria &amp; R.kecocokan'!$B$65</f>
        <v>Rendah</v>
      </c>
      <c r="O171" s="12" t="s">
        <v>18</v>
      </c>
    </row>
    <row r="172" spans="1:15" hidden="1" x14ac:dyDescent="0.35">
      <c r="A172" s="16">
        <v>74</v>
      </c>
      <c r="B172" s="8">
        <f>[1]Penghasilan!B154</f>
        <v>0</v>
      </c>
      <c r="C172" s="8" t="s">
        <v>134</v>
      </c>
      <c r="D172" s="9" t="s">
        <v>26</v>
      </c>
      <c r="E172" s="4" t="str">
        <f>'[1]B.kriteria &amp; R.kecocokan'!$B$24</f>
        <v>Cukup</v>
      </c>
      <c r="F172" s="10" t="str">
        <f>'[1]B.kriteria &amp; R.kecocokan'!$B$34</f>
        <v>Tinggi</v>
      </c>
      <c r="G172" s="5" t="str">
        <f>'[1]B.kriteria &amp; R.kecocokan'!$B$41</f>
        <v>Rendah</v>
      </c>
      <c r="H172" s="5" t="str">
        <f>'[1]B.kriteria &amp; R.kecocokan'!$B$72</f>
        <v>Rendah</v>
      </c>
      <c r="I172" s="5" t="str">
        <f>'[1]B.kriteria &amp; R.kecocokan'!$B$95</f>
        <v>Rendah</v>
      </c>
      <c r="J172" s="5" t="str">
        <f>'[1]B.kriteria &amp; R.kecocokan'!$B$80</f>
        <v>Rendah</v>
      </c>
      <c r="K172" s="5" t="str">
        <f>'[1]B.kriteria &amp; R.kecocokan'!$B$89</f>
        <v>Sedikit</v>
      </c>
      <c r="L172" s="5" t="str">
        <f>'[1]B.kriteria &amp; R.kecocokan'!$B$49</f>
        <v>Rendah</v>
      </c>
      <c r="M172" s="5" t="str">
        <f>'[1]B.kriteria &amp; R.kecocokan'!$B$57</f>
        <v>Rendah</v>
      </c>
      <c r="N172" s="6" t="str">
        <f>'[1]B.kriteria &amp; R.kecocokan'!$B$65</f>
        <v>Rendah</v>
      </c>
      <c r="O172" s="12" t="s">
        <v>18</v>
      </c>
    </row>
    <row r="173" spans="1:15" hidden="1" x14ac:dyDescent="0.35">
      <c r="A173" s="15">
        <v>75</v>
      </c>
      <c r="B173" s="8">
        <f>[1]Penghasilan!B111</f>
        <v>0</v>
      </c>
      <c r="C173" s="8" t="s">
        <v>135</v>
      </c>
      <c r="D173" s="9" t="s">
        <v>26</v>
      </c>
      <c r="E173" s="4" t="str">
        <f>'[1]B.kriteria &amp; R.kecocokan'!$B$24</f>
        <v>Cukup</v>
      </c>
      <c r="F173" s="10" t="str">
        <f>'[1]B.kriteria &amp; R.kecocokan'!$B$34</f>
        <v>Tinggi</v>
      </c>
      <c r="G173" s="10" t="str">
        <f>'[1]B.kriteria &amp; R.kecocokan'!$B$43</f>
        <v>Tinggi</v>
      </c>
      <c r="H173" s="5" t="str">
        <f>'[1]B.kriteria &amp; R.kecocokan'!$B$72</f>
        <v>Rendah</v>
      </c>
      <c r="I173" s="5" t="str">
        <f>'[1]B.kriteria &amp; R.kecocokan'!$B$95</f>
        <v>Rendah</v>
      </c>
      <c r="J173" s="5" t="str">
        <f>'[1]B.kriteria &amp; R.kecocokan'!$B$80</f>
        <v>Rendah</v>
      </c>
      <c r="K173" s="10" t="str">
        <f>'[1]B.kriteria &amp; R.kecocokan'!$B$88</f>
        <v>Sedang</v>
      </c>
      <c r="L173" s="5" t="str">
        <f>'[1]B.kriteria &amp; R.kecocokan'!$B$49</f>
        <v>Rendah</v>
      </c>
      <c r="M173" s="5" t="str">
        <f>'[1]B.kriteria &amp; R.kecocokan'!$B$57</f>
        <v>Rendah</v>
      </c>
      <c r="N173" s="6" t="str">
        <f>'[1]B.kriteria &amp; R.kecocokan'!$B$65</f>
        <v>Rendah</v>
      </c>
      <c r="O173" s="12" t="s">
        <v>18</v>
      </c>
    </row>
    <row r="174" spans="1:15" hidden="1" x14ac:dyDescent="0.35">
      <c r="A174" s="15">
        <v>76</v>
      </c>
      <c r="B174" s="8">
        <f>[1]Penghasilan!B110</f>
        <v>0</v>
      </c>
      <c r="C174" s="8" t="s">
        <v>136</v>
      </c>
      <c r="D174" s="9" t="s">
        <v>26</v>
      </c>
      <c r="E174" s="10" t="str">
        <f>'[1]B.kriteria &amp; R.kecocokan'!$B$23</f>
        <v>Banyak</v>
      </c>
      <c r="F174" s="10" t="str">
        <f>'[1]B.kriteria &amp; R.kecocokan'!$B$34</f>
        <v>Tinggi</v>
      </c>
      <c r="G174" s="5" t="str">
        <f>'[1]B.kriteria &amp; R.kecocokan'!$B$41</f>
        <v>Rendah</v>
      </c>
      <c r="H174" s="5" t="str">
        <f>'[1]B.kriteria &amp; R.kecocokan'!$B$72</f>
        <v>Rendah</v>
      </c>
      <c r="I174" s="5" t="str">
        <f>'[1]B.kriteria &amp; R.kecocokan'!$B$95</f>
        <v>Rendah</v>
      </c>
      <c r="J174" s="10" t="str">
        <f>'[1]B.kriteria &amp; R.kecocokan'!$B$81</f>
        <v>Tinggi</v>
      </c>
      <c r="K174" s="10" t="str">
        <f>'[1]B.kriteria &amp; R.kecocokan'!$B$88</f>
        <v>Sedang</v>
      </c>
      <c r="L174" s="5" t="str">
        <f>'[1]B.kriteria &amp; R.kecocokan'!$B$49</f>
        <v>Rendah</v>
      </c>
      <c r="M174" s="5" t="str">
        <f>'[1]B.kriteria &amp; R.kecocokan'!$B$57</f>
        <v>Rendah</v>
      </c>
      <c r="N174" s="6" t="str">
        <f>'[1]B.kriteria &amp; R.kecocokan'!$B$65</f>
        <v>Rendah</v>
      </c>
      <c r="O174" s="12" t="s">
        <v>18</v>
      </c>
    </row>
    <row r="175" spans="1:15" hidden="1" x14ac:dyDescent="0.35">
      <c r="A175" s="16">
        <v>77</v>
      </c>
      <c r="B175" s="8">
        <f>[1]Penghasilan!B112</f>
        <v>0</v>
      </c>
      <c r="C175" s="8" t="s">
        <v>137</v>
      </c>
      <c r="D175" s="9" t="s">
        <v>26</v>
      </c>
      <c r="E175" s="4" t="str">
        <f>'[1]B.kriteria &amp; R.kecocokan'!$B$24</f>
        <v>Cukup</v>
      </c>
      <c r="F175" s="10" t="str">
        <f>'[1]B.kriteria &amp; R.kecocokan'!$B$34</f>
        <v>Tinggi</v>
      </c>
      <c r="G175" s="5" t="str">
        <f>'[1]B.kriteria &amp; R.kecocokan'!$B$41</f>
        <v>Rendah</v>
      </c>
      <c r="H175" s="5" t="str">
        <f>'[1]B.kriteria &amp; R.kecocokan'!$B$72</f>
        <v>Rendah</v>
      </c>
      <c r="I175" s="5" t="str">
        <f>'[1]B.kriteria &amp; R.kecocokan'!$B$95</f>
        <v>Rendah</v>
      </c>
      <c r="J175" s="10" t="str">
        <f>'[1]B.kriteria &amp; R.kecocokan'!$B$81</f>
        <v>Tinggi</v>
      </c>
      <c r="K175" s="10" t="str">
        <f>'[1]B.kriteria &amp; R.kecocokan'!$B$90</f>
        <v>Sangat Sedikit</v>
      </c>
      <c r="L175" s="5" t="str">
        <f>'[1]B.kriteria &amp; R.kecocokan'!$B$49</f>
        <v>Rendah</v>
      </c>
      <c r="M175" s="5" t="str">
        <f>'[1]B.kriteria &amp; R.kecocokan'!$B$57</f>
        <v>Rendah</v>
      </c>
      <c r="N175" s="6" t="str">
        <f>'[1]B.kriteria &amp; R.kecocokan'!$B$65</f>
        <v>Rendah</v>
      </c>
      <c r="O175" s="12" t="s">
        <v>18</v>
      </c>
    </row>
    <row r="176" spans="1:15" hidden="1" x14ac:dyDescent="0.35">
      <c r="A176" s="15">
        <v>78</v>
      </c>
      <c r="B176" s="8">
        <f>[1]Penghasilan!B107</f>
        <v>0</v>
      </c>
      <c r="C176" s="8" t="s">
        <v>138</v>
      </c>
      <c r="D176" s="9" t="s">
        <v>123</v>
      </c>
      <c r="E176" s="4" t="str">
        <f>'[1]B.kriteria &amp; R.kecocokan'!$B$24</f>
        <v>Cukup</v>
      </c>
      <c r="F176" s="10" t="str">
        <f>'[1]B.kriteria &amp; R.kecocokan'!$B$34</f>
        <v>Tinggi</v>
      </c>
      <c r="G176" s="10" t="str">
        <f>'[1]B.kriteria &amp; R.kecocokan'!$B$43</f>
        <v>Tinggi</v>
      </c>
      <c r="H176" s="5" t="str">
        <f>'[1]B.kriteria &amp; R.kecocokan'!$B$72</f>
        <v>Rendah</v>
      </c>
      <c r="I176" s="5" t="str">
        <f>'[1]B.kriteria &amp; R.kecocokan'!$B$95</f>
        <v>Rendah</v>
      </c>
      <c r="J176" s="5" t="str">
        <f>'[1]B.kriteria &amp; R.kecocokan'!$B$80</f>
        <v>Rendah</v>
      </c>
      <c r="K176" s="10" t="str">
        <f>'[1]B.kriteria &amp; R.kecocokan'!$B$90</f>
        <v>Sangat Sedikit</v>
      </c>
      <c r="L176" s="5" t="str">
        <f>'[1]B.kriteria &amp; R.kecocokan'!$B$49</f>
        <v>Rendah</v>
      </c>
      <c r="M176" s="5" t="str">
        <f>'[1]B.kriteria &amp; R.kecocokan'!$B$57</f>
        <v>Rendah</v>
      </c>
      <c r="N176" s="6" t="str">
        <f>'[1]B.kriteria &amp; R.kecocokan'!$B$65</f>
        <v>Rendah</v>
      </c>
      <c r="O176" s="12" t="s">
        <v>18</v>
      </c>
    </row>
    <row r="177" spans="1:23" x14ac:dyDescent="0.35">
      <c r="A177" s="15">
        <v>79</v>
      </c>
      <c r="B177" s="8">
        <f>[1]Penghasilan!B120</f>
        <v>0</v>
      </c>
      <c r="C177" s="8" t="s">
        <v>139</v>
      </c>
      <c r="D177" s="9" t="s">
        <v>26</v>
      </c>
      <c r="E177" s="13" t="str">
        <f>'[1]B.kriteria &amp; R.kecocokan'!$B$25</f>
        <v>Sedikit</v>
      </c>
      <c r="F177" s="10" t="str">
        <f>'[1]B.kriteria &amp; R.kecocokan'!$B$34</f>
        <v>Tinggi</v>
      </c>
      <c r="G177" s="5" t="str">
        <f>'[1]B.kriteria &amp; R.kecocokan'!$B$41</f>
        <v>Rendah</v>
      </c>
      <c r="H177" s="5" t="str">
        <f>'[1]B.kriteria &amp; R.kecocokan'!$B$72</f>
        <v>Rendah</v>
      </c>
      <c r="I177" s="5" t="str">
        <f>'[1]B.kriteria &amp; R.kecocokan'!$B$95</f>
        <v>Rendah</v>
      </c>
      <c r="J177" s="10" t="str">
        <f>'[1]B.kriteria &amp; R.kecocokan'!$B$81</f>
        <v>Tinggi</v>
      </c>
      <c r="K177" s="10" t="str">
        <f>'[1]B.kriteria &amp; R.kecocokan'!$B$90</f>
        <v>Sangat Sedikit</v>
      </c>
      <c r="L177" s="5" t="str">
        <f>'[1]B.kriteria &amp; R.kecocokan'!$B$49</f>
        <v>Rendah</v>
      </c>
      <c r="M177" s="10" t="str">
        <f>'[1]B.kriteria &amp; R.kecocokan'!$B$58</f>
        <v>Sedang</v>
      </c>
      <c r="N177" s="6" t="str">
        <f>'[1]B.kriteria &amp; R.kecocokan'!$B$65</f>
        <v>Rendah</v>
      </c>
      <c r="O177" s="12" t="s">
        <v>36</v>
      </c>
      <c r="R177" t="s">
        <v>184</v>
      </c>
      <c r="S177">
        <f>COUNTIFS($G$109:$G$190,$G$109,$M$109:$M$190,$M$118)</f>
        <v>15</v>
      </c>
      <c r="T177">
        <f>COUNTIFS($G$109:$G$190,$G$109,$M$109:$M$190,$M$118,$O$109:$O$190,$O$109)</f>
        <v>11</v>
      </c>
      <c r="U177">
        <f>COUNTIFS($G$109:$G$190,$G$109,$M$109:$M$190,$M$118,$O$109:$O$190,$O$112)</f>
        <v>4</v>
      </c>
      <c r="V177">
        <f t="shared" ref="V177:V180" si="23">((-T177/S177)*IMLOG2(T177/S177))+((-U177/S177)*IMLOG2(U177/S177))</f>
        <v>0.83664074194116733</v>
      </c>
    </row>
    <row r="178" spans="1:23" hidden="1" x14ac:dyDescent="0.35">
      <c r="A178" s="16">
        <v>80</v>
      </c>
      <c r="B178" s="8">
        <f>[1]Penghasilan!B109</f>
        <v>0</v>
      </c>
      <c r="C178" s="8" t="s">
        <v>140</v>
      </c>
      <c r="D178" s="9" t="s">
        <v>26</v>
      </c>
      <c r="E178" s="13" t="str">
        <f>'[1]B.kriteria &amp; R.kecocokan'!$B$25</f>
        <v>Sedikit</v>
      </c>
      <c r="F178" s="10" t="str">
        <f>'[1]B.kriteria &amp; R.kecocokan'!$B$34</f>
        <v>Tinggi</v>
      </c>
      <c r="G178" s="10" t="str">
        <f>'[1]B.kriteria &amp; R.kecocokan'!$B$43</f>
        <v>Tinggi</v>
      </c>
      <c r="H178" s="5" t="str">
        <f>'[1]B.kriteria &amp; R.kecocokan'!$B$72</f>
        <v>Rendah</v>
      </c>
      <c r="I178" s="10" t="str">
        <f>'[1]B.kriteria &amp; R.kecocokan'!$B$96</f>
        <v>Tinggi</v>
      </c>
      <c r="J178" s="5" t="str">
        <f>'[1]B.kriteria &amp; R.kecocokan'!$B$80</f>
        <v>Rendah</v>
      </c>
      <c r="K178" s="5" t="str">
        <f>'[1]B.kriteria &amp; R.kecocokan'!$B$89</f>
        <v>Sedikit</v>
      </c>
      <c r="L178" s="5" t="str">
        <f>'[1]B.kriteria &amp; R.kecocokan'!$B$49</f>
        <v>Rendah</v>
      </c>
      <c r="M178" s="5" t="str">
        <f>'[1]B.kriteria &amp; R.kecocokan'!$B$57</f>
        <v>Rendah</v>
      </c>
      <c r="N178" s="6" t="str">
        <f>'[1]B.kriteria &amp; R.kecocokan'!$B$65</f>
        <v>Rendah</v>
      </c>
      <c r="O178" s="12" t="s">
        <v>18</v>
      </c>
      <c r="V178" t="e">
        <f t="shared" si="23"/>
        <v>#DIV/0!</v>
      </c>
    </row>
    <row r="179" spans="1:23" hidden="1" x14ac:dyDescent="0.35">
      <c r="A179" s="15">
        <v>81</v>
      </c>
      <c r="B179" s="8">
        <f>[1]Penghasilan!B108</f>
        <v>0</v>
      </c>
      <c r="C179" s="8" t="s">
        <v>141</v>
      </c>
      <c r="D179" s="9" t="s">
        <v>26</v>
      </c>
      <c r="E179" s="13" t="str">
        <f>'[1]B.kriteria &amp; R.kecocokan'!$B$25</f>
        <v>Sedikit</v>
      </c>
      <c r="F179" s="10" t="str">
        <f>'[1]B.kriteria &amp; R.kecocokan'!$B$34</f>
        <v>Tinggi</v>
      </c>
      <c r="G179" s="5" t="str">
        <f>'[1]B.kriteria &amp; R.kecocokan'!$B$41</f>
        <v>Rendah</v>
      </c>
      <c r="H179" s="5" t="str">
        <f>'[1]B.kriteria &amp; R.kecocokan'!$B$72</f>
        <v>Rendah</v>
      </c>
      <c r="I179" s="5" t="str">
        <f>'[1]B.kriteria &amp; R.kecocokan'!$B$95</f>
        <v>Rendah</v>
      </c>
      <c r="J179" s="10" t="str">
        <f>'[1]B.kriteria &amp; R.kecocokan'!$B$81</f>
        <v>Tinggi</v>
      </c>
      <c r="K179" s="10" t="str">
        <f>'[1]B.kriteria &amp; R.kecocokan'!$B$90</f>
        <v>Sangat Sedikit</v>
      </c>
      <c r="L179" s="5" t="str">
        <f>'[1]B.kriteria &amp; R.kecocokan'!$B$49</f>
        <v>Rendah</v>
      </c>
      <c r="M179" s="5" t="str">
        <f>'[1]B.kriteria &amp; R.kecocokan'!$B$57</f>
        <v>Rendah</v>
      </c>
      <c r="N179" s="6" t="str">
        <f>'[1]B.kriteria &amp; R.kecocokan'!$B$65</f>
        <v>Rendah</v>
      </c>
      <c r="O179" s="12" t="s">
        <v>18</v>
      </c>
      <c r="V179" t="e">
        <f t="shared" si="23"/>
        <v>#DIV/0!</v>
      </c>
    </row>
    <row r="180" spans="1:23" hidden="1" x14ac:dyDescent="0.35">
      <c r="A180" s="15">
        <v>82</v>
      </c>
      <c r="B180" s="8" t="str">
        <f>[1]Penghasilan!B102</f>
        <v>3523152603110001</v>
      </c>
      <c r="C180" s="8" t="s">
        <v>142</v>
      </c>
      <c r="D180" s="9" t="s">
        <v>26</v>
      </c>
      <c r="E180" s="13" t="str">
        <f>'[1]B.kriteria &amp; R.kecocokan'!$B$25</f>
        <v>Sedikit</v>
      </c>
      <c r="F180" s="10" t="str">
        <f>'[1]B.kriteria &amp; R.kecocokan'!$B$34</f>
        <v>Tinggi</v>
      </c>
      <c r="G180" s="5" t="str">
        <f>'[1]B.kriteria &amp; R.kecocokan'!$B$41</f>
        <v>Rendah</v>
      </c>
      <c r="H180" s="5" t="str">
        <f>'[1]B.kriteria &amp; R.kecocokan'!$B$72</f>
        <v>Rendah</v>
      </c>
      <c r="I180" s="5" t="str">
        <f>'[1]B.kriteria &amp; R.kecocokan'!$B$95</f>
        <v>Rendah</v>
      </c>
      <c r="J180" s="5" t="str">
        <f>'[1]B.kriteria &amp; R.kecocokan'!$B$80</f>
        <v>Rendah</v>
      </c>
      <c r="K180" s="10" t="str">
        <f>'[1]B.kriteria &amp; R.kecocokan'!$B$88</f>
        <v>Sedang</v>
      </c>
      <c r="L180" s="5" t="str">
        <f>'[1]B.kriteria &amp; R.kecocokan'!$B$49</f>
        <v>Rendah</v>
      </c>
      <c r="M180" s="5" t="str">
        <f>'[1]B.kriteria &amp; R.kecocokan'!$B$57</f>
        <v>Rendah</v>
      </c>
      <c r="N180" s="6" t="str">
        <f>'[1]B.kriteria &amp; R.kecocokan'!$B$65</f>
        <v>Rendah</v>
      </c>
      <c r="O180" s="12" t="s">
        <v>18</v>
      </c>
      <c r="V180" t="e">
        <f t="shared" si="23"/>
        <v>#DIV/0!</v>
      </c>
    </row>
    <row r="181" spans="1:23" x14ac:dyDescent="0.35">
      <c r="A181" s="16">
        <v>83</v>
      </c>
      <c r="B181" s="8">
        <f>[1]Penghasilan!B122</f>
        <v>0</v>
      </c>
      <c r="C181" s="8" t="s">
        <v>143</v>
      </c>
      <c r="D181" s="9" t="s">
        <v>26</v>
      </c>
      <c r="E181" s="4" t="str">
        <f>'[1]B.kriteria &amp; R.kecocokan'!$B$24</f>
        <v>Cukup</v>
      </c>
      <c r="F181" s="10" t="str">
        <f>'[1]B.kriteria &amp; R.kecocokan'!$B$34</f>
        <v>Tinggi</v>
      </c>
      <c r="G181" s="5" t="str">
        <f>'[1]B.kriteria &amp; R.kecocokan'!$B$41</f>
        <v>Rendah</v>
      </c>
      <c r="H181" s="5" t="str">
        <f>'[1]B.kriteria &amp; R.kecocokan'!$B$72</f>
        <v>Rendah</v>
      </c>
      <c r="I181" s="5" t="str">
        <f>'[1]B.kriteria &amp; R.kecocokan'!$B$95</f>
        <v>Rendah</v>
      </c>
      <c r="J181" s="5" t="str">
        <f>'[1]B.kriteria &amp; R.kecocokan'!$B$80</f>
        <v>Rendah</v>
      </c>
      <c r="K181" s="5" t="str">
        <f>'[1]B.kriteria &amp; R.kecocokan'!$B$89</f>
        <v>Sedikit</v>
      </c>
      <c r="L181" s="5" t="str">
        <f>'[1]B.kriteria &amp; R.kecocokan'!$B$49</f>
        <v>Rendah</v>
      </c>
      <c r="M181" s="10" t="str">
        <f>'[1]B.kriteria &amp; R.kecocokan'!$B$58</f>
        <v>Sedang</v>
      </c>
      <c r="N181" s="6" t="str">
        <f>'[1]B.kriteria &amp; R.kecocokan'!$B$65</f>
        <v>Rendah</v>
      </c>
      <c r="O181" s="12" t="s">
        <v>36</v>
      </c>
      <c r="R181" t="s">
        <v>181</v>
      </c>
      <c r="S181">
        <v>0</v>
      </c>
      <c r="T181">
        <v>0</v>
      </c>
      <c r="U181">
        <v>0</v>
      </c>
      <c r="V181">
        <v>0</v>
      </c>
    </row>
    <row r="182" spans="1:23" hidden="1" x14ac:dyDescent="0.35">
      <c r="A182" s="15">
        <v>84</v>
      </c>
      <c r="B182" s="8" t="str">
        <f>[1]Penghasilan!B102</f>
        <v>3523152603110001</v>
      </c>
      <c r="C182" s="8" t="s">
        <v>144</v>
      </c>
      <c r="D182" s="9" t="s">
        <v>26</v>
      </c>
      <c r="E182" s="4" t="str">
        <f>'[1]B.kriteria &amp; R.kecocokan'!$B$24</f>
        <v>Cukup</v>
      </c>
      <c r="F182" s="10" t="str">
        <f>'[1]B.kriteria &amp; R.kecocokan'!$B$34</f>
        <v>Tinggi</v>
      </c>
      <c r="G182" s="5" t="str">
        <f>'[1]B.kriteria &amp; R.kecocokan'!$B$41</f>
        <v>Rendah</v>
      </c>
      <c r="H182" s="5" t="str">
        <f>'[1]B.kriteria &amp; R.kecocokan'!$B$72</f>
        <v>Rendah</v>
      </c>
      <c r="I182" s="5" t="str">
        <f>'[1]B.kriteria &amp; R.kecocokan'!$B$95</f>
        <v>Rendah</v>
      </c>
      <c r="J182" s="5" t="str">
        <f>'[1]B.kriteria &amp; R.kecocokan'!$B$80</f>
        <v>Rendah</v>
      </c>
      <c r="K182" s="10" t="str">
        <f>'[1]B.kriteria &amp; R.kecocokan'!$B$90</f>
        <v>Sangat Sedikit</v>
      </c>
      <c r="L182" s="5" t="str">
        <f>'[1]B.kriteria &amp; R.kecocokan'!$B$49</f>
        <v>Rendah</v>
      </c>
      <c r="M182" s="5" t="str">
        <f>'[1]B.kriteria &amp; R.kecocokan'!$B$57</f>
        <v>Rendah</v>
      </c>
      <c r="N182" s="6" t="str">
        <f>'[1]B.kriteria &amp; R.kecocokan'!$B$65</f>
        <v>Rendah</v>
      </c>
      <c r="O182" s="12" t="s">
        <v>18</v>
      </c>
    </row>
    <row r="183" spans="1:23" hidden="1" x14ac:dyDescent="0.35">
      <c r="A183" s="15">
        <v>85</v>
      </c>
      <c r="B183" s="8">
        <f>[1]Penghasilan!B113</f>
        <v>0</v>
      </c>
      <c r="C183" s="8" t="s">
        <v>145</v>
      </c>
      <c r="D183" s="9" t="s">
        <v>26</v>
      </c>
      <c r="E183" s="10" t="str">
        <f>'[1]B.kriteria &amp; R.kecocokan'!$B$23</f>
        <v>Banyak</v>
      </c>
      <c r="F183" s="10" t="str">
        <f>'[1]B.kriteria &amp; R.kecocokan'!$B$34</f>
        <v>Tinggi</v>
      </c>
      <c r="G183" s="5" t="str">
        <f>'[1]B.kriteria &amp; R.kecocokan'!$B$41</f>
        <v>Rendah</v>
      </c>
      <c r="H183" s="5" t="str">
        <f>'[1]B.kriteria &amp; R.kecocokan'!$B$72</f>
        <v>Rendah</v>
      </c>
      <c r="I183" s="10" t="str">
        <f>'[1]B.kriteria &amp; R.kecocokan'!$B$96</f>
        <v>Tinggi</v>
      </c>
      <c r="J183" s="5" t="str">
        <f>'[1]B.kriteria &amp; R.kecocokan'!$B$80</f>
        <v>Rendah</v>
      </c>
      <c r="K183" s="10" t="str">
        <f>'[1]B.kriteria &amp; R.kecocokan'!$B$90</f>
        <v>Sangat Sedikit</v>
      </c>
      <c r="L183" s="5" t="str">
        <f>'[1]B.kriteria &amp; R.kecocokan'!$B$49</f>
        <v>Rendah</v>
      </c>
      <c r="M183" s="5" t="str">
        <f>'[1]B.kriteria &amp; R.kecocokan'!$B$57</f>
        <v>Rendah</v>
      </c>
      <c r="N183" s="6" t="str">
        <f>'[1]B.kriteria &amp; R.kecocokan'!$B$65</f>
        <v>Rendah</v>
      </c>
      <c r="O183" s="12" t="s">
        <v>18</v>
      </c>
    </row>
    <row r="184" spans="1:23" hidden="1" x14ac:dyDescent="0.35">
      <c r="A184" s="16">
        <v>86</v>
      </c>
      <c r="B184" s="8">
        <f>[1]Penghasilan!B116</f>
        <v>0</v>
      </c>
      <c r="C184" s="8" t="s">
        <v>146</v>
      </c>
      <c r="D184" s="9" t="s">
        <v>26</v>
      </c>
      <c r="E184" s="13" t="str">
        <f>'[1]B.kriteria &amp; R.kecocokan'!$B$25</f>
        <v>Sedikit</v>
      </c>
      <c r="F184" s="10" t="str">
        <f>'[1]B.kriteria &amp; R.kecocokan'!$B$34</f>
        <v>Tinggi</v>
      </c>
      <c r="G184" s="5" t="str">
        <f>'[1]B.kriteria &amp; R.kecocokan'!$B$41</f>
        <v>Rendah</v>
      </c>
      <c r="H184" s="5" t="str">
        <f>'[1]B.kriteria &amp; R.kecocokan'!$B$72</f>
        <v>Rendah</v>
      </c>
      <c r="I184" s="5" t="str">
        <f>'[1]B.kriteria &amp; R.kecocokan'!$B$95</f>
        <v>Rendah</v>
      </c>
      <c r="J184" s="10" t="str">
        <f>'[1]B.kriteria &amp; R.kecocokan'!$B$81</f>
        <v>Tinggi</v>
      </c>
      <c r="K184" s="10" t="str">
        <f>'[1]B.kriteria &amp; R.kecocokan'!$B$90</f>
        <v>Sangat Sedikit</v>
      </c>
      <c r="L184" s="5" t="str">
        <f>'[1]B.kriteria &amp; R.kecocokan'!$B$49</f>
        <v>Rendah</v>
      </c>
      <c r="M184" s="5" t="str">
        <f>'[1]B.kriteria &amp; R.kecocokan'!$B$57</f>
        <v>Rendah</v>
      </c>
      <c r="N184" s="6" t="str">
        <f>'[1]B.kriteria &amp; R.kecocokan'!$B$65</f>
        <v>Rendah</v>
      </c>
      <c r="O184" s="12" t="s">
        <v>36</v>
      </c>
    </row>
    <row r="185" spans="1:23" hidden="1" x14ac:dyDescent="0.35">
      <c r="A185" s="15">
        <v>87</v>
      </c>
      <c r="B185" s="8">
        <f>[1]Penghasilan!B115</f>
        <v>0</v>
      </c>
      <c r="C185" s="8" t="s">
        <v>147</v>
      </c>
      <c r="D185" s="9" t="s">
        <v>148</v>
      </c>
      <c r="E185" s="13" t="str">
        <f>'[1]B.kriteria &amp; R.kecocokan'!$B$25</f>
        <v>Sedikit</v>
      </c>
      <c r="F185" s="10" t="str">
        <f>'[1]B.kriteria &amp; R.kecocokan'!$B$35</f>
        <v>Sangat Tinggi</v>
      </c>
      <c r="G185" s="10" t="str">
        <f>'[1]B.kriteria &amp; R.kecocokan'!$B$43</f>
        <v>Tinggi</v>
      </c>
      <c r="H185" s="5" t="str">
        <f>'[1]B.kriteria &amp; R.kecocokan'!$B$72</f>
        <v>Rendah</v>
      </c>
      <c r="I185" s="5" t="str">
        <f>'[1]B.kriteria &amp; R.kecocokan'!$B$95</f>
        <v>Rendah</v>
      </c>
      <c r="J185" s="5" t="str">
        <f>'[1]B.kriteria &amp; R.kecocokan'!$B$80</f>
        <v>Rendah</v>
      </c>
      <c r="K185" s="5" t="str">
        <f>'[1]B.kriteria &amp; R.kecocokan'!$B$89</f>
        <v>Sedikit</v>
      </c>
      <c r="L185" s="5" t="str">
        <f>'[1]B.kriteria &amp; R.kecocokan'!$B$49</f>
        <v>Rendah</v>
      </c>
      <c r="M185" s="5" t="str">
        <f>'[1]B.kriteria &amp; R.kecocokan'!$B$57</f>
        <v>Rendah</v>
      </c>
      <c r="N185" s="6" t="str">
        <f>'[1]B.kriteria &amp; R.kecocokan'!$B$65</f>
        <v>Rendah</v>
      </c>
      <c r="O185" s="12" t="s">
        <v>18</v>
      </c>
    </row>
    <row r="186" spans="1:23" hidden="1" x14ac:dyDescent="0.35">
      <c r="A186" s="15">
        <v>88</v>
      </c>
      <c r="B186" s="14" t="str">
        <f>[1]Penghasilan!B103</f>
        <v>3523152212200001</v>
      </c>
      <c r="C186" s="14" t="s">
        <v>20</v>
      </c>
      <c r="D186" s="9" t="s">
        <v>148</v>
      </c>
      <c r="E186" s="13" t="str">
        <f>'[1]B.kriteria &amp; R.kecocokan'!$B$25</f>
        <v>Sedikit</v>
      </c>
      <c r="F186" s="10" t="str">
        <f>'[1]B.kriteria &amp; R.kecocokan'!$B$35</f>
        <v>Sangat Tinggi</v>
      </c>
      <c r="G186" s="5" t="str">
        <f>'[1]B.kriteria &amp; R.kecocokan'!$B$41</f>
        <v>Rendah</v>
      </c>
      <c r="H186" s="5" t="str">
        <f>'[1]B.kriteria &amp; R.kecocokan'!$B$72</f>
        <v>Rendah</v>
      </c>
      <c r="I186" s="5" t="str">
        <f>'[1]B.kriteria &amp; R.kecocokan'!$B$95</f>
        <v>Rendah</v>
      </c>
      <c r="J186" s="10" t="str">
        <f>'[1]B.kriteria &amp; R.kecocokan'!$B$81</f>
        <v>Tinggi</v>
      </c>
      <c r="K186" s="10" t="str">
        <f>'[1]B.kriteria &amp; R.kecocokan'!$B$90</f>
        <v>Sangat Sedikit</v>
      </c>
      <c r="L186" s="10" t="str">
        <f>'[1]B.kriteria &amp; R.kecocokan'!$B$51</f>
        <v>Tinggi</v>
      </c>
      <c r="M186" s="10" t="str">
        <f>'[1]B.kriteria &amp; R.kecocokan'!$B$59</f>
        <v>Tinggi</v>
      </c>
      <c r="N186" s="6" t="str">
        <f>'[1]B.kriteria &amp; R.kecocokan'!$B$65</f>
        <v>Rendah</v>
      </c>
      <c r="O186" s="12" t="s">
        <v>36</v>
      </c>
    </row>
    <row r="187" spans="1:23" hidden="1" x14ac:dyDescent="0.35">
      <c r="A187" s="16">
        <v>89</v>
      </c>
      <c r="B187" s="8" t="str">
        <f>[1]Penghasilan!B101</f>
        <v>3523151604600002</v>
      </c>
      <c r="C187" s="8" t="s">
        <v>149</v>
      </c>
      <c r="D187" s="9" t="s">
        <v>26</v>
      </c>
      <c r="E187" s="4" t="str">
        <f>'[1]B.kriteria &amp; R.kecocokan'!$B$24</f>
        <v>Cukup</v>
      </c>
      <c r="F187" s="10" t="str">
        <f>'[1]B.kriteria &amp; R.kecocokan'!$B$34</f>
        <v>Tinggi</v>
      </c>
      <c r="G187" s="5" t="str">
        <f>'[1]B.kriteria &amp; R.kecocokan'!$B$41</f>
        <v>Rendah</v>
      </c>
      <c r="H187" s="5" t="str">
        <f>'[1]B.kriteria &amp; R.kecocokan'!$B$72</f>
        <v>Rendah</v>
      </c>
      <c r="I187" s="5" t="str">
        <f>'[1]B.kriteria &amp; R.kecocokan'!$B$95</f>
        <v>Rendah</v>
      </c>
      <c r="J187" s="10" t="str">
        <f>'[1]B.kriteria &amp; R.kecocokan'!$B$81</f>
        <v>Tinggi</v>
      </c>
      <c r="K187" s="10" t="str">
        <f>'[1]B.kriteria &amp; R.kecocokan'!$B$90</f>
        <v>Sangat Sedikit</v>
      </c>
      <c r="L187" s="5" t="str">
        <f>'[1]B.kriteria &amp; R.kecocokan'!$B$49</f>
        <v>Rendah</v>
      </c>
      <c r="M187" s="5" t="str">
        <f>'[1]B.kriteria &amp; R.kecocokan'!$B$57</f>
        <v>Rendah</v>
      </c>
      <c r="N187" s="6" t="str">
        <f>'[1]B.kriteria &amp; R.kecocokan'!$B$65</f>
        <v>Rendah</v>
      </c>
      <c r="O187" s="12" t="s">
        <v>18</v>
      </c>
    </row>
    <row r="188" spans="1:23" hidden="1" x14ac:dyDescent="0.35">
      <c r="A188" s="15">
        <v>90</v>
      </c>
      <c r="B188" s="14" t="str">
        <f>[1]Penghasilan!B104</f>
        <v>3523154107540103</v>
      </c>
      <c r="C188" s="14" t="s">
        <v>150</v>
      </c>
      <c r="D188" s="9" t="s">
        <v>26</v>
      </c>
      <c r="E188" s="13" t="str">
        <f>'[1]B.kriteria &amp; R.kecocokan'!$B$25</f>
        <v>Sedikit</v>
      </c>
      <c r="F188" s="10" t="str">
        <f>'[1]B.kriteria &amp; R.kecocokan'!$B$35</f>
        <v>Sangat Tinggi</v>
      </c>
      <c r="G188" s="5" t="str">
        <f>'[1]B.kriteria &amp; R.kecocokan'!$B$41</f>
        <v>Rendah</v>
      </c>
      <c r="H188" s="5" t="str">
        <f>'[1]B.kriteria &amp; R.kecocokan'!$B$72</f>
        <v>Rendah</v>
      </c>
      <c r="I188" s="5" t="str">
        <f>'[1]B.kriteria &amp; R.kecocokan'!$B$95</f>
        <v>Rendah</v>
      </c>
      <c r="J188" s="10" t="str">
        <f>'[1]B.kriteria &amp; R.kecocokan'!$B$81</f>
        <v>Tinggi</v>
      </c>
      <c r="K188" s="10" t="str">
        <f>'[1]B.kriteria &amp; R.kecocokan'!$B$90</f>
        <v>Sangat Sedikit</v>
      </c>
      <c r="L188" s="10" t="str">
        <f>'[1]B.kriteria &amp; R.kecocokan'!$B$51</f>
        <v>Tinggi</v>
      </c>
      <c r="M188" s="10" t="str">
        <f>'[1]B.kriteria &amp; R.kecocokan'!$B$59</f>
        <v>Tinggi</v>
      </c>
      <c r="N188" s="6" t="str">
        <f>'[1]B.kriteria &amp; R.kecocokan'!$B$65</f>
        <v>Rendah</v>
      </c>
      <c r="O188" s="12" t="s">
        <v>36</v>
      </c>
    </row>
    <row r="189" spans="1:23" x14ac:dyDescent="0.35">
      <c r="A189" s="15">
        <v>91</v>
      </c>
      <c r="B189" s="8" t="str">
        <f>[1]Penghasilan!B105</f>
        <v>3523151403170009</v>
      </c>
      <c r="C189" s="8" t="s">
        <v>151</v>
      </c>
      <c r="D189" s="9" t="s">
        <v>26</v>
      </c>
      <c r="E189" s="13" t="str">
        <f>'[1]B.kriteria &amp; R.kecocokan'!$B$25</f>
        <v>Sedikit</v>
      </c>
      <c r="F189" s="10" t="str">
        <f>'[1]B.kriteria &amp; R.kecocokan'!$B$34</f>
        <v>Tinggi</v>
      </c>
      <c r="G189" s="5" t="str">
        <f>'[1]B.kriteria &amp; R.kecocokan'!$B$41</f>
        <v>Rendah</v>
      </c>
      <c r="H189" s="5" t="str">
        <f>'[1]B.kriteria &amp; R.kecocokan'!$B$72</f>
        <v>Rendah</v>
      </c>
      <c r="I189" s="5" t="str">
        <f>'[1]B.kriteria &amp; R.kecocokan'!$B$95</f>
        <v>Rendah</v>
      </c>
      <c r="J189" s="10" t="str">
        <f>'[1]B.kriteria &amp; R.kecocokan'!$B$81</f>
        <v>Tinggi</v>
      </c>
      <c r="K189" s="10" t="str">
        <f>'[1]B.kriteria &amp; R.kecocokan'!$B$90</f>
        <v>Sangat Sedikit</v>
      </c>
      <c r="L189" s="5" t="str">
        <f>'[1]B.kriteria &amp; R.kecocokan'!$B$49</f>
        <v>Rendah</v>
      </c>
      <c r="M189" s="10" t="str">
        <f>'[1]B.kriteria &amp; R.kecocokan'!$B$58</f>
        <v>Sedang</v>
      </c>
      <c r="N189" s="6" t="str">
        <f>'[1]B.kriteria &amp; R.kecocokan'!$B$65</f>
        <v>Rendah</v>
      </c>
      <c r="O189" s="12" t="s">
        <v>36</v>
      </c>
    </row>
    <row r="190" spans="1:23" x14ac:dyDescent="0.35">
      <c r="A190" s="16">
        <v>92</v>
      </c>
      <c r="B190" s="8" t="str">
        <f>[1]Penghasilan!B106</f>
        <v>3523151403061471</v>
      </c>
      <c r="C190" s="8" t="s">
        <v>152</v>
      </c>
      <c r="D190" s="9" t="s">
        <v>26</v>
      </c>
      <c r="E190" s="13" t="str">
        <f>'[1]B.kriteria &amp; R.kecocokan'!$B$25</f>
        <v>Sedikit</v>
      </c>
      <c r="F190" s="10" t="str">
        <f>'[1]B.kriteria &amp; R.kecocokan'!$B$34</f>
        <v>Tinggi</v>
      </c>
      <c r="G190" s="5" t="str">
        <f>'[1]B.kriteria &amp; R.kecocokan'!$B$41</f>
        <v>Rendah</v>
      </c>
      <c r="H190" s="5" t="str">
        <f>'[1]B.kriteria &amp; R.kecocokan'!$B$72</f>
        <v>Rendah</v>
      </c>
      <c r="I190" s="5" t="str">
        <f>'[1]B.kriteria &amp; R.kecocokan'!$B$95</f>
        <v>Rendah</v>
      </c>
      <c r="J190" s="5" t="str">
        <f>'[1]B.kriteria &amp; R.kecocokan'!$B$80</f>
        <v>Rendah</v>
      </c>
      <c r="K190" s="10" t="str">
        <f>'[1]B.kriteria &amp; R.kecocokan'!$B$88</f>
        <v>Sedang</v>
      </c>
      <c r="L190" s="5" t="str">
        <f>'[1]B.kriteria &amp; R.kecocokan'!$B$49</f>
        <v>Rendah</v>
      </c>
      <c r="M190" s="10" t="str">
        <f>'[1]B.kriteria &amp; R.kecocokan'!$B$58</f>
        <v>Sedang</v>
      </c>
      <c r="N190" s="6" t="str">
        <f>'[1]B.kriteria &amp; R.kecocokan'!$B$65</f>
        <v>Rendah</v>
      </c>
      <c r="O190" s="12" t="s">
        <v>36</v>
      </c>
      <c r="Q190" t="s">
        <v>7</v>
      </c>
      <c r="W190" s="41">
        <f>$V$109-((S192/$S$109*V192)+(S193/$S$109*V193))</f>
        <v>0</v>
      </c>
    </row>
    <row r="191" spans="1:23" hidden="1" x14ac:dyDescent="0.35">
      <c r="A191" s="18">
        <v>93</v>
      </c>
      <c r="B191" s="19">
        <f>[1]Penghasilan!B119</f>
        <v>0</v>
      </c>
      <c r="C191" s="19" t="s">
        <v>153</v>
      </c>
      <c r="D191" s="20" t="s">
        <v>26</v>
      </c>
      <c r="E191" s="21" t="str">
        <f>'[1]B.kriteria &amp; R.kecocokan'!$B$23</f>
        <v>Banyak</v>
      </c>
      <c r="F191" s="21" t="str">
        <f>'[1]B.kriteria &amp; R.kecocokan'!$B$34</f>
        <v>Tinggi</v>
      </c>
      <c r="G191" s="22" t="str">
        <f>'[1]B.kriteria &amp; R.kecocokan'!$B$41</f>
        <v>Rendah</v>
      </c>
      <c r="H191" s="22" t="str">
        <f>'[1]B.kriteria &amp; R.kecocokan'!$B$72</f>
        <v>Rendah</v>
      </c>
      <c r="I191" s="22" t="str">
        <f>'[1]B.kriteria &amp; R.kecocokan'!$B$95</f>
        <v>Rendah</v>
      </c>
      <c r="J191" s="22" t="str">
        <f>'[1]B.kriteria &amp; R.kecocokan'!$B$80</f>
        <v>Rendah</v>
      </c>
      <c r="K191" s="21" t="str">
        <f>'[1]B.kriteria &amp; R.kecocokan'!$B$88</f>
        <v>Sedang</v>
      </c>
      <c r="L191" s="22" t="str">
        <f>'[1]B.kriteria &amp; R.kecocokan'!$B$49</f>
        <v>Rendah</v>
      </c>
      <c r="M191" s="22" t="str">
        <f>'[1]B.kriteria &amp; R.kecocokan'!$B$57</f>
        <v>Rendah</v>
      </c>
      <c r="N191" s="23" t="str">
        <f>'[1]B.kriteria &amp; R.kecocokan'!$B$65</f>
        <v>Rendah</v>
      </c>
      <c r="O191" s="24" t="s">
        <v>18</v>
      </c>
    </row>
    <row r="192" spans="1:23" x14ac:dyDescent="0.35">
      <c r="R192" s="30" t="s">
        <v>168</v>
      </c>
      <c r="S192">
        <f>COUNTIFS($I$109:$I$190,$I$123,$M$109:$M$190,$M$118)</f>
        <v>15</v>
      </c>
      <c r="T192">
        <f>COUNTIFS($I$109:$I$190,$I$123,$M$109:$M$190,$M$118,$O$109:$O$190,$O$109)</f>
        <v>11</v>
      </c>
      <c r="U192">
        <f>COUNTIFS($I$109:$I$190,$I$123,$M$109:$M$190,$M$118,$O$109:$O$190,$O$112)</f>
        <v>4</v>
      </c>
      <c r="V192">
        <f t="shared" ref="V192" si="24">((-T192/S192)*IMLOG2(T192/S192))+((-U192/S192)*IMLOG2(U192/S192))</f>
        <v>0.83664074194116733</v>
      </c>
    </row>
    <row r="193" spans="17:23" x14ac:dyDescent="0.35">
      <c r="R193" s="30" t="s">
        <v>165</v>
      </c>
      <c r="S193">
        <v>0</v>
      </c>
      <c r="T193">
        <v>0</v>
      </c>
      <c r="U193">
        <v>0</v>
      </c>
      <c r="V193">
        <v>0</v>
      </c>
    </row>
    <row r="195" spans="17:23" x14ac:dyDescent="0.35">
      <c r="Q195" s="30" t="s">
        <v>170</v>
      </c>
      <c r="R195" s="30"/>
      <c r="W195" s="41">
        <f>$V$109-((S196/$S$109*V196)+(S197/$S$109*V197))</f>
        <v>0</v>
      </c>
    </row>
    <row r="196" spans="17:23" x14ac:dyDescent="0.35">
      <c r="Q196" s="30"/>
      <c r="R196" s="30" t="s">
        <v>168</v>
      </c>
      <c r="S196">
        <f>COUNTIFS($I$109:$I$190,$I$129,$M$109:$M$190,$M$116)</f>
        <v>15</v>
      </c>
      <c r="T196">
        <f>COUNTIFS($I$109:$I$190,$I$129,$M$109:$M$190,$M$116,$O$109:$O$190,$O$109)</f>
        <v>11</v>
      </c>
      <c r="U196">
        <f>COUNTIFS($I$109:$I$190,$I$129,$M$109:$M$190,$M$116,$O$109:$O$190,$O$149)</f>
        <v>4</v>
      </c>
      <c r="V196">
        <f t="shared" ref="V196" si="25">((-T196/S196)*IMLOG2(T196/S196))+((-U196/S196)*IMLOG2(U196/S196))</f>
        <v>0.83664074194116733</v>
      </c>
    </row>
    <row r="197" spans="17:23" x14ac:dyDescent="0.35">
      <c r="Q197" s="30"/>
      <c r="R197" s="30" t="s">
        <v>165</v>
      </c>
      <c r="S197">
        <v>0</v>
      </c>
      <c r="T197">
        <v>0</v>
      </c>
      <c r="U197">
        <v>0</v>
      </c>
      <c r="V197">
        <v>0</v>
      </c>
    </row>
    <row r="198" spans="17:23" x14ac:dyDescent="0.35">
      <c r="Q198" s="30"/>
      <c r="R198" s="30"/>
    </row>
    <row r="199" spans="17:23" x14ac:dyDescent="0.35">
      <c r="Q199" s="37" t="s">
        <v>9</v>
      </c>
      <c r="R199" s="35"/>
      <c r="W199" s="41">
        <f>$V$109-((S200/$S$109*V200)+(S201/$S$109*V201))</f>
        <v>0.24199510603823471</v>
      </c>
    </row>
    <row r="200" spans="17:23" x14ac:dyDescent="0.35">
      <c r="Q200" s="35"/>
      <c r="R200" s="35" t="s">
        <v>171</v>
      </c>
      <c r="S200">
        <f>COUNTIFS($J$109:$J$190,$J$112,$M$109:$M$190,$M$190)</f>
        <v>9</v>
      </c>
      <c r="T200">
        <f>COUNTIFS($J$109:$J$190,$J$112,$M$109:$M$190,$M$190,$O$109:$O$190,$O$109)</f>
        <v>5</v>
      </c>
      <c r="U200">
        <f>COUNTIFS($J$109:$J$190,$J$112,$M$109:$M$190,$M$190,$O$109:$O$190,$O$112)</f>
        <v>4</v>
      </c>
      <c r="V200">
        <f t="shared" ref="V200" si="26">((-T200/S200)*IMLOG2(T200/S200))+((-U200/S200)*IMLOG2(U200/S200))</f>
        <v>0.99107605983822111</v>
      </c>
    </row>
    <row r="201" spans="17:23" x14ac:dyDescent="0.35">
      <c r="Q201" s="35"/>
      <c r="R201" s="35" t="s">
        <v>165</v>
      </c>
      <c r="S201">
        <f>COUNTIFS($J$109:$J$190,$J$109,$M$109:$M$190,$M$117)</f>
        <v>6</v>
      </c>
      <c r="T201">
        <f>COUNTIFS($J$109:$J$190,$J$109,$M$109:$M$190,$M$117,$O$109:$O$190,$O$109)</f>
        <v>6</v>
      </c>
      <c r="U201">
        <f>COUNTIFS($J$109:$J$190,$J$109,$M$109:$M$190,$M$117,$O$109:$O$190,$O$112)</f>
        <v>0</v>
      </c>
      <c r="V201">
        <v>0</v>
      </c>
    </row>
    <row r="202" spans="17:23" x14ac:dyDescent="0.35">
      <c r="Q202" s="30"/>
      <c r="R202" s="30"/>
    </row>
    <row r="203" spans="17:23" x14ac:dyDescent="0.35">
      <c r="Q203" s="40" t="s">
        <v>172</v>
      </c>
      <c r="R203" s="40"/>
      <c r="S203" s="38"/>
      <c r="T203" s="38"/>
      <c r="U203" s="38"/>
      <c r="V203" s="38"/>
      <c r="W203" s="45">
        <f>$V$109-((S204/$S$109*V204)+(S205/$S$109*V205)+(S206/$S$109*V206))</f>
        <v>0.29664971060050938</v>
      </c>
    </row>
    <row r="204" spans="17:23" x14ac:dyDescent="0.35">
      <c r="Q204" s="30"/>
      <c r="R204" s="30" t="s">
        <v>173</v>
      </c>
      <c r="S204">
        <f>COUNTIFS($K$109:$K$190,$K$116,$M$109:$M$190,$M$118)</f>
        <v>4</v>
      </c>
      <c r="T204">
        <f>COUNTIFS($K$109:$K$190,$K$116,$M$109:$M$190,$M$118,$O$109:$O$190,$O$109)</f>
        <v>3</v>
      </c>
      <c r="U204">
        <f>COUNTIFS($K$109:$K$190,$K$116,$M$109:$M$190,$M$118,$O$109:$O$190,$O$112)</f>
        <v>1</v>
      </c>
      <c r="V204">
        <f t="shared" ref="V204:V205" si="27">((-T204/S204)*IMLOG2(T204/S204))+((-U204/S204)*IMLOG2(U204/S204))</f>
        <v>0.81127812445913294</v>
      </c>
    </row>
    <row r="205" spans="17:23" x14ac:dyDescent="0.35">
      <c r="Q205" s="30"/>
      <c r="R205" s="30" t="s">
        <v>164</v>
      </c>
      <c r="S205">
        <f>COUNTIFS($K$109:$K$190,$K$126,$M$109:$M$190,$M$126)</f>
        <v>5</v>
      </c>
      <c r="T205">
        <f>COUNTIFS($K$109:$K$190,$K$126,$M$109:$M$190,$M$126,$O$109:$O$190,$O$109)</f>
        <v>2</v>
      </c>
      <c r="U205">
        <f>COUNTIFS($K$109:$K$190,$K$126,$M$109:$M$190,$M$126,$O$109:$O$190,$O$112)</f>
        <v>3</v>
      </c>
      <c r="V205">
        <f t="shared" si="27"/>
        <v>0.97095059445466747</v>
      </c>
    </row>
    <row r="206" spans="17:23" x14ac:dyDescent="0.35">
      <c r="Q206" s="30"/>
      <c r="R206" s="30" t="s">
        <v>174</v>
      </c>
      <c r="S206">
        <f>COUNTIFS($K$109:$K$190,$K$119,$M$109:$M$190,$M$119)</f>
        <v>6</v>
      </c>
      <c r="T206">
        <f>COUNTIFS($K$109:$K$190,$K$119,$M$109:$M$190,$M$119,$O$109:$O$190,$O$109)</f>
        <v>6</v>
      </c>
      <c r="U206">
        <f>COUNTIFS($K$109:$K$190,$K$119,$M$109:$M$190,$M$119,$O$109:$O$190,$O$112)</f>
        <v>0</v>
      </c>
      <c r="V206">
        <v>0</v>
      </c>
    </row>
    <row r="207" spans="17:23" x14ac:dyDescent="0.35">
      <c r="Q207" s="30"/>
      <c r="R207" s="30"/>
    </row>
    <row r="208" spans="17:23" x14ac:dyDescent="0.35">
      <c r="Q208" s="30" t="s">
        <v>11</v>
      </c>
      <c r="R208" s="30"/>
      <c r="W208" s="41">
        <f>$V$109-((S209/$S$109*V209)+(S210/$S$109*V210)+(S211/$S$109*V211))</f>
        <v>0.10200407469757489</v>
      </c>
    </row>
    <row r="209" spans="1:23" x14ac:dyDescent="0.35">
      <c r="Q209" s="30"/>
      <c r="R209" s="30" t="s">
        <v>168</v>
      </c>
      <c r="S209">
        <f>COUNTIFS($L$109:$L$190,$L$117,$M$109:$M$190,$M$189)</f>
        <v>12</v>
      </c>
      <c r="T209">
        <f>COUNTIFS($L$109:$L$190,$L$117,$M$109:$M$190,$M$189,$O$109:$O$190,$O$109)</f>
        <v>8</v>
      </c>
      <c r="U209">
        <f>COUNTIFS($L$109:$L$190,$L$117,$M$109:$M$190,$M$189,$O$109:$O$190,$O$112)</f>
        <v>4</v>
      </c>
      <c r="V209">
        <f t="shared" ref="V209" si="28">((-T209/S209)*IMLOG2(T209/S209))+((-U209/S209)*IMLOG2(U209/S209))</f>
        <v>0.91829583405449056</v>
      </c>
    </row>
    <row r="210" spans="1:23" x14ac:dyDescent="0.35">
      <c r="Q210" s="30"/>
      <c r="R210" s="30" t="s">
        <v>173</v>
      </c>
      <c r="S210">
        <f>COUNTIFS($L$109:$L$190,$L$109,$M$109:$M$190,$M$189)</f>
        <v>2</v>
      </c>
      <c r="T210">
        <f>COUNTIFS($L$109:$L$190,$L$109,$M$109:$M$190,$M$189,$O$109:$O$190,$O$109)</f>
        <v>2</v>
      </c>
      <c r="U210">
        <f>COUNTIFS($L$109:$L$190,$L$109,$M$109:$M$190,$M$189,$O$109:$O$190,$O$112)</f>
        <v>0</v>
      </c>
      <c r="V210">
        <v>0</v>
      </c>
    </row>
    <row r="211" spans="1:23" x14ac:dyDescent="0.35">
      <c r="Q211" s="30"/>
      <c r="R211" s="30" t="s">
        <v>165</v>
      </c>
      <c r="S211">
        <f>COUNTIFS($L$109:$L$190,$L$115,$M$109:$M$190,$M$189)</f>
        <v>1</v>
      </c>
      <c r="T211">
        <f>COUNTIFS($L$109:$L$190,$L$115,$M$109:$M$190,$M$189,$O$109:$O$190,$O$109)</f>
        <v>1</v>
      </c>
      <c r="U211">
        <f>COUNTIFS($L$109:$L$190,$L$115,$M$109:$M$190,$M$189,$O$109:$O$190,$O$112)</f>
        <v>0</v>
      </c>
      <c r="V211">
        <v>0</v>
      </c>
    </row>
    <row r="213" spans="1:23" x14ac:dyDescent="0.35">
      <c r="Q213" s="30" t="s">
        <v>13</v>
      </c>
      <c r="R213" s="30"/>
      <c r="W213" s="41">
        <f>$V$109-((S214/$S$109*V214)+(S215/$S$109*V215))</f>
        <v>3.1061544612312697E-2</v>
      </c>
    </row>
    <row r="214" spans="1:23" x14ac:dyDescent="0.35">
      <c r="Q214" s="30"/>
      <c r="R214" s="30" t="s">
        <v>171</v>
      </c>
      <c r="S214">
        <f>COUNTIFS($N$109:$N$190,$N$112,$M$109:$M$190,$M$109)</f>
        <v>14</v>
      </c>
      <c r="T214">
        <f>COUNTIFS($N$109:$N$190,$N$112,$M$109:$M$190,$M$109,$O$109:$O$190,$O$109)</f>
        <v>10</v>
      </c>
      <c r="U214">
        <f>COUNTIFS($N$109:$N$190,$N$112,$M$109:$M$190,$M$109,$O$109:$O$190,$O$112)</f>
        <v>4</v>
      </c>
      <c r="V214">
        <f t="shared" ref="V214" si="29">((-T214/S214)*IMLOG2(T214/S214))+((-U214/S214)*IMLOG2(U214/S214))</f>
        <v>0.86312056856663</v>
      </c>
    </row>
    <row r="215" spans="1:23" x14ac:dyDescent="0.35">
      <c r="Q215" s="30"/>
      <c r="R215" s="30" t="s">
        <v>173</v>
      </c>
      <c r="S215">
        <f>COUNTIFS($N$109:$N$190,$N$109,$M$109:$M$190,$M$109)</f>
        <v>1</v>
      </c>
      <c r="T215">
        <f>COUNTIFS($N$109:$N$190,$N$109,$M$109:$M$190,$M$109,$O$109:$O$190,$O$109)</f>
        <v>1</v>
      </c>
      <c r="U215">
        <f>COUNTIFS($N$109:$N$190,$N$109,$M$109:$M$190,$M$109,$O$109:$O$190,$O$112)</f>
        <v>0</v>
      </c>
      <c r="V215">
        <v>0</v>
      </c>
    </row>
    <row r="216" spans="1:23" x14ac:dyDescent="0.35">
      <c r="W216" s="38">
        <f>MAX(W112:W213)</f>
        <v>0.29664971060050938</v>
      </c>
    </row>
    <row r="217" spans="1:23" ht="29.5" thickBot="1" x14ac:dyDescent="0.4">
      <c r="A217" s="25" t="s">
        <v>0</v>
      </c>
      <c r="B217" s="26" t="s">
        <v>1</v>
      </c>
      <c r="C217" s="27" t="s">
        <v>2</v>
      </c>
      <c r="D217" s="26" t="s">
        <v>3</v>
      </c>
      <c r="E217" s="26" t="s">
        <v>4</v>
      </c>
      <c r="F217" s="27" t="s">
        <v>5</v>
      </c>
      <c r="G217" s="27" t="s">
        <v>6</v>
      </c>
      <c r="H217" s="27" t="s">
        <v>7</v>
      </c>
      <c r="I217" s="27" t="s">
        <v>8</v>
      </c>
      <c r="J217" s="27" t="s">
        <v>9</v>
      </c>
      <c r="K217" s="27" t="s">
        <v>10</v>
      </c>
      <c r="L217" s="27" t="s">
        <v>11</v>
      </c>
      <c r="M217" s="27" t="s">
        <v>12</v>
      </c>
      <c r="N217" s="28" t="s">
        <v>13</v>
      </c>
      <c r="O217" s="29" t="s">
        <v>14</v>
      </c>
      <c r="Q217" s="30" t="s">
        <v>186</v>
      </c>
      <c r="R217" s="30"/>
      <c r="S217" s="31" t="s">
        <v>155</v>
      </c>
      <c r="T217" s="31" t="s">
        <v>156</v>
      </c>
      <c r="U217" s="32" t="s">
        <v>157</v>
      </c>
      <c r="V217" s="31" t="s">
        <v>158</v>
      </c>
      <c r="W217" s="31" t="s">
        <v>159</v>
      </c>
    </row>
    <row r="218" spans="1:23" ht="15" hidden="1" thickTop="1" x14ac:dyDescent="0.35">
      <c r="A218" s="15">
        <v>1</v>
      </c>
      <c r="B218" s="1" t="s">
        <v>15</v>
      </c>
      <c r="C218" s="2" t="s">
        <v>16</v>
      </c>
      <c r="D218" s="3" t="s">
        <v>17</v>
      </c>
      <c r="E218" s="4" t="str">
        <f>'[1]B.kriteria &amp; R.kecocokan'!$B$24</f>
        <v>Cukup</v>
      </c>
      <c r="F218" s="5" t="str">
        <f>'[1]B.kriteria &amp; R.kecocokan'!$B$34</f>
        <v>Tinggi</v>
      </c>
      <c r="G218" s="5" t="str">
        <f>'[1]B.kriteria &amp; R.kecocokan'!$B$41</f>
        <v>Rendah</v>
      </c>
      <c r="H218" s="5" t="str">
        <f>'[1]B.kriteria &amp; R.kecocokan'!$B$72</f>
        <v>Rendah</v>
      </c>
      <c r="I218" s="5" t="str">
        <f>'[1]B.kriteria &amp; R.kecocokan'!$B$95</f>
        <v>Rendah</v>
      </c>
      <c r="J218" s="5" t="str">
        <f>'[1]B.kriteria &amp; R.kecocokan'!$B$80</f>
        <v>Rendah</v>
      </c>
      <c r="K218" s="5" t="str">
        <f>'[1]B.kriteria &amp; R.kecocokan'!$B$89</f>
        <v>Sedikit</v>
      </c>
      <c r="L218" s="5" t="str">
        <f>'[1]B.kriteria &amp; R.kecocokan'!$B$49</f>
        <v>Rendah</v>
      </c>
      <c r="M218" s="5" t="str">
        <f>'[1]B.kriteria &amp; R.kecocokan'!$B$57</f>
        <v>Rendah</v>
      </c>
      <c r="N218" s="6" t="str">
        <f>'[1]B.kriteria &amp; R.kecocokan'!$B$65</f>
        <v>Rendah</v>
      </c>
      <c r="O218" s="17" t="s">
        <v>18</v>
      </c>
    </row>
    <row r="219" spans="1:23" ht="15" hidden="1" thickTop="1" x14ac:dyDescent="0.35">
      <c r="A219" s="16">
        <v>2</v>
      </c>
      <c r="B219" s="7" t="s">
        <v>19</v>
      </c>
      <c r="C219" s="8" t="s">
        <v>20</v>
      </c>
      <c r="D219" s="9" t="s">
        <v>17</v>
      </c>
      <c r="E219" s="4" t="str">
        <f>'[1]B.kriteria &amp; R.kecocokan'!$B$24</f>
        <v>Cukup</v>
      </c>
      <c r="F219" s="10" t="str">
        <f>'[1]B.kriteria &amp; R.kecocokan'!$B$34</f>
        <v>Tinggi</v>
      </c>
      <c r="G219" s="5" t="str">
        <f>'[1]B.kriteria &amp; R.kecocokan'!$B$41</f>
        <v>Rendah</v>
      </c>
      <c r="H219" s="5" t="str">
        <f>'[1]B.kriteria &amp; R.kecocokan'!$B$72</f>
        <v>Rendah</v>
      </c>
      <c r="I219" s="5" t="str">
        <f>'[1]B.kriteria &amp; R.kecocokan'!$B$95</f>
        <v>Rendah</v>
      </c>
      <c r="J219" s="10" t="str">
        <f>'[1]B.kriteria &amp; R.kecocokan'!$B$81</f>
        <v>Tinggi</v>
      </c>
      <c r="K219" s="10" t="str">
        <f>'[1]B.kriteria &amp; R.kecocokan'!$B$90</f>
        <v>Sangat Sedikit</v>
      </c>
      <c r="L219" s="5" t="str">
        <f>'[1]B.kriteria &amp; R.kecocokan'!$B$49</f>
        <v>Rendah</v>
      </c>
      <c r="M219" s="5" t="str">
        <f>'[1]B.kriteria &amp; R.kecocokan'!$B$57</f>
        <v>Rendah</v>
      </c>
      <c r="N219" s="6" t="str">
        <f>'[1]B.kriteria &amp; R.kecocokan'!$B$65</f>
        <v>Rendah</v>
      </c>
      <c r="O219" s="12" t="s">
        <v>18</v>
      </c>
    </row>
    <row r="220" spans="1:23" ht="15" hidden="1" thickTop="1" x14ac:dyDescent="0.35">
      <c r="A220" s="15">
        <v>3</v>
      </c>
      <c r="B220" s="7" t="s">
        <v>21</v>
      </c>
      <c r="C220" s="8" t="s">
        <v>22</v>
      </c>
      <c r="D220" s="9" t="s">
        <v>17</v>
      </c>
      <c r="E220" s="10" t="str">
        <f>'[1]B.kriteria &amp; R.kecocokan'!$B$23</f>
        <v>Banyak</v>
      </c>
      <c r="F220" s="10" t="str">
        <f>'[1]B.kriteria &amp; R.kecocokan'!$B$34</f>
        <v>Tinggi</v>
      </c>
      <c r="G220" s="5" t="str">
        <f>'[1]B.kriteria &amp; R.kecocokan'!$B$41</f>
        <v>Rendah</v>
      </c>
      <c r="H220" s="5" t="str">
        <f>'[1]B.kriteria &amp; R.kecocokan'!$B$72</f>
        <v>Rendah</v>
      </c>
      <c r="I220" s="5" t="str">
        <f>'[1]B.kriteria &amp; R.kecocokan'!$B$95</f>
        <v>Rendah</v>
      </c>
      <c r="J220" s="5" t="str">
        <f>'[1]B.kriteria &amp; R.kecocokan'!$B$80</f>
        <v>Rendah</v>
      </c>
      <c r="K220" s="10" t="str">
        <f>'[1]B.kriteria &amp; R.kecocokan'!$B$90</f>
        <v>Sangat Sedikit</v>
      </c>
      <c r="L220" s="5" t="str">
        <f>'[1]B.kriteria &amp; R.kecocokan'!$B$49</f>
        <v>Rendah</v>
      </c>
      <c r="M220" s="5" t="str">
        <f>'[1]B.kriteria &amp; R.kecocokan'!$B$57</f>
        <v>Rendah</v>
      </c>
      <c r="N220" s="6" t="str">
        <f>'[1]B.kriteria &amp; R.kecocokan'!$B$65</f>
        <v>Rendah</v>
      </c>
      <c r="O220" s="12" t="s">
        <v>18</v>
      </c>
    </row>
    <row r="221" spans="1:23" ht="15" hidden="1" thickTop="1" x14ac:dyDescent="0.35">
      <c r="A221" s="15">
        <v>4</v>
      </c>
      <c r="B221" s="7" t="s">
        <v>23</v>
      </c>
      <c r="C221" s="8" t="s">
        <v>24</v>
      </c>
      <c r="D221" s="9" t="s">
        <v>17</v>
      </c>
      <c r="E221" s="4" t="str">
        <f>'[1]B.kriteria &amp; R.kecocokan'!$B$24</f>
        <v>Cukup</v>
      </c>
      <c r="F221" s="10" t="str">
        <f>'[1]B.kriteria &amp; R.kecocokan'!$B$34</f>
        <v>Tinggi</v>
      </c>
      <c r="G221" s="5" t="str">
        <f>'[1]B.kriteria &amp; R.kecocokan'!$B$41</f>
        <v>Rendah</v>
      </c>
      <c r="H221" s="5" t="str">
        <f>'[1]B.kriteria &amp; R.kecocokan'!$B$72</f>
        <v>Rendah</v>
      </c>
      <c r="I221" s="5" t="str">
        <f>'[1]B.kriteria &amp; R.kecocokan'!$B$95</f>
        <v>Rendah</v>
      </c>
      <c r="J221" s="5" t="str">
        <f>'[1]B.kriteria &amp; R.kecocokan'!$B$80</f>
        <v>Rendah</v>
      </c>
      <c r="K221" s="5" t="str">
        <f>'[1]B.kriteria &amp; R.kecocokan'!$B$89</f>
        <v>Sedikit</v>
      </c>
      <c r="L221" s="5" t="str">
        <f>'[1]B.kriteria &amp; R.kecocokan'!$B$49</f>
        <v>Rendah</v>
      </c>
      <c r="M221" s="5" t="str">
        <f>'[1]B.kriteria &amp; R.kecocokan'!$B$57</f>
        <v>Rendah</v>
      </c>
      <c r="N221" s="6" t="str">
        <f>'[1]B.kriteria &amp; R.kecocokan'!$B$65</f>
        <v>Rendah</v>
      </c>
      <c r="O221" s="12" t="s">
        <v>18</v>
      </c>
    </row>
    <row r="222" spans="1:23" ht="15" hidden="1" thickTop="1" x14ac:dyDescent="0.35">
      <c r="A222" s="16">
        <v>5</v>
      </c>
      <c r="B222" s="8">
        <f>[1]Penghasilan!B233</f>
        <v>0</v>
      </c>
      <c r="C222" s="8" t="s">
        <v>25</v>
      </c>
      <c r="D222" s="9" t="s">
        <v>26</v>
      </c>
      <c r="E222" s="4" t="str">
        <f>'[1]B.kriteria &amp; R.kecocokan'!$B$24</f>
        <v>Cukup</v>
      </c>
      <c r="F222" s="10" t="str">
        <f>'[1]B.kriteria &amp; R.kecocokan'!$B$34</f>
        <v>Tinggi</v>
      </c>
      <c r="G222" s="5" t="str">
        <f>'[1]B.kriteria &amp; R.kecocokan'!$B$41</f>
        <v>Rendah</v>
      </c>
      <c r="H222" s="5" t="str">
        <f>'[1]B.kriteria &amp; R.kecocokan'!$B$72</f>
        <v>Rendah</v>
      </c>
      <c r="I222" s="5" t="str">
        <f>'[1]B.kriteria &amp; R.kecocokan'!$B$95</f>
        <v>Rendah</v>
      </c>
      <c r="J222" s="5" t="str">
        <f>'[1]B.kriteria &amp; R.kecocokan'!$B$80</f>
        <v>Rendah</v>
      </c>
      <c r="K222" s="10" t="str">
        <f>'[1]B.kriteria &amp; R.kecocokan'!$B$88</f>
        <v>Sedang</v>
      </c>
      <c r="L222" s="5" t="str">
        <f>'[1]B.kriteria &amp; R.kecocokan'!$B$49</f>
        <v>Rendah</v>
      </c>
      <c r="M222" s="5" t="str">
        <f>'[1]B.kriteria &amp; R.kecocokan'!$B$57</f>
        <v>Rendah</v>
      </c>
      <c r="N222" s="6" t="str">
        <f>'[1]B.kriteria &amp; R.kecocokan'!$B$65</f>
        <v>Rendah</v>
      </c>
      <c r="O222" s="12" t="s">
        <v>18</v>
      </c>
    </row>
    <row r="223" spans="1:23" ht="15" hidden="1" thickTop="1" x14ac:dyDescent="0.35">
      <c r="A223" s="15">
        <v>6</v>
      </c>
      <c r="B223" s="7" t="s">
        <v>27</v>
      </c>
      <c r="C223" s="8" t="s">
        <v>28</v>
      </c>
      <c r="D223" s="9" t="s">
        <v>17</v>
      </c>
      <c r="E223" s="10" t="str">
        <f>'[1]B.kriteria &amp; R.kecocokan'!$B$23</f>
        <v>Banyak</v>
      </c>
      <c r="F223" s="10" t="str">
        <f>'[1]B.kriteria &amp; R.kecocokan'!$B$34</f>
        <v>Tinggi</v>
      </c>
      <c r="G223" s="5" t="str">
        <f>'[1]B.kriteria &amp; R.kecocokan'!$B$41</f>
        <v>Rendah</v>
      </c>
      <c r="H223" s="5" t="str">
        <f>'[1]B.kriteria &amp; R.kecocokan'!$B$72</f>
        <v>Rendah</v>
      </c>
      <c r="I223" s="5" t="str">
        <f>'[1]B.kriteria &amp; R.kecocokan'!$B$95</f>
        <v>Rendah</v>
      </c>
      <c r="J223" s="5" t="str">
        <f>'[1]B.kriteria &amp; R.kecocokan'!$B$80</f>
        <v>Rendah</v>
      </c>
      <c r="K223" s="5" t="str">
        <f>'[1]B.kriteria &amp; R.kecocokan'!$B$89</f>
        <v>Sedikit</v>
      </c>
      <c r="L223" s="5" t="str">
        <f>'[1]B.kriteria &amp; R.kecocokan'!$B$49</f>
        <v>Rendah</v>
      </c>
      <c r="M223" s="5" t="str">
        <f>'[1]B.kriteria &amp; R.kecocokan'!$B$57</f>
        <v>Rendah</v>
      </c>
      <c r="N223" s="6" t="str">
        <f>'[1]B.kriteria &amp; R.kecocokan'!$B$65</f>
        <v>Rendah</v>
      </c>
      <c r="O223" s="12" t="s">
        <v>18</v>
      </c>
    </row>
    <row r="224" spans="1:23" ht="15" hidden="1" thickTop="1" x14ac:dyDescent="0.35">
      <c r="A224" s="15">
        <v>7</v>
      </c>
      <c r="B224" s="7" t="s">
        <v>29</v>
      </c>
      <c r="C224" s="8" t="s">
        <v>30</v>
      </c>
      <c r="D224" s="9" t="s">
        <v>17</v>
      </c>
      <c r="E224" s="10" t="str">
        <f>'[1]B.kriteria &amp; R.kecocokan'!$B$23</f>
        <v>Banyak</v>
      </c>
      <c r="F224" s="10" t="str">
        <f>'[1]B.kriteria &amp; R.kecocokan'!$B$34</f>
        <v>Tinggi</v>
      </c>
      <c r="G224" s="5" t="str">
        <f>'[1]B.kriteria &amp; R.kecocokan'!$B$41</f>
        <v>Rendah</v>
      </c>
      <c r="H224" s="5" t="str">
        <f>'[1]B.kriteria &amp; R.kecocokan'!$B$72</f>
        <v>Rendah</v>
      </c>
      <c r="I224" s="5" t="str">
        <f>'[1]B.kriteria &amp; R.kecocokan'!$B$95</f>
        <v>Rendah</v>
      </c>
      <c r="J224" s="10" t="str">
        <f>'[1]B.kriteria &amp; R.kecocokan'!$B$81</f>
        <v>Tinggi</v>
      </c>
      <c r="K224" s="10" t="str">
        <f>'[1]B.kriteria &amp; R.kecocokan'!$B$88</f>
        <v>Sedang</v>
      </c>
      <c r="L224" s="5" t="str">
        <f>'[1]B.kriteria &amp; R.kecocokan'!$B$49</f>
        <v>Rendah</v>
      </c>
      <c r="M224" s="5" t="str">
        <f>'[1]B.kriteria &amp; R.kecocokan'!$B$57</f>
        <v>Rendah</v>
      </c>
      <c r="N224" s="6" t="str">
        <f>'[1]B.kriteria &amp; R.kecocokan'!$B$65</f>
        <v>Rendah</v>
      </c>
      <c r="O224" s="12" t="s">
        <v>18</v>
      </c>
    </row>
    <row r="225" spans="1:23" ht="15" hidden="1" thickTop="1" x14ac:dyDescent="0.35">
      <c r="A225" s="16">
        <v>8</v>
      </c>
      <c r="B225" s="7" t="s">
        <v>31</v>
      </c>
      <c r="C225" s="8" t="s">
        <v>32</v>
      </c>
      <c r="D225" s="11" t="s">
        <v>17</v>
      </c>
      <c r="E225" s="4" t="str">
        <f>'[1]B.kriteria &amp; R.kecocokan'!$B$24</f>
        <v>Cukup</v>
      </c>
      <c r="F225" s="10" t="str">
        <f>'[1]B.kriteria &amp; R.kecocokan'!$B$34</f>
        <v>Tinggi</v>
      </c>
      <c r="G225" s="5" t="str">
        <f>'[1]B.kriteria &amp; R.kecocokan'!$B$41</f>
        <v>Rendah</v>
      </c>
      <c r="H225" s="5" t="str">
        <f>'[1]B.kriteria &amp; R.kecocokan'!$B$72</f>
        <v>Rendah</v>
      </c>
      <c r="I225" s="5" t="str">
        <f>'[1]B.kriteria &amp; R.kecocokan'!$B$95</f>
        <v>Rendah</v>
      </c>
      <c r="J225" s="5" t="str">
        <f>'[1]B.kriteria &amp; R.kecocokan'!$B$80</f>
        <v>Rendah</v>
      </c>
      <c r="K225" s="5" t="str">
        <f>'[1]B.kriteria &amp; R.kecocokan'!$B$89</f>
        <v>Sedikit</v>
      </c>
      <c r="L225" s="5" t="str">
        <f>'[1]B.kriteria &amp; R.kecocokan'!$B$49</f>
        <v>Rendah</v>
      </c>
      <c r="M225" s="5" t="str">
        <f>'[1]B.kriteria &amp; R.kecocokan'!$B$57</f>
        <v>Rendah</v>
      </c>
      <c r="N225" s="6" t="str">
        <f>'[1]B.kriteria &amp; R.kecocokan'!$B$65</f>
        <v>Rendah</v>
      </c>
      <c r="O225" s="12" t="s">
        <v>18</v>
      </c>
    </row>
    <row r="226" spans="1:23" ht="15" hidden="1" thickTop="1" x14ac:dyDescent="0.35">
      <c r="A226" s="15">
        <v>9</v>
      </c>
      <c r="B226" s="8">
        <f>[1]Penghasilan!B281</f>
        <v>0</v>
      </c>
      <c r="C226" s="8" t="s">
        <v>33</v>
      </c>
      <c r="D226" s="9" t="s">
        <v>17</v>
      </c>
      <c r="E226" s="4" t="str">
        <f>'[1]B.kriteria &amp; R.kecocokan'!$B$24</f>
        <v>Cukup</v>
      </c>
      <c r="F226" s="10" t="str">
        <f>'[1]B.kriteria &amp; R.kecocokan'!$B$34</f>
        <v>Tinggi</v>
      </c>
      <c r="G226" s="10" t="str">
        <f>'[1]B.kriteria &amp; R.kecocokan'!$B$43</f>
        <v>Tinggi</v>
      </c>
      <c r="H226" s="5" t="str">
        <f>'[1]B.kriteria &amp; R.kecocokan'!$B$72</f>
        <v>Rendah</v>
      </c>
      <c r="I226" s="5" t="str">
        <f>'[1]B.kriteria &amp; R.kecocokan'!$B$95</f>
        <v>Rendah</v>
      </c>
      <c r="J226" s="5" t="str">
        <f>'[1]B.kriteria &amp; R.kecocokan'!$B$80</f>
        <v>Rendah</v>
      </c>
      <c r="K226" s="10" t="str">
        <f>'[1]B.kriteria &amp; R.kecocokan'!$B$88</f>
        <v>Sedang</v>
      </c>
      <c r="L226" s="5" t="str">
        <f>'[1]B.kriteria &amp; R.kecocokan'!$B$49</f>
        <v>Rendah</v>
      </c>
      <c r="M226" s="5" t="str">
        <f>'[1]B.kriteria &amp; R.kecocokan'!$B$57</f>
        <v>Rendah</v>
      </c>
      <c r="N226" s="6" t="str">
        <f>'[1]B.kriteria &amp; R.kecocokan'!$B$65</f>
        <v>Rendah</v>
      </c>
      <c r="O226" s="12" t="s">
        <v>18</v>
      </c>
    </row>
    <row r="227" spans="1:23" ht="15" hidden="1" thickTop="1" x14ac:dyDescent="0.35">
      <c r="A227" s="15">
        <v>10</v>
      </c>
      <c r="B227" s="7" t="s">
        <v>34</v>
      </c>
      <c r="C227" s="8" t="s">
        <v>35</v>
      </c>
      <c r="D227" s="11" t="s">
        <v>17</v>
      </c>
      <c r="E227" s="4" t="str">
        <f>'[1]B.kriteria &amp; R.kecocokan'!$B$24</f>
        <v>Cukup</v>
      </c>
      <c r="F227" s="10" t="str">
        <f>'[1]B.kriteria &amp; R.kecocokan'!$B$34</f>
        <v>Tinggi</v>
      </c>
      <c r="G227" s="5" t="str">
        <f>'[1]B.kriteria &amp; R.kecocokan'!$B$41</f>
        <v>Rendah</v>
      </c>
      <c r="H227" s="5" t="str">
        <f>'[1]B.kriteria &amp; R.kecocokan'!$B$72</f>
        <v>Rendah</v>
      </c>
      <c r="I227" s="5" t="str">
        <f>'[1]B.kriteria &amp; R.kecocokan'!$B$95</f>
        <v>Rendah</v>
      </c>
      <c r="J227" s="10" t="str">
        <f>'[1]B.kriteria &amp; R.kecocokan'!$B$81</f>
        <v>Tinggi</v>
      </c>
      <c r="K227" s="10" t="str">
        <f>'[1]B.kriteria &amp; R.kecocokan'!$B$90</f>
        <v>Sangat Sedikit</v>
      </c>
      <c r="L227" s="5" t="str">
        <f>'[1]B.kriteria &amp; R.kecocokan'!$B$49</f>
        <v>Rendah</v>
      </c>
      <c r="M227" s="5" t="str">
        <f>'[1]B.kriteria &amp; R.kecocokan'!$B$57</f>
        <v>Rendah</v>
      </c>
      <c r="N227" s="6" t="str">
        <f>'[1]B.kriteria &amp; R.kecocokan'!$B$65</f>
        <v>Rendah</v>
      </c>
      <c r="O227" s="12" t="s">
        <v>36</v>
      </c>
    </row>
    <row r="228" spans="1:23" ht="15" hidden="1" thickTop="1" x14ac:dyDescent="0.35">
      <c r="A228" s="16">
        <v>11</v>
      </c>
      <c r="B228" s="7" t="s">
        <v>37</v>
      </c>
      <c r="C228" s="8" t="s">
        <v>38</v>
      </c>
      <c r="D228" s="9" t="s">
        <v>17</v>
      </c>
      <c r="E228" s="10" t="str">
        <f>'[1]B.kriteria &amp; R.kecocokan'!$B$25</f>
        <v>Sedikit</v>
      </c>
      <c r="F228" s="10" t="str">
        <f>'[1]B.kriteria &amp; R.kecocokan'!$B$34</f>
        <v>Tinggi</v>
      </c>
      <c r="G228" s="5" t="str">
        <f>'[1]B.kriteria &amp; R.kecocokan'!$B$41</f>
        <v>Rendah</v>
      </c>
      <c r="H228" s="5" t="str">
        <f>'[1]B.kriteria &amp; R.kecocokan'!$B$72</f>
        <v>Rendah</v>
      </c>
      <c r="I228" s="5" t="str">
        <f>'[1]B.kriteria &amp; R.kecocokan'!$B$95</f>
        <v>Rendah</v>
      </c>
      <c r="J228" s="10" t="str">
        <f>'[1]B.kriteria &amp; R.kecocokan'!$B$81</f>
        <v>Tinggi</v>
      </c>
      <c r="K228" s="10" t="str">
        <f>'[1]B.kriteria &amp; R.kecocokan'!$B$90</f>
        <v>Sangat Sedikit</v>
      </c>
      <c r="L228" s="10" t="str">
        <f>'[1]B.kriteria &amp; R.kecocokan'!$B$50</f>
        <v>Sedang</v>
      </c>
      <c r="M228" s="10" t="str">
        <f>'[1]B.kriteria &amp; R.kecocokan'!$B$58</f>
        <v>Sedang</v>
      </c>
      <c r="N228" s="12" t="str">
        <f>'[1]B.kriteria &amp; R.kecocokan'!$B$66</f>
        <v>Sedang</v>
      </c>
      <c r="O228" s="12" t="s">
        <v>36</v>
      </c>
    </row>
    <row r="229" spans="1:23" ht="15" hidden="1" thickTop="1" x14ac:dyDescent="0.35">
      <c r="A229" s="15">
        <v>12</v>
      </c>
      <c r="B229" s="7" t="s">
        <v>39</v>
      </c>
      <c r="C229" s="8" t="s">
        <v>40</v>
      </c>
      <c r="D229" s="9" t="s">
        <v>17</v>
      </c>
      <c r="E229" s="4" t="str">
        <f>'[1]B.kriteria &amp; R.kecocokan'!$B$24</f>
        <v>Cukup</v>
      </c>
      <c r="F229" s="10" t="str">
        <f>'[1]B.kriteria &amp; R.kecocokan'!$B$34</f>
        <v>Tinggi</v>
      </c>
      <c r="G229" s="5" t="str">
        <f>'[1]B.kriteria &amp; R.kecocokan'!$B$41</f>
        <v>Rendah</v>
      </c>
      <c r="H229" s="5" t="str">
        <f>'[1]B.kriteria &amp; R.kecocokan'!$B$72</f>
        <v>Rendah</v>
      </c>
      <c r="I229" s="5" t="str">
        <f>'[1]B.kriteria &amp; R.kecocokan'!$B$95</f>
        <v>Rendah</v>
      </c>
      <c r="J229" s="10" t="str">
        <f>'[1]B.kriteria &amp; R.kecocokan'!$B$81</f>
        <v>Tinggi</v>
      </c>
      <c r="K229" s="10" t="str">
        <f>'[1]B.kriteria &amp; R.kecocokan'!$B$90</f>
        <v>Sangat Sedikit</v>
      </c>
      <c r="L229" s="5" t="str">
        <f>'[1]B.kriteria &amp; R.kecocokan'!$B$49</f>
        <v>Rendah</v>
      </c>
      <c r="M229" s="5" t="str">
        <f>'[1]B.kriteria &amp; R.kecocokan'!$B$57</f>
        <v>Rendah</v>
      </c>
      <c r="N229" s="6" t="str">
        <f>'[1]B.kriteria &amp; R.kecocokan'!$B$65</f>
        <v>Rendah</v>
      </c>
      <c r="O229" s="12" t="s">
        <v>18</v>
      </c>
    </row>
    <row r="230" spans="1:23" ht="15" hidden="1" thickTop="1" x14ac:dyDescent="0.35">
      <c r="A230" s="15">
        <v>13</v>
      </c>
      <c r="B230" s="7" t="s">
        <v>41</v>
      </c>
      <c r="C230" s="8" t="s">
        <v>42</v>
      </c>
      <c r="D230" s="9" t="s">
        <v>17</v>
      </c>
      <c r="E230" s="4" t="str">
        <f>'[1]B.kriteria &amp; R.kecocokan'!$B$24</f>
        <v>Cukup</v>
      </c>
      <c r="F230" s="10" t="str">
        <f>'[1]B.kriteria &amp; R.kecocokan'!$B$34</f>
        <v>Tinggi</v>
      </c>
      <c r="G230" s="10" t="str">
        <f>'[1]B.kriteria &amp; R.kecocokan'!$B$43</f>
        <v>Tinggi</v>
      </c>
      <c r="H230" s="5" t="str">
        <f>'[1]B.kriteria &amp; R.kecocokan'!$B$72</f>
        <v>Rendah</v>
      </c>
      <c r="I230" s="5" t="str">
        <f>'[1]B.kriteria &amp; R.kecocokan'!$B$95</f>
        <v>Rendah</v>
      </c>
      <c r="J230" s="5" t="str">
        <f>'[1]B.kriteria &amp; R.kecocokan'!$B$80</f>
        <v>Rendah</v>
      </c>
      <c r="K230" s="10" t="str">
        <f>'[1]B.kriteria &amp; R.kecocokan'!$B$88</f>
        <v>Sedang</v>
      </c>
      <c r="L230" s="5" t="str">
        <f>'[1]B.kriteria &amp; R.kecocokan'!$B$49</f>
        <v>Rendah</v>
      </c>
      <c r="M230" s="5" t="str">
        <f>'[1]B.kriteria &amp; R.kecocokan'!$B$57</f>
        <v>Rendah</v>
      </c>
      <c r="N230" s="6" t="str">
        <f>'[1]B.kriteria &amp; R.kecocokan'!$B$65</f>
        <v>Rendah</v>
      </c>
      <c r="O230" s="12" t="s">
        <v>18</v>
      </c>
    </row>
    <row r="231" spans="1:23" ht="29" customHeight="1" thickTop="1" x14ac:dyDescent="0.35">
      <c r="A231" s="16">
        <v>14</v>
      </c>
      <c r="B231" s="7" t="s">
        <v>43</v>
      </c>
      <c r="C231" s="8" t="s">
        <v>44</v>
      </c>
      <c r="D231" s="9" t="s">
        <v>17</v>
      </c>
      <c r="E231" s="4" t="str">
        <f>'[1]B.kriteria &amp; R.kecocokan'!$B$24</f>
        <v>Cukup</v>
      </c>
      <c r="F231" s="10" t="str">
        <f>'[1]B.kriteria &amp; R.kecocokan'!$B$35</f>
        <v>Sangat Tinggi</v>
      </c>
      <c r="G231" s="5" t="str">
        <f>'[1]B.kriteria &amp; R.kecocokan'!$B$41</f>
        <v>Rendah</v>
      </c>
      <c r="H231" s="5" t="str">
        <f>'[1]B.kriteria &amp; R.kecocokan'!$B$72</f>
        <v>Rendah</v>
      </c>
      <c r="I231" s="5" t="str">
        <f>'[1]B.kriteria &amp; R.kecocokan'!$B$95</f>
        <v>Rendah</v>
      </c>
      <c r="J231" s="5" t="str">
        <f>'[1]B.kriteria &amp; R.kecocokan'!$B$80</f>
        <v>Rendah</v>
      </c>
      <c r="K231" s="5" t="str">
        <f>'[1]B.kriteria &amp; R.kecocokan'!$B$89</f>
        <v>Sedikit</v>
      </c>
      <c r="L231" s="5" t="str">
        <f>'[1]B.kriteria &amp; R.kecocokan'!$B$49</f>
        <v>Rendah</v>
      </c>
      <c r="M231" s="10" t="str">
        <f>'[1]B.kriteria &amp; R.kecocokan'!$B$58</f>
        <v>Sedang</v>
      </c>
      <c r="N231" s="6" t="str">
        <f>'[1]B.kriteria &amp; R.kecocokan'!$B$65</f>
        <v>Rendah</v>
      </c>
      <c r="O231" s="12" t="s">
        <v>18</v>
      </c>
      <c r="Q231" s="46" t="s">
        <v>187</v>
      </c>
      <c r="R231" s="46"/>
      <c r="S231">
        <f>S205</f>
        <v>5</v>
      </c>
      <c r="T231">
        <f>T205</f>
        <v>2</v>
      </c>
      <c r="U231">
        <f>U205</f>
        <v>3</v>
      </c>
      <c r="V231">
        <f t="shared" ref="V231" si="30">((-T231/S231)*IMLOG2(T231/S231))+((-U231/S231)*IMLOG2(U231/S231))</f>
        <v>0.97095059445466747</v>
      </c>
    </row>
    <row r="232" spans="1:23" hidden="1" x14ac:dyDescent="0.35">
      <c r="A232" s="15">
        <v>15</v>
      </c>
      <c r="B232" s="7" t="s">
        <v>45</v>
      </c>
      <c r="C232" s="8" t="s">
        <v>46</v>
      </c>
      <c r="D232" s="9" t="s">
        <v>17</v>
      </c>
      <c r="E232" s="10" t="str">
        <f>'[1]B.kriteria &amp; R.kecocokan'!$B$23</f>
        <v>Banyak</v>
      </c>
      <c r="F232" s="10" t="str">
        <f>'[1]B.kriteria &amp; R.kecocokan'!$B$35</f>
        <v>Sangat Tinggi</v>
      </c>
      <c r="G232" s="5" t="str">
        <f>'[1]B.kriteria &amp; R.kecocokan'!$B$41</f>
        <v>Rendah</v>
      </c>
      <c r="H232" s="5" t="str">
        <f>'[1]B.kriteria &amp; R.kecocokan'!$B$72</f>
        <v>Rendah</v>
      </c>
      <c r="I232" s="5" t="str">
        <f>'[1]B.kriteria &amp; R.kecocokan'!$B$95</f>
        <v>Rendah</v>
      </c>
      <c r="J232" s="5" t="str">
        <f>'[1]B.kriteria &amp; R.kecocokan'!$B$80</f>
        <v>Rendah</v>
      </c>
      <c r="K232" s="10" t="str">
        <f>'[1]B.kriteria &amp; R.kecocokan'!$B$88</f>
        <v>Sedang</v>
      </c>
      <c r="L232" s="5" t="str">
        <f>'[1]B.kriteria &amp; R.kecocokan'!$B$49</f>
        <v>Rendah</v>
      </c>
      <c r="M232" s="5" t="str">
        <f>'[1]B.kriteria &amp; R.kecocokan'!$B$57</f>
        <v>Rendah</v>
      </c>
      <c r="N232" s="6" t="str">
        <f>'[1]B.kriteria &amp; R.kecocokan'!$B$65</f>
        <v>Rendah</v>
      </c>
      <c r="O232" s="12" t="s">
        <v>18</v>
      </c>
    </row>
    <row r="233" spans="1:23" ht="15.5" hidden="1" x14ac:dyDescent="0.35">
      <c r="A233" s="15">
        <v>16</v>
      </c>
      <c r="B233" s="7" t="s">
        <v>47</v>
      </c>
      <c r="C233" s="8" t="s">
        <v>48</v>
      </c>
      <c r="D233" s="9" t="s">
        <v>17</v>
      </c>
      <c r="E233" s="4" t="str">
        <f>'[1]B.kriteria &amp; R.kecocokan'!$B$24</f>
        <v>Cukup</v>
      </c>
      <c r="F233" s="10" t="str">
        <f>'[1]B.kriteria &amp; R.kecocokan'!$B$34</f>
        <v>Tinggi</v>
      </c>
      <c r="G233" s="5" t="str">
        <f>'[1]B.kriteria &amp; R.kecocokan'!$B$41</f>
        <v>Rendah</v>
      </c>
      <c r="H233" s="5" t="str">
        <f>'[1]B.kriteria &amp; R.kecocokan'!$B$72</f>
        <v>Rendah</v>
      </c>
      <c r="I233" s="5" t="str">
        <f>'[1]B.kriteria &amp; R.kecocokan'!$B$95</f>
        <v>Rendah</v>
      </c>
      <c r="J233" s="10" t="str">
        <f>'[1]B.kriteria &amp; R.kecocokan'!$B$81</f>
        <v>Tinggi</v>
      </c>
      <c r="K233" s="10" t="str">
        <f>'[1]B.kriteria &amp; R.kecocokan'!$B$90</f>
        <v>Sangat Sedikit</v>
      </c>
      <c r="L233" s="5" t="str">
        <f>'[1]B.kriteria &amp; R.kecocokan'!$B$49</f>
        <v>Rendah</v>
      </c>
      <c r="M233" s="5" t="str">
        <f>'[1]B.kriteria &amp; R.kecocokan'!$B$57</f>
        <v>Rendah</v>
      </c>
      <c r="N233" s="6" t="str">
        <f>'[1]B.kriteria &amp; R.kecocokan'!$B$65</f>
        <v>Rendah</v>
      </c>
      <c r="O233" s="12" t="s">
        <v>18</v>
      </c>
    </row>
    <row r="234" spans="1:23" hidden="1" x14ac:dyDescent="0.35">
      <c r="A234" s="16">
        <v>17</v>
      </c>
      <c r="B234" s="7" t="s">
        <v>49</v>
      </c>
      <c r="C234" s="8" t="s">
        <v>50</v>
      </c>
      <c r="D234" s="9" t="s">
        <v>17</v>
      </c>
      <c r="E234" s="4" t="str">
        <f>'[1]B.kriteria &amp; R.kecocokan'!$B$24</f>
        <v>Cukup</v>
      </c>
      <c r="F234" s="10" t="str">
        <f>'[1]B.kriteria &amp; R.kecocokan'!$B$35</f>
        <v>Sangat Tinggi</v>
      </c>
      <c r="G234" s="5" t="str">
        <f>'[1]B.kriteria &amp; R.kecocokan'!$B$41</f>
        <v>Rendah</v>
      </c>
      <c r="H234" s="5" t="str">
        <f>'[1]B.kriteria &amp; R.kecocokan'!$B$72</f>
        <v>Rendah</v>
      </c>
      <c r="I234" s="5" t="str">
        <f>'[1]B.kriteria &amp; R.kecocokan'!$B$95</f>
        <v>Rendah</v>
      </c>
      <c r="J234" s="5" t="str">
        <f>'[1]B.kriteria &amp; R.kecocokan'!$B$80</f>
        <v>Rendah</v>
      </c>
      <c r="K234" s="10" t="str">
        <f>'[1]B.kriteria &amp; R.kecocokan'!$B$88</f>
        <v>Sedang</v>
      </c>
      <c r="L234" s="10" t="str">
        <f>'[1]B.kriteria &amp; R.kecocokan'!$B$51</f>
        <v>Tinggi</v>
      </c>
      <c r="M234" s="10" t="str">
        <f>'[1]B.kriteria &amp; R.kecocokan'!$B$58</f>
        <v>Sedang</v>
      </c>
      <c r="N234" s="6" t="str">
        <f>'[1]B.kriteria &amp; R.kecocokan'!$B$65</f>
        <v>Rendah</v>
      </c>
      <c r="O234" s="12" t="s">
        <v>36</v>
      </c>
    </row>
    <row r="235" spans="1:23" hidden="1" x14ac:dyDescent="0.35">
      <c r="A235" s="15">
        <v>18</v>
      </c>
      <c r="B235" s="7" t="s">
        <v>51</v>
      </c>
      <c r="C235" s="8" t="s">
        <v>52</v>
      </c>
      <c r="D235" s="9" t="s">
        <v>17</v>
      </c>
      <c r="E235" s="4" t="str">
        <f>'[1]B.kriteria &amp; R.kecocokan'!$B$24</f>
        <v>Cukup</v>
      </c>
      <c r="F235" s="10" t="str">
        <f>'[1]B.kriteria &amp; R.kecocokan'!$B$35</f>
        <v>Sangat Tinggi</v>
      </c>
      <c r="G235" s="5" t="str">
        <f>'[1]B.kriteria &amp; R.kecocokan'!$B$41</f>
        <v>Rendah</v>
      </c>
      <c r="H235" s="5" t="str">
        <f>'[1]B.kriteria &amp; R.kecocokan'!$B$72</f>
        <v>Rendah</v>
      </c>
      <c r="I235" s="5" t="str">
        <f>'[1]B.kriteria &amp; R.kecocokan'!$B$95</f>
        <v>Rendah</v>
      </c>
      <c r="J235" s="5" t="str">
        <f>'[1]B.kriteria &amp; R.kecocokan'!$B$80</f>
        <v>Rendah</v>
      </c>
      <c r="K235" s="10" t="str">
        <f>'[1]B.kriteria &amp; R.kecocokan'!$B$88</f>
        <v>Sedang</v>
      </c>
      <c r="L235" s="10" t="str">
        <f>'[1]B.kriteria &amp; R.kecocokan'!$B$50</f>
        <v>Sedang</v>
      </c>
      <c r="M235" s="10" t="str">
        <f>'[1]B.kriteria &amp; R.kecocokan'!$B$58</f>
        <v>Sedang</v>
      </c>
      <c r="N235" s="6" t="str">
        <f>'[1]B.kriteria &amp; R.kecocokan'!$B$65</f>
        <v>Rendah</v>
      </c>
      <c r="O235" s="12" t="s">
        <v>36</v>
      </c>
    </row>
    <row r="236" spans="1:23" hidden="1" x14ac:dyDescent="0.35">
      <c r="A236" s="15">
        <v>19</v>
      </c>
      <c r="B236" s="7" t="s">
        <v>53</v>
      </c>
      <c r="C236" s="8" t="s">
        <v>54</v>
      </c>
      <c r="D236" s="9" t="s">
        <v>17</v>
      </c>
      <c r="E236" s="10" t="str">
        <f>'[1]B.kriteria &amp; R.kecocokan'!$B$25</f>
        <v>Sedikit</v>
      </c>
      <c r="F236" s="10" t="str">
        <f>'[1]B.kriteria &amp; R.kecocokan'!$B$34</f>
        <v>Tinggi</v>
      </c>
      <c r="G236" s="5" t="str">
        <f>'[1]B.kriteria &amp; R.kecocokan'!$B$41</f>
        <v>Rendah</v>
      </c>
      <c r="H236" s="5" t="str">
        <f>'[1]B.kriteria &amp; R.kecocokan'!$B$72</f>
        <v>Rendah</v>
      </c>
      <c r="I236" s="5" t="str">
        <f>'[1]B.kriteria &amp; R.kecocokan'!$B$95</f>
        <v>Rendah</v>
      </c>
      <c r="J236" s="10" t="str">
        <f>'[1]B.kriteria &amp; R.kecocokan'!$B$81</f>
        <v>Tinggi</v>
      </c>
      <c r="K236" s="10" t="str">
        <f>'[1]B.kriteria &amp; R.kecocokan'!$B$90</f>
        <v>Sangat Sedikit</v>
      </c>
      <c r="L236" s="5" t="str">
        <f>'[1]B.kriteria &amp; R.kecocokan'!$B$49</f>
        <v>Rendah</v>
      </c>
      <c r="M236" s="10" t="str">
        <f>'[1]B.kriteria &amp; R.kecocokan'!$B$58</f>
        <v>Sedang</v>
      </c>
      <c r="N236" s="6" t="str">
        <f>'[1]B.kriteria &amp; R.kecocokan'!$B$65</f>
        <v>Rendah</v>
      </c>
      <c r="O236" s="12" t="s">
        <v>36</v>
      </c>
    </row>
    <row r="237" spans="1:23" x14ac:dyDescent="0.35">
      <c r="A237" s="16">
        <v>20</v>
      </c>
      <c r="B237" s="7" t="s">
        <v>55</v>
      </c>
      <c r="C237" s="8" t="s">
        <v>56</v>
      </c>
      <c r="D237" s="9" t="s">
        <v>17</v>
      </c>
      <c r="E237" s="4" t="str">
        <f>'[1]B.kriteria &amp; R.kecocokan'!$B$24</f>
        <v>Cukup</v>
      </c>
      <c r="F237" s="10" t="str">
        <f>'[1]B.kriteria &amp; R.kecocokan'!$B$34</f>
        <v>Tinggi</v>
      </c>
      <c r="G237" s="5" t="str">
        <f>'[1]B.kriteria &amp; R.kecocokan'!$B$41</f>
        <v>Rendah</v>
      </c>
      <c r="H237" s="5" t="str">
        <f>'[1]B.kriteria &amp; R.kecocokan'!$B$72</f>
        <v>Rendah</v>
      </c>
      <c r="I237" s="5" t="str">
        <f>'[1]B.kriteria &amp; R.kecocokan'!$B$95</f>
        <v>Rendah</v>
      </c>
      <c r="J237" s="5" t="str">
        <f>'[1]B.kriteria &amp; R.kecocokan'!$B$80</f>
        <v>Rendah</v>
      </c>
      <c r="K237" s="5" t="str">
        <f>'[1]B.kriteria &amp; R.kecocokan'!$B$89</f>
        <v>Sedikit</v>
      </c>
      <c r="L237" s="5" t="str">
        <f>'[1]B.kriteria &amp; R.kecocokan'!$B$49</f>
        <v>Rendah</v>
      </c>
      <c r="M237" s="10" t="str">
        <f>'[1]B.kriteria &amp; R.kecocokan'!$B$58</f>
        <v>Sedang</v>
      </c>
      <c r="N237" s="6" t="str">
        <f>'[1]B.kriteria &amp; R.kecocokan'!$B$65</f>
        <v>Rendah</v>
      </c>
      <c r="O237" s="12" t="s">
        <v>18</v>
      </c>
      <c r="Q237" t="s">
        <v>4</v>
      </c>
      <c r="W237" s="41">
        <f>$V$231-((S245/$S$231*V245)+(S248/$S$231*V248)+(S300/$S$231*V300))</f>
        <v>0</v>
      </c>
    </row>
    <row r="238" spans="1:23" hidden="1" x14ac:dyDescent="0.35">
      <c r="A238" s="15">
        <v>21</v>
      </c>
      <c r="B238" s="7" t="s">
        <v>57</v>
      </c>
      <c r="C238" s="8" t="s">
        <v>58</v>
      </c>
      <c r="D238" s="9" t="s">
        <v>17</v>
      </c>
      <c r="E238" s="10" t="str">
        <f>'[1]B.kriteria &amp; R.kecocokan'!$B$25</f>
        <v>Sedikit</v>
      </c>
      <c r="F238" s="10" t="str">
        <f>'[1]B.kriteria &amp; R.kecocokan'!$B$35</f>
        <v>Sangat Tinggi</v>
      </c>
      <c r="G238" s="5" t="str">
        <f>'[1]B.kriteria &amp; R.kecocokan'!$B$41</f>
        <v>Rendah</v>
      </c>
      <c r="H238" s="5" t="str">
        <f>'[1]B.kriteria &amp; R.kecocokan'!$B$72</f>
        <v>Rendah</v>
      </c>
      <c r="I238" s="5" t="str">
        <f>'[1]B.kriteria &amp; R.kecocokan'!$B$95</f>
        <v>Rendah</v>
      </c>
      <c r="J238" s="10" t="str">
        <f>'[1]B.kriteria &amp; R.kecocokan'!$B$81</f>
        <v>Tinggi</v>
      </c>
      <c r="K238" s="10" t="str">
        <f>'[1]B.kriteria &amp; R.kecocokan'!$B$90</f>
        <v>Sangat Sedikit</v>
      </c>
      <c r="L238" s="5" t="str">
        <f>'[1]B.kriteria &amp; R.kecocokan'!$B$49</f>
        <v>Rendah</v>
      </c>
      <c r="M238" s="10" t="str">
        <f>'[1]B.kriteria &amp; R.kecocokan'!$B$58</f>
        <v>Sedang</v>
      </c>
      <c r="N238" s="6" t="str">
        <f>'[1]B.kriteria &amp; R.kecocokan'!$B$65</f>
        <v>Rendah</v>
      </c>
      <c r="O238" s="12" t="s">
        <v>36</v>
      </c>
    </row>
    <row r="239" spans="1:23" hidden="1" x14ac:dyDescent="0.35">
      <c r="A239" s="15">
        <v>22</v>
      </c>
      <c r="B239" s="7" t="s">
        <v>59</v>
      </c>
      <c r="C239" s="8" t="s">
        <v>60</v>
      </c>
      <c r="D239" s="9" t="s">
        <v>17</v>
      </c>
      <c r="E239" s="10" t="str">
        <f>'[1]B.kriteria &amp; R.kecocokan'!$B$23</f>
        <v>Banyak</v>
      </c>
      <c r="F239" s="10" t="str">
        <f>'[1]B.kriteria &amp; R.kecocokan'!$B$34</f>
        <v>Tinggi</v>
      </c>
      <c r="G239" s="5" t="str">
        <f>'[1]B.kriteria &amp; R.kecocokan'!$B$41</f>
        <v>Rendah</v>
      </c>
      <c r="H239" s="5" t="str">
        <f>'[1]B.kriteria &amp; R.kecocokan'!$B$72</f>
        <v>Rendah</v>
      </c>
      <c r="I239" s="5" t="str">
        <f>'[1]B.kriteria &amp; R.kecocokan'!$B$95</f>
        <v>Rendah</v>
      </c>
      <c r="J239" s="5" t="str">
        <f>'[1]B.kriteria &amp; R.kecocokan'!$B$80</f>
        <v>Rendah</v>
      </c>
      <c r="K239" s="10" t="str">
        <f>'[1]B.kriteria &amp; R.kecocokan'!$B$88</f>
        <v>Sedang</v>
      </c>
      <c r="L239" s="5" t="str">
        <f>'[1]B.kriteria &amp; R.kecocokan'!$B$49</f>
        <v>Rendah</v>
      </c>
      <c r="M239" s="5" t="str">
        <f>'[1]B.kriteria &amp; R.kecocokan'!$B$57</f>
        <v>Rendah</v>
      </c>
      <c r="N239" s="6" t="str">
        <f>'[1]B.kriteria &amp; R.kecocokan'!$B$65</f>
        <v>Rendah</v>
      </c>
      <c r="O239" s="12" t="s">
        <v>18</v>
      </c>
    </row>
    <row r="240" spans="1:23" hidden="1" x14ac:dyDescent="0.35">
      <c r="A240" s="16">
        <v>23</v>
      </c>
      <c r="B240" s="7" t="s">
        <v>61</v>
      </c>
      <c r="C240" s="8" t="s">
        <v>62</v>
      </c>
      <c r="D240" s="9" t="s">
        <v>17</v>
      </c>
      <c r="E240" s="4" t="str">
        <f>'[1]B.kriteria &amp; R.kecocokan'!$B$24</f>
        <v>Cukup</v>
      </c>
      <c r="F240" s="10" t="str">
        <f>'[1]B.kriteria &amp; R.kecocokan'!$B$34</f>
        <v>Tinggi</v>
      </c>
      <c r="G240" s="5" t="str">
        <f>'[1]B.kriteria &amp; R.kecocokan'!$B$41</f>
        <v>Rendah</v>
      </c>
      <c r="H240" s="5" t="str">
        <f>'[1]B.kriteria &amp; R.kecocokan'!$B$72</f>
        <v>Rendah</v>
      </c>
      <c r="I240" s="5" t="str">
        <f>'[1]B.kriteria &amp; R.kecocokan'!$B$95</f>
        <v>Rendah</v>
      </c>
      <c r="J240" s="5" t="str">
        <f>'[1]B.kriteria &amp; R.kecocokan'!$B$80</f>
        <v>Rendah</v>
      </c>
      <c r="K240" s="10" t="str">
        <f>'[1]B.kriteria &amp; R.kecocokan'!$B$88</f>
        <v>Sedang</v>
      </c>
      <c r="L240" s="5" t="str">
        <f>'[1]B.kriteria &amp; R.kecocokan'!$B$49</f>
        <v>Rendah</v>
      </c>
      <c r="M240" s="5" t="str">
        <f>'[1]B.kriteria &amp; R.kecocokan'!$B$57</f>
        <v>Rendah</v>
      </c>
      <c r="N240" s="6" t="str">
        <f>'[1]B.kriteria &amp; R.kecocokan'!$B$65</f>
        <v>Rendah</v>
      </c>
      <c r="O240" s="12" t="s">
        <v>18</v>
      </c>
    </row>
    <row r="241" spans="1:22" hidden="1" x14ac:dyDescent="0.35">
      <c r="A241" s="15">
        <v>24</v>
      </c>
      <c r="B241" s="7" t="s">
        <v>63</v>
      </c>
      <c r="C241" s="8" t="s">
        <v>64</v>
      </c>
      <c r="D241" s="9" t="s">
        <v>17</v>
      </c>
      <c r="E241" s="4" t="str">
        <f>'[1]B.kriteria &amp; R.kecocokan'!$B$24</f>
        <v>Cukup</v>
      </c>
      <c r="F241" s="10" t="str">
        <f>'[1]B.kriteria &amp; R.kecocokan'!$B$35</f>
        <v>Sangat Tinggi</v>
      </c>
      <c r="G241" s="5" t="str">
        <f>'[1]B.kriteria &amp; R.kecocokan'!$B$41</f>
        <v>Rendah</v>
      </c>
      <c r="H241" s="5" t="str">
        <f>'[1]B.kriteria &amp; R.kecocokan'!$B$72</f>
        <v>Rendah</v>
      </c>
      <c r="I241" s="5" t="str">
        <f>'[1]B.kriteria &amp; R.kecocokan'!$B$95</f>
        <v>Rendah</v>
      </c>
      <c r="J241" s="5" t="str">
        <f>'[1]B.kriteria &amp; R.kecocokan'!$B$80</f>
        <v>Rendah</v>
      </c>
      <c r="K241" s="10" t="str">
        <f>'[1]B.kriteria &amp; R.kecocokan'!$B$88</f>
        <v>Sedang</v>
      </c>
      <c r="L241" s="5" t="str">
        <f>'[1]B.kriteria &amp; R.kecocokan'!$B$49</f>
        <v>Rendah</v>
      </c>
      <c r="M241" s="5" t="str">
        <f>'[1]B.kriteria &amp; R.kecocokan'!$B$57</f>
        <v>Rendah</v>
      </c>
      <c r="N241" s="6" t="str">
        <f>'[1]B.kriteria &amp; R.kecocokan'!$B$65</f>
        <v>Rendah</v>
      </c>
      <c r="O241" s="12" t="s">
        <v>18</v>
      </c>
    </row>
    <row r="242" spans="1:22" hidden="1" x14ac:dyDescent="0.35">
      <c r="A242" s="15">
        <v>25</v>
      </c>
      <c r="B242" s="7" t="s">
        <v>65</v>
      </c>
      <c r="C242" s="8" t="s">
        <v>66</v>
      </c>
      <c r="D242" s="9" t="s">
        <v>17</v>
      </c>
      <c r="E242" s="10" t="str">
        <f>'[1]B.kriteria &amp; R.kecocokan'!$B$25</f>
        <v>Sedikit</v>
      </c>
      <c r="F242" s="10" t="str">
        <f>'[1]B.kriteria &amp; R.kecocokan'!$B$35</f>
        <v>Sangat Tinggi</v>
      </c>
      <c r="G242" s="5" t="str">
        <f>'[1]B.kriteria &amp; R.kecocokan'!$B$41</f>
        <v>Rendah</v>
      </c>
      <c r="H242" s="5" t="str">
        <f>'[1]B.kriteria &amp; R.kecocokan'!$B$72</f>
        <v>Rendah</v>
      </c>
      <c r="I242" s="5" t="str">
        <f>'[1]B.kriteria &amp; R.kecocokan'!$B$95</f>
        <v>Rendah</v>
      </c>
      <c r="J242" s="10" t="str">
        <f>'[1]B.kriteria &amp; R.kecocokan'!$B$81</f>
        <v>Tinggi</v>
      </c>
      <c r="K242" s="10" t="str">
        <f>'[1]B.kriteria &amp; R.kecocokan'!$B$90</f>
        <v>Sangat Sedikit</v>
      </c>
      <c r="L242" s="5" t="str">
        <f>'[1]B.kriteria &amp; R.kecocokan'!$B$49</f>
        <v>Rendah</v>
      </c>
      <c r="M242" s="10" t="str">
        <f>'[1]B.kriteria &amp; R.kecocokan'!$B$58</f>
        <v>Sedang</v>
      </c>
      <c r="N242" s="6" t="str">
        <f>'[1]B.kriteria &amp; R.kecocokan'!$B$65</f>
        <v>Rendah</v>
      </c>
      <c r="O242" s="12" t="s">
        <v>36</v>
      </c>
    </row>
    <row r="243" spans="1:22" hidden="1" x14ac:dyDescent="0.35">
      <c r="A243" s="16">
        <v>26</v>
      </c>
      <c r="B243" s="7" t="s">
        <v>67</v>
      </c>
      <c r="C243" s="8" t="s">
        <v>68</v>
      </c>
      <c r="D243" s="9" t="s">
        <v>17</v>
      </c>
      <c r="E243" s="10" t="str">
        <f>'[1]B.kriteria &amp; R.kecocokan'!$B$25</f>
        <v>Sedikit</v>
      </c>
      <c r="F243" s="10" t="str">
        <f>'[1]B.kriteria &amp; R.kecocokan'!$B$34</f>
        <v>Tinggi</v>
      </c>
      <c r="G243" s="5" t="str">
        <f>'[1]B.kriteria &amp; R.kecocokan'!$B$41</f>
        <v>Rendah</v>
      </c>
      <c r="H243" s="5" t="str">
        <f>'[1]B.kriteria &amp; R.kecocokan'!$B$72</f>
        <v>Rendah</v>
      </c>
      <c r="I243" s="5" t="str">
        <f>'[1]B.kriteria &amp; R.kecocokan'!$B$95</f>
        <v>Rendah</v>
      </c>
      <c r="J243" s="10" t="str">
        <f>'[1]B.kriteria &amp; R.kecocokan'!$B$81</f>
        <v>Tinggi</v>
      </c>
      <c r="K243" s="10" t="str">
        <f>'[1]B.kriteria &amp; R.kecocokan'!$B$90</f>
        <v>Sangat Sedikit</v>
      </c>
      <c r="L243" s="5" t="str">
        <f>'[1]B.kriteria &amp; R.kecocokan'!$B$49</f>
        <v>Rendah</v>
      </c>
      <c r="M243" s="5" t="str">
        <f>'[1]B.kriteria &amp; R.kecocokan'!$B$57</f>
        <v>Rendah</v>
      </c>
      <c r="N243" s="6" t="str">
        <f>'[1]B.kriteria &amp; R.kecocokan'!$B$65</f>
        <v>Rendah</v>
      </c>
      <c r="O243" s="12" t="s">
        <v>18</v>
      </c>
    </row>
    <row r="244" spans="1:22" hidden="1" x14ac:dyDescent="0.35">
      <c r="A244" s="15">
        <v>27</v>
      </c>
      <c r="B244" s="7" t="s">
        <v>69</v>
      </c>
      <c r="C244" s="8" t="s">
        <v>70</v>
      </c>
      <c r="D244" s="9" t="s">
        <v>17</v>
      </c>
      <c r="E244" s="4" t="str">
        <f>'[1]B.kriteria &amp; R.kecocokan'!$B$24</f>
        <v>Cukup</v>
      </c>
      <c r="F244" s="10" t="str">
        <f>'[1]B.kriteria &amp; R.kecocokan'!$B$34</f>
        <v>Tinggi</v>
      </c>
      <c r="G244" s="10" t="str">
        <f>'[1]B.kriteria &amp; R.kecocokan'!$B$43</f>
        <v>Tinggi</v>
      </c>
      <c r="H244" s="5" t="str">
        <f>'[1]B.kriteria &amp; R.kecocokan'!$B$72</f>
        <v>Rendah</v>
      </c>
      <c r="I244" s="5" t="str">
        <f>'[1]B.kriteria &amp; R.kecocokan'!$B$95</f>
        <v>Rendah</v>
      </c>
      <c r="J244" s="5" t="str">
        <f>'[1]B.kriteria &amp; R.kecocokan'!$B$80</f>
        <v>Rendah</v>
      </c>
      <c r="K244" s="10" t="str">
        <f>'[1]B.kriteria &amp; R.kecocokan'!$B$88</f>
        <v>Sedang</v>
      </c>
      <c r="L244" s="5" t="str">
        <f>'[1]B.kriteria &amp; R.kecocokan'!$B$49</f>
        <v>Rendah</v>
      </c>
      <c r="M244" s="5" t="str">
        <f>'[1]B.kriteria &amp; R.kecocokan'!$B$57</f>
        <v>Rendah</v>
      </c>
      <c r="N244" s="6" t="str">
        <f>'[1]B.kriteria &amp; R.kecocokan'!$B$65</f>
        <v>Rendah</v>
      </c>
      <c r="O244" s="12" t="s">
        <v>18</v>
      </c>
    </row>
    <row r="245" spans="1:22" x14ac:dyDescent="0.35">
      <c r="A245" s="15">
        <v>28</v>
      </c>
      <c r="B245" s="7" t="s">
        <v>71</v>
      </c>
      <c r="C245" s="8" t="s">
        <v>72</v>
      </c>
      <c r="D245" s="9" t="s">
        <v>17</v>
      </c>
      <c r="E245" s="4" t="str">
        <f>'[1]B.kriteria &amp; R.kecocokan'!$B$24</f>
        <v>Cukup</v>
      </c>
      <c r="F245" s="10" t="str">
        <f>'[1]B.kriteria &amp; R.kecocokan'!$B$34</f>
        <v>Tinggi</v>
      </c>
      <c r="G245" s="5" t="str">
        <f>'[1]B.kriteria &amp; R.kecocokan'!$B$41</f>
        <v>Rendah</v>
      </c>
      <c r="H245" s="5" t="str">
        <f>'[1]B.kriteria &amp; R.kecocokan'!$B$72</f>
        <v>Rendah</v>
      </c>
      <c r="I245" s="5" t="str">
        <f>'[1]B.kriteria &amp; R.kecocokan'!$B$95</f>
        <v>Rendah</v>
      </c>
      <c r="J245" s="5" t="str">
        <f>'[1]B.kriteria &amp; R.kecocokan'!$B$80</f>
        <v>Rendah</v>
      </c>
      <c r="K245" s="5" t="str">
        <f>'[1]B.kriteria &amp; R.kecocokan'!$B$89</f>
        <v>Sedikit</v>
      </c>
      <c r="L245" s="5" t="str">
        <f>'[1]B.kriteria &amp; R.kecocokan'!$B$49</f>
        <v>Rendah</v>
      </c>
      <c r="M245" s="10" t="str">
        <f>'[1]B.kriteria &amp; R.kecocokan'!$B$58</f>
        <v>Sedang</v>
      </c>
      <c r="N245" s="6" t="str">
        <f>'[1]B.kriteria &amp; R.kecocokan'!$B$65</f>
        <v>Rendah</v>
      </c>
      <c r="O245" s="12" t="s">
        <v>18</v>
      </c>
      <c r="R245" t="s">
        <v>178</v>
      </c>
      <c r="S245">
        <v>0</v>
      </c>
      <c r="T245">
        <v>0</v>
      </c>
      <c r="U245">
        <v>0</v>
      </c>
      <c r="V245">
        <v>0</v>
      </c>
    </row>
    <row r="246" spans="1:22" hidden="1" x14ac:dyDescent="0.35">
      <c r="A246" s="16">
        <v>29</v>
      </c>
      <c r="B246" s="7" t="s">
        <v>73</v>
      </c>
      <c r="C246" s="8" t="s">
        <v>74</v>
      </c>
      <c r="D246" s="9" t="s">
        <v>17</v>
      </c>
      <c r="E246" s="10" t="str">
        <f>'[1]B.kriteria &amp; R.kecocokan'!$B$23</f>
        <v>Banyak</v>
      </c>
      <c r="F246" s="10" t="str">
        <f>'[1]B.kriteria &amp; R.kecocokan'!$B$35</f>
        <v>Sangat Tinggi</v>
      </c>
      <c r="G246" s="5" t="str">
        <f>'[1]B.kriteria &amp; R.kecocokan'!$B$41</f>
        <v>Rendah</v>
      </c>
      <c r="H246" s="5" t="str">
        <f>'[1]B.kriteria &amp; R.kecocokan'!$B$72</f>
        <v>Rendah</v>
      </c>
      <c r="I246" s="5" t="str">
        <f>'[1]B.kriteria &amp; R.kecocokan'!$B$95</f>
        <v>Rendah</v>
      </c>
      <c r="J246" s="5" t="str">
        <f>'[1]B.kriteria &amp; R.kecocokan'!$B$80</f>
        <v>Rendah</v>
      </c>
      <c r="K246" s="10" t="str">
        <f>'[1]B.kriteria &amp; R.kecocokan'!$B$90</f>
        <v>Sangat Sedikit</v>
      </c>
      <c r="L246" s="5" t="str">
        <f>'[1]B.kriteria &amp; R.kecocokan'!$B$49</f>
        <v>Rendah</v>
      </c>
      <c r="M246" s="5" t="str">
        <f>'[1]B.kriteria &amp; R.kecocokan'!$B$57</f>
        <v>Rendah</v>
      </c>
      <c r="N246" s="6" t="str">
        <f>'[1]B.kriteria &amp; R.kecocokan'!$B$65</f>
        <v>Rendah</v>
      </c>
      <c r="O246" s="12" t="s">
        <v>18</v>
      </c>
      <c r="V246" t="e">
        <f t="shared" ref="V246:V299" si="31">((-T246/S246)*IMLOG2(T246/S246))+((-U246/S246)*IMLOG2(U246/S246))</f>
        <v>#DIV/0!</v>
      </c>
    </row>
    <row r="247" spans="1:22" hidden="1" x14ac:dyDescent="0.35">
      <c r="A247" s="15">
        <v>30</v>
      </c>
      <c r="B247" s="7" t="s">
        <v>75</v>
      </c>
      <c r="C247" s="8" t="s">
        <v>76</v>
      </c>
      <c r="D247" s="9" t="s">
        <v>17</v>
      </c>
      <c r="E247" s="10" t="str">
        <f>'[1]B.kriteria &amp; R.kecocokan'!$B$25</f>
        <v>Sedikit</v>
      </c>
      <c r="F247" s="10" t="str">
        <f>'[1]B.kriteria &amp; R.kecocokan'!$B$35</f>
        <v>Sangat Tinggi</v>
      </c>
      <c r="G247" s="5" t="str">
        <f>'[1]B.kriteria &amp; R.kecocokan'!$B$41</f>
        <v>Rendah</v>
      </c>
      <c r="H247" s="5" t="str">
        <f>'[1]B.kriteria &amp; R.kecocokan'!$B$72</f>
        <v>Rendah</v>
      </c>
      <c r="I247" s="5" t="str">
        <f>'[1]B.kriteria &amp; R.kecocokan'!$B$95</f>
        <v>Rendah</v>
      </c>
      <c r="J247" s="10" t="str">
        <f>'[1]B.kriteria &amp; R.kecocokan'!$B$81</f>
        <v>Tinggi</v>
      </c>
      <c r="K247" s="10" t="str">
        <f>'[1]B.kriteria &amp; R.kecocokan'!$B$88</f>
        <v>Sedang</v>
      </c>
      <c r="L247" s="10" t="str">
        <f>'[1]B.kriteria &amp; R.kecocokan'!$B$51</f>
        <v>Tinggi</v>
      </c>
      <c r="M247" s="10" t="str">
        <f>'[1]B.kriteria &amp; R.kecocokan'!$B$59</f>
        <v>Tinggi</v>
      </c>
      <c r="N247" s="6" t="str">
        <f>'[1]B.kriteria &amp; R.kecocokan'!$B$65</f>
        <v>Rendah</v>
      </c>
      <c r="O247" s="12" t="s">
        <v>36</v>
      </c>
      <c r="V247" t="e">
        <f t="shared" si="31"/>
        <v>#DIV/0!</v>
      </c>
    </row>
    <row r="248" spans="1:22" x14ac:dyDescent="0.35">
      <c r="A248" s="15">
        <v>31</v>
      </c>
      <c r="B248" s="7" t="s">
        <v>77</v>
      </c>
      <c r="C248" s="8" t="s">
        <v>78</v>
      </c>
      <c r="D248" s="9" t="s">
        <v>17</v>
      </c>
      <c r="E248" s="4" t="str">
        <f>'[1]B.kriteria &amp; R.kecocokan'!$B$24</f>
        <v>Cukup</v>
      </c>
      <c r="F248" s="10" t="str">
        <f>'[1]B.kriteria &amp; R.kecocokan'!$B$35</f>
        <v>Sangat Tinggi</v>
      </c>
      <c r="G248" s="5" t="str">
        <f>'[1]B.kriteria &amp; R.kecocokan'!$B$41</f>
        <v>Rendah</v>
      </c>
      <c r="H248" s="5" t="str">
        <f>'[1]B.kriteria &amp; R.kecocokan'!$B$72</f>
        <v>Rendah</v>
      </c>
      <c r="I248" s="5" t="str">
        <f>'[1]B.kriteria &amp; R.kecocokan'!$B$95</f>
        <v>Rendah</v>
      </c>
      <c r="J248" s="5" t="str">
        <f>'[1]B.kriteria &amp; R.kecocokan'!$B$80</f>
        <v>Rendah</v>
      </c>
      <c r="K248" s="5" t="str">
        <f>'[1]B.kriteria &amp; R.kecocokan'!$B$89</f>
        <v>Sedikit</v>
      </c>
      <c r="L248" s="5" t="str">
        <f>'[1]B.kriteria &amp; R.kecocokan'!$B$49</f>
        <v>Rendah</v>
      </c>
      <c r="M248" s="10" t="str">
        <f>'[1]B.kriteria &amp; R.kecocokan'!$B$58</f>
        <v>Sedang</v>
      </c>
      <c r="N248" s="6" t="str">
        <f>'[1]B.kriteria &amp; R.kecocokan'!$B$65</f>
        <v>Rendah</v>
      </c>
      <c r="O248" s="12" t="s">
        <v>36</v>
      </c>
      <c r="R248" t="s">
        <v>185</v>
      </c>
      <c r="S248">
        <v>5</v>
      </c>
      <c r="T248">
        <v>2</v>
      </c>
      <c r="U248">
        <v>3</v>
      </c>
      <c r="V248">
        <f t="shared" si="31"/>
        <v>0.97095059445466747</v>
      </c>
    </row>
    <row r="249" spans="1:22" hidden="1" x14ac:dyDescent="0.35">
      <c r="A249" s="16">
        <v>32</v>
      </c>
      <c r="B249" s="7" t="s">
        <v>79</v>
      </c>
      <c r="C249" s="8" t="s">
        <v>80</v>
      </c>
      <c r="D249" s="9" t="s">
        <v>17</v>
      </c>
      <c r="E249" s="4" t="str">
        <f>'[1]B.kriteria &amp; R.kecocokan'!$B$24</f>
        <v>Cukup</v>
      </c>
      <c r="F249" s="10" t="str">
        <f>'[1]B.kriteria &amp; R.kecocokan'!$B$34</f>
        <v>Tinggi</v>
      </c>
      <c r="G249" s="5" t="str">
        <f>'[1]B.kriteria &amp; R.kecocokan'!$B$41</f>
        <v>Rendah</v>
      </c>
      <c r="H249" s="5" t="str">
        <f>'[1]B.kriteria &amp; R.kecocokan'!$B$72</f>
        <v>Rendah</v>
      </c>
      <c r="I249" s="5" t="str">
        <f>'[1]B.kriteria &amp; R.kecocokan'!$B$95</f>
        <v>Rendah</v>
      </c>
      <c r="J249" s="5" t="str">
        <f>'[1]B.kriteria &amp; R.kecocokan'!$B$80</f>
        <v>Rendah</v>
      </c>
      <c r="K249" s="10" t="str">
        <f>'[1]B.kriteria &amp; R.kecocokan'!$B$88</f>
        <v>Sedang</v>
      </c>
      <c r="L249" s="5" t="str">
        <f>'[1]B.kriteria &amp; R.kecocokan'!$B$49</f>
        <v>Rendah</v>
      </c>
      <c r="M249" s="5" t="str">
        <f>'[1]B.kriteria &amp; R.kecocokan'!$B$57</f>
        <v>Rendah</v>
      </c>
      <c r="N249" s="6" t="str">
        <f>'[1]B.kriteria &amp; R.kecocokan'!$B$65</f>
        <v>Rendah</v>
      </c>
      <c r="O249" s="12" t="s">
        <v>18</v>
      </c>
      <c r="V249" t="e">
        <f t="shared" si="31"/>
        <v>#DIV/0!</v>
      </c>
    </row>
    <row r="250" spans="1:22" hidden="1" x14ac:dyDescent="0.35">
      <c r="A250" s="15">
        <v>33</v>
      </c>
      <c r="B250" s="7" t="s">
        <v>81</v>
      </c>
      <c r="C250" s="8" t="s">
        <v>82</v>
      </c>
      <c r="D250" s="9" t="s">
        <v>17</v>
      </c>
      <c r="E250" s="10" t="str">
        <f>'[1]B.kriteria &amp; R.kecocokan'!$B$25</f>
        <v>Sedikit</v>
      </c>
      <c r="F250" s="10" t="str">
        <f>'[1]B.kriteria &amp; R.kecocokan'!$B$34</f>
        <v>Tinggi</v>
      </c>
      <c r="G250" s="10" t="str">
        <f>'[1]B.kriteria &amp; R.kecocokan'!$B$43</f>
        <v>Tinggi</v>
      </c>
      <c r="H250" s="5" t="str">
        <f>'[1]B.kriteria &amp; R.kecocokan'!$B$72</f>
        <v>Rendah</v>
      </c>
      <c r="I250" s="5" t="str">
        <f>'[1]B.kriteria &amp; R.kecocokan'!$B$95</f>
        <v>Rendah</v>
      </c>
      <c r="J250" s="10" t="str">
        <f>'[1]B.kriteria &amp; R.kecocokan'!$B$81</f>
        <v>Tinggi</v>
      </c>
      <c r="K250" s="10" t="str">
        <f>'[1]B.kriteria &amp; R.kecocokan'!$B$90</f>
        <v>Sangat Sedikit</v>
      </c>
      <c r="L250" s="5" t="str">
        <f>'[1]B.kriteria &amp; R.kecocokan'!$B$49</f>
        <v>Rendah</v>
      </c>
      <c r="M250" s="5" t="str">
        <f>'[1]B.kriteria &amp; R.kecocokan'!$B$57</f>
        <v>Rendah</v>
      </c>
      <c r="N250" s="6" t="str">
        <f>'[1]B.kriteria &amp; R.kecocokan'!$B$65</f>
        <v>Rendah</v>
      </c>
      <c r="O250" s="12" t="s">
        <v>18</v>
      </c>
      <c r="V250" t="e">
        <f t="shared" si="31"/>
        <v>#DIV/0!</v>
      </c>
    </row>
    <row r="251" spans="1:22" hidden="1" x14ac:dyDescent="0.35">
      <c r="A251" s="15">
        <v>34</v>
      </c>
      <c r="B251" s="7" t="s">
        <v>83</v>
      </c>
      <c r="C251" s="8" t="s">
        <v>84</v>
      </c>
      <c r="D251" s="9" t="s">
        <v>17</v>
      </c>
      <c r="E251" s="10" t="str">
        <f>'[1]B.kriteria &amp; R.kecocokan'!$B$23</f>
        <v>Banyak</v>
      </c>
      <c r="F251" s="10" t="str">
        <f>'[1]B.kriteria &amp; R.kecocokan'!$B$34</f>
        <v>Tinggi</v>
      </c>
      <c r="G251" s="5" t="str">
        <f>'[1]B.kriteria &amp; R.kecocokan'!$B$41</f>
        <v>Rendah</v>
      </c>
      <c r="H251" s="5" t="str">
        <f>'[1]B.kriteria &amp; R.kecocokan'!$B$72</f>
        <v>Rendah</v>
      </c>
      <c r="I251" s="5" t="str">
        <f>'[1]B.kriteria &amp; R.kecocokan'!$B$95</f>
        <v>Rendah</v>
      </c>
      <c r="J251" s="10" t="str">
        <f>'[1]B.kriteria &amp; R.kecocokan'!$B$81</f>
        <v>Tinggi</v>
      </c>
      <c r="K251" s="10" t="str">
        <f>'[1]B.kriteria &amp; R.kecocokan'!$B$90</f>
        <v>Sangat Sedikit</v>
      </c>
      <c r="L251" s="5" t="str">
        <f>'[1]B.kriteria &amp; R.kecocokan'!$B$49</f>
        <v>Rendah</v>
      </c>
      <c r="M251" s="5" t="str">
        <f>'[1]B.kriteria &amp; R.kecocokan'!$B$57</f>
        <v>Rendah</v>
      </c>
      <c r="N251" s="6" t="str">
        <f>'[1]B.kriteria &amp; R.kecocokan'!$B$65</f>
        <v>Rendah</v>
      </c>
      <c r="O251" s="12" t="s">
        <v>18</v>
      </c>
      <c r="V251" t="e">
        <f t="shared" si="31"/>
        <v>#DIV/0!</v>
      </c>
    </row>
    <row r="252" spans="1:22" hidden="1" x14ac:dyDescent="0.35">
      <c r="A252" s="16">
        <v>35</v>
      </c>
      <c r="B252" s="7" t="s">
        <v>85</v>
      </c>
      <c r="C252" s="8" t="s">
        <v>86</v>
      </c>
      <c r="D252" s="9" t="s">
        <v>17</v>
      </c>
      <c r="E252" s="10" t="str">
        <f>'[1]B.kriteria &amp; R.kecocokan'!$B$25</f>
        <v>Sedikit</v>
      </c>
      <c r="F252" s="10" t="str">
        <f>'[1]B.kriteria &amp; R.kecocokan'!$B$34</f>
        <v>Tinggi</v>
      </c>
      <c r="G252" s="5" t="str">
        <f>'[1]B.kriteria &amp; R.kecocokan'!$B$41</f>
        <v>Rendah</v>
      </c>
      <c r="H252" s="10" t="str">
        <f>'[1]B.kriteria &amp; R.kecocokan'!$B$74</f>
        <v>Tinggi</v>
      </c>
      <c r="I252" s="5" t="str">
        <f>'[1]B.kriteria &amp; R.kecocokan'!$B$95</f>
        <v>Rendah</v>
      </c>
      <c r="J252" s="10" t="str">
        <f>'[1]B.kriteria &amp; R.kecocokan'!$B$81</f>
        <v>Tinggi</v>
      </c>
      <c r="K252" s="10" t="str">
        <f>'[1]B.kriteria &amp; R.kecocokan'!$B$90</f>
        <v>Sangat Sedikit</v>
      </c>
      <c r="L252" s="10" t="str">
        <f>'[1]B.kriteria &amp; R.kecocokan'!$B$50</f>
        <v>Sedang</v>
      </c>
      <c r="M252" s="10" t="str">
        <f>'[1]B.kriteria &amp; R.kecocokan'!$B$59</f>
        <v>Tinggi</v>
      </c>
      <c r="N252" s="6" t="str">
        <f>'[1]B.kriteria &amp; R.kecocokan'!$B$65</f>
        <v>Rendah</v>
      </c>
      <c r="O252" s="12" t="s">
        <v>36</v>
      </c>
      <c r="V252" t="e">
        <f t="shared" si="31"/>
        <v>#DIV/0!</v>
      </c>
    </row>
    <row r="253" spans="1:22" hidden="1" x14ac:dyDescent="0.35">
      <c r="A253" s="15">
        <v>36</v>
      </c>
      <c r="B253" s="7" t="s">
        <v>87</v>
      </c>
      <c r="C253" s="8" t="s">
        <v>88</v>
      </c>
      <c r="D253" s="9" t="s">
        <v>17</v>
      </c>
      <c r="E253" s="4" t="str">
        <f>'[1]B.kriteria &amp; R.kecocokan'!$B$24</f>
        <v>Cukup</v>
      </c>
      <c r="F253" s="10" t="str">
        <f>'[1]B.kriteria &amp; R.kecocokan'!$B$34</f>
        <v>Tinggi</v>
      </c>
      <c r="G253" s="5" t="str">
        <f>'[1]B.kriteria &amp; R.kecocokan'!$B$41</f>
        <v>Rendah</v>
      </c>
      <c r="H253" s="5" t="str">
        <f>'[1]B.kriteria &amp; R.kecocokan'!$B$72</f>
        <v>Rendah</v>
      </c>
      <c r="I253" s="5" t="str">
        <f>'[1]B.kriteria &amp; R.kecocokan'!$B$95</f>
        <v>Rendah</v>
      </c>
      <c r="J253" s="5" t="str">
        <f>'[1]B.kriteria &amp; R.kecocokan'!$B$80</f>
        <v>Rendah</v>
      </c>
      <c r="K253" s="10" t="str">
        <f>'[1]B.kriteria &amp; R.kecocokan'!$B$90</f>
        <v>Sangat Sedikit</v>
      </c>
      <c r="L253" s="5" t="str">
        <f>'[1]B.kriteria &amp; R.kecocokan'!$B$49</f>
        <v>Rendah</v>
      </c>
      <c r="M253" s="5" t="str">
        <f>'[1]B.kriteria &amp; R.kecocokan'!$B$57</f>
        <v>Rendah</v>
      </c>
      <c r="N253" s="6" t="str">
        <f>'[1]B.kriteria &amp; R.kecocokan'!$B$65</f>
        <v>Rendah</v>
      </c>
      <c r="O253" s="12" t="s">
        <v>18</v>
      </c>
      <c r="V253" t="e">
        <f t="shared" si="31"/>
        <v>#DIV/0!</v>
      </c>
    </row>
    <row r="254" spans="1:22" hidden="1" x14ac:dyDescent="0.35">
      <c r="A254" s="15">
        <v>37</v>
      </c>
      <c r="B254" s="7" t="s">
        <v>89</v>
      </c>
      <c r="C254" s="8" t="s">
        <v>90</v>
      </c>
      <c r="D254" s="9" t="s">
        <v>17</v>
      </c>
      <c r="E254" s="4" t="str">
        <f>'[1]B.kriteria &amp; R.kecocokan'!$B$24</f>
        <v>Cukup</v>
      </c>
      <c r="F254" s="10" t="str">
        <f>'[1]B.kriteria &amp; R.kecocokan'!$B$34</f>
        <v>Tinggi</v>
      </c>
      <c r="G254" s="5" t="str">
        <f>'[1]B.kriteria &amp; R.kecocokan'!$B$41</f>
        <v>Rendah</v>
      </c>
      <c r="H254" s="5" t="str">
        <f>'[1]B.kriteria &amp; R.kecocokan'!$B$72</f>
        <v>Rendah</v>
      </c>
      <c r="I254" s="5" t="str">
        <f>'[1]B.kriteria &amp; R.kecocokan'!$B$95</f>
        <v>Rendah</v>
      </c>
      <c r="J254" s="5" t="str">
        <f>'[1]B.kriteria &amp; R.kecocokan'!$B$80</f>
        <v>Rendah</v>
      </c>
      <c r="K254" s="10" t="str">
        <f>'[1]B.kriteria &amp; R.kecocokan'!$B$88</f>
        <v>Sedang</v>
      </c>
      <c r="L254" s="5" t="str">
        <f>'[1]B.kriteria &amp; R.kecocokan'!$B$49</f>
        <v>Rendah</v>
      </c>
      <c r="M254" s="5" t="str">
        <f>'[1]B.kriteria &amp; R.kecocokan'!$B$57</f>
        <v>Rendah</v>
      </c>
      <c r="N254" s="6" t="str">
        <f>'[1]B.kriteria &amp; R.kecocokan'!$B$65</f>
        <v>Rendah</v>
      </c>
      <c r="O254" s="12" t="s">
        <v>18</v>
      </c>
      <c r="V254" t="e">
        <f t="shared" si="31"/>
        <v>#DIV/0!</v>
      </c>
    </row>
    <row r="255" spans="1:22" hidden="1" x14ac:dyDescent="0.35">
      <c r="A255" s="16">
        <v>38</v>
      </c>
      <c r="B255" s="7" t="s">
        <v>91</v>
      </c>
      <c r="C255" s="8" t="s">
        <v>92</v>
      </c>
      <c r="D255" s="9" t="s">
        <v>17</v>
      </c>
      <c r="E255" s="10" t="str">
        <f>'[1]B.kriteria &amp; R.kecocokan'!$B$25</f>
        <v>Sedikit</v>
      </c>
      <c r="F255" s="10" t="str">
        <f>'[1]B.kriteria &amp; R.kecocokan'!$B$34</f>
        <v>Tinggi</v>
      </c>
      <c r="G255" s="10" t="str">
        <f>'[1]B.kriteria &amp; R.kecocokan'!$B$43</f>
        <v>Tinggi</v>
      </c>
      <c r="H255" s="5" t="str">
        <f>'[1]B.kriteria &amp; R.kecocokan'!$B$72</f>
        <v>Rendah</v>
      </c>
      <c r="I255" s="5" t="str">
        <f>'[1]B.kriteria &amp; R.kecocokan'!$B$95</f>
        <v>Rendah</v>
      </c>
      <c r="J255" s="10" t="str">
        <f>'[1]B.kriteria &amp; R.kecocokan'!$B$81</f>
        <v>Tinggi</v>
      </c>
      <c r="K255" s="10" t="str">
        <f>'[1]B.kriteria &amp; R.kecocokan'!$B$90</f>
        <v>Sangat Sedikit</v>
      </c>
      <c r="L255" s="5" t="str">
        <f>'[1]B.kriteria &amp; R.kecocokan'!$B$49</f>
        <v>Rendah</v>
      </c>
      <c r="M255" s="5" t="str">
        <f>'[1]B.kriteria &amp; R.kecocokan'!$B$57</f>
        <v>Rendah</v>
      </c>
      <c r="N255" s="6" t="str">
        <f>'[1]B.kriteria &amp; R.kecocokan'!$B$65</f>
        <v>Rendah</v>
      </c>
      <c r="O255" s="12" t="s">
        <v>18</v>
      </c>
      <c r="V255" t="e">
        <f t="shared" si="31"/>
        <v>#DIV/0!</v>
      </c>
    </row>
    <row r="256" spans="1:22" hidden="1" x14ac:dyDescent="0.35">
      <c r="A256" s="15">
        <v>39</v>
      </c>
      <c r="B256" s="7" t="s">
        <v>93</v>
      </c>
      <c r="C256" s="8" t="s">
        <v>94</v>
      </c>
      <c r="D256" s="9" t="s">
        <v>17</v>
      </c>
      <c r="E256" s="10" t="str">
        <f>'[1]B.kriteria &amp; R.kecocokan'!$B$25</f>
        <v>Sedikit</v>
      </c>
      <c r="F256" s="10" t="str">
        <f>'[1]B.kriteria &amp; R.kecocokan'!$B$34</f>
        <v>Tinggi</v>
      </c>
      <c r="G256" s="5" t="str">
        <f>'[1]B.kriteria &amp; R.kecocokan'!$B$41</f>
        <v>Rendah</v>
      </c>
      <c r="H256" s="5" t="str">
        <f>'[1]B.kriteria &amp; R.kecocokan'!$B$72</f>
        <v>Rendah</v>
      </c>
      <c r="I256" s="5" t="str">
        <f>'[1]B.kriteria &amp; R.kecocokan'!$B$95</f>
        <v>Rendah</v>
      </c>
      <c r="J256" s="10" t="str">
        <f>'[1]B.kriteria &amp; R.kecocokan'!$B$81</f>
        <v>Tinggi</v>
      </c>
      <c r="K256" s="10" t="str">
        <f>'[1]B.kriteria &amp; R.kecocokan'!$B$90</f>
        <v>Sangat Sedikit</v>
      </c>
      <c r="L256" s="5" t="str">
        <f>'[1]B.kriteria &amp; R.kecocokan'!$B$49</f>
        <v>Rendah</v>
      </c>
      <c r="M256" s="5" t="str">
        <f>'[1]B.kriteria &amp; R.kecocokan'!$B$57</f>
        <v>Rendah</v>
      </c>
      <c r="N256" s="6" t="str">
        <f>'[1]B.kriteria &amp; R.kecocokan'!$B$65</f>
        <v>Rendah</v>
      </c>
      <c r="O256" s="12" t="s">
        <v>18</v>
      </c>
      <c r="V256" t="e">
        <f t="shared" si="31"/>
        <v>#DIV/0!</v>
      </c>
    </row>
    <row r="257" spans="1:22" hidden="1" x14ac:dyDescent="0.35">
      <c r="A257" s="15">
        <v>40</v>
      </c>
      <c r="B257" s="7" t="s">
        <v>95</v>
      </c>
      <c r="C257" s="8" t="s">
        <v>96</v>
      </c>
      <c r="D257" s="9" t="s">
        <v>17</v>
      </c>
      <c r="E257" s="4" t="str">
        <f>'[1]B.kriteria &amp; R.kecocokan'!$B$24</f>
        <v>Cukup</v>
      </c>
      <c r="F257" s="10" t="str">
        <f>'[1]B.kriteria &amp; R.kecocokan'!$B$34</f>
        <v>Tinggi</v>
      </c>
      <c r="G257" s="10" t="str">
        <f>'[1]B.kriteria &amp; R.kecocokan'!$B$43</f>
        <v>Tinggi</v>
      </c>
      <c r="H257" s="5" t="str">
        <f>'[1]B.kriteria &amp; R.kecocokan'!$B$72</f>
        <v>Rendah</v>
      </c>
      <c r="I257" s="5" t="str">
        <f>'[1]B.kriteria &amp; R.kecocokan'!$B$95</f>
        <v>Rendah</v>
      </c>
      <c r="J257" s="5" t="str">
        <f>'[1]B.kriteria &amp; R.kecocokan'!$B$80</f>
        <v>Rendah</v>
      </c>
      <c r="K257" s="10" t="str">
        <f>'[1]B.kriteria &amp; R.kecocokan'!$B$88</f>
        <v>Sedang</v>
      </c>
      <c r="L257" s="5" t="str">
        <f>'[1]B.kriteria &amp; R.kecocokan'!$B$49</f>
        <v>Rendah</v>
      </c>
      <c r="M257" s="5" t="str">
        <f>'[1]B.kriteria &amp; R.kecocokan'!$B$57</f>
        <v>Rendah</v>
      </c>
      <c r="N257" s="6" t="str">
        <f>'[1]B.kriteria &amp; R.kecocokan'!$B$65</f>
        <v>Rendah</v>
      </c>
      <c r="O257" s="12" t="s">
        <v>18</v>
      </c>
      <c r="V257" t="e">
        <f t="shared" si="31"/>
        <v>#DIV/0!</v>
      </c>
    </row>
    <row r="258" spans="1:22" hidden="1" x14ac:dyDescent="0.35">
      <c r="A258" s="16">
        <v>41</v>
      </c>
      <c r="B258" s="7" t="s">
        <v>97</v>
      </c>
      <c r="C258" s="8" t="s">
        <v>98</v>
      </c>
      <c r="D258" s="9" t="s">
        <v>17</v>
      </c>
      <c r="E258" s="10" t="str">
        <f>'[1]B.kriteria &amp; R.kecocokan'!$B$23</f>
        <v>Banyak</v>
      </c>
      <c r="F258" s="10" t="str">
        <f>'[1]B.kriteria &amp; R.kecocokan'!$B$34</f>
        <v>Tinggi</v>
      </c>
      <c r="G258" s="5" t="str">
        <f>'[1]B.kriteria &amp; R.kecocokan'!$B$41</f>
        <v>Rendah</v>
      </c>
      <c r="H258" s="5" t="str">
        <f>'[1]B.kriteria &amp; R.kecocokan'!$B$72</f>
        <v>Rendah</v>
      </c>
      <c r="I258" s="5" t="str">
        <f>'[1]B.kriteria &amp; R.kecocokan'!$B$95</f>
        <v>Rendah</v>
      </c>
      <c r="J258" s="10" t="str">
        <f>'[1]B.kriteria &amp; R.kecocokan'!$B$81</f>
        <v>Tinggi</v>
      </c>
      <c r="K258" s="10" t="str">
        <f>'[1]B.kriteria &amp; R.kecocokan'!$B$90</f>
        <v>Sangat Sedikit</v>
      </c>
      <c r="L258" s="5" t="str">
        <f>'[1]B.kriteria &amp; R.kecocokan'!$B$49</f>
        <v>Rendah</v>
      </c>
      <c r="M258" s="5" t="str">
        <f>'[1]B.kriteria &amp; R.kecocokan'!$B$57</f>
        <v>Rendah</v>
      </c>
      <c r="N258" s="6" t="str">
        <f>'[1]B.kriteria &amp; R.kecocokan'!$B$65</f>
        <v>Rendah</v>
      </c>
      <c r="O258" s="12" t="s">
        <v>18</v>
      </c>
      <c r="V258" t="e">
        <f t="shared" si="31"/>
        <v>#DIV/0!</v>
      </c>
    </row>
    <row r="259" spans="1:22" hidden="1" x14ac:dyDescent="0.35">
      <c r="A259" s="15">
        <v>42</v>
      </c>
      <c r="B259" s="8">
        <f>[1]Penghasilan!B236</f>
        <v>0</v>
      </c>
      <c r="C259" s="8" t="s">
        <v>99</v>
      </c>
      <c r="D259" s="9" t="s">
        <v>100</v>
      </c>
      <c r="E259" s="13" t="str">
        <f>'[1]B.kriteria &amp; R.kecocokan'!$B$25</f>
        <v>Sedikit</v>
      </c>
      <c r="F259" s="10" t="str">
        <f>'[1]B.kriteria &amp; R.kecocokan'!$B$34</f>
        <v>Tinggi</v>
      </c>
      <c r="G259" s="5" t="str">
        <f>'[1]B.kriteria &amp; R.kecocokan'!$B$41</f>
        <v>Rendah</v>
      </c>
      <c r="H259" s="5" t="str">
        <f>'[1]B.kriteria &amp; R.kecocokan'!$B$72</f>
        <v>Rendah</v>
      </c>
      <c r="I259" s="5" t="str">
        <f>'[1]B.kriteria &amp; R.kecocokan'!$B$95</f>
        <v>Rendah</v>
      </c>
      <c r="J259" s="10" t="str">
        <f>'[1]B.kriteria &amp; R.kecocokan'!$B$81</f>
        <v>Tinggi</v>
      </c>
      <c r="K259" s="10" t="str">
        <f>'[1]B.kriteria &amp; R.kecocokan'!$B$88</f>
        <v>Sedang</v>
      </c>
      <c r="L259" s="10" t="str">
        <f>'[1]B.kriteria &amp; R.kecocokan'!$B$50</f>
        <v>Sedang</v>
      </c>
      <c r="M259" s="5" t="str">
        <f>'[1]B.kriteria &amp; R.kecocokan'!$B$57</f>
        <v>Rendah</v>
      </c>
      <c r="N259" s="6" t="str">
        <f>'[1]B.kriteria &amp; R.kecocokan'!$B$65</f>
        <v>Rendah</v>
      </c>
      <c r="O259" s="12" t="s">
        <v>36</v>
      </c>
      <c r="V259" t="e">
        <f t="shared" si="31"/>
        <v>#DIV/0!</v>
      </c>
    </row>
    <row r="260" spans="1:22" hidden="1" x14ac:dyDescent="0.35">
      <c r="A260" s="15">
        <v>43</v>
      </c>
      <c r="B260" s="8">
        <f>[1]Penghasilan!B249</f>
        <v>0</v>
      </c>
      <c r="C260" s="8" t="s">
        <v>101</v>
      </c>
      <c r="D260" s="9" t="s">
        <v>26</v>
      </c>
      <c r="E260" s="13" t="str">
        <f>'[1]B.kriteria &amp; R.kecocokan'!$B$25</f>
        <v>Sedikit</v>
      </c>
      <c r="F260" s="10" t="str">
        <f>'[1]B.kriteria &amp; R.kecocokan'!$B$34</f>
        <v>Tinggi</v>
      </c>
      <c r="G260" s="5" t="str">
        <f>'[1]B.kriteria &amp; R.kecocokan'!$B$41</f>
        <v>Rendah</v>
      </c>
      <c r="H260" s="5" t="str">
        <f>'[1]B.kriteria &amp; R.kecocokan'!$B$72</f>
        <v>Rendah</v>
      </c>
      <c r="I260" s="5" t="str">
        <f>'[1]B.kriteria &amp; R.kecocokan'!$B$95</f>
        <v>Rendah</v>
      </c>
      <c r="J260" s="5" t="str">
        <f>'[1]B.kriteria &amp; R.kecocokan'!$B$80</f>
        <v>Rendah</v>
      </c>
      <c r="K260" s="10" t="str">
        <f>'[1]B.kriteria &amp; R.kecocokan'!$B$90</f>
        <v>Sangat Sedikit</v>
      </c>
      <c r="L260" s="5" t="str">
        <f>'[1]B.kriteria &amp; R.kecocokan'!$B$49</f>
        <v>Rendah</v>
      </c>
      <c r="M260" s="5" t="str">
        <f>'[1]B.kriteria &amp; R.kecocokan'!$B$57</f>
        <v>Rendah</v>
      </c>
      <c r="N260" s="6" t="str">
        <f>'[1]B.kriteria &amp; R.kecocokan'!$B$65</f>
        <v>Rendah</v>
      </c>
      <c r="O260" s="12" t="s">
        <v>18</v>
      </c>
      <c r="V260" t="e">
        <f t="shared" si="31"/>
        <v>#DIV/0!</v>
      </c>
    </row>
    <row r="261" spans="1:22" hidden="1" x14ac:dyDescent="0.35">
      <c r="A261" s="16">
        <v>44</v>
      </c>
      <c r="B261" s="8">
        <f>[1]Penghasilan!B248</f>
        <v>0</v>
      </c>
      <c r="C261" s="8" t="s">
        <v>102</v>
      </c>
      <c r="D261" s="9" t="s">
        <v>26</v>
      </c>
      <c r="E261" s="13" t="str">
        <f>'[1]B.kriteria &amp; R.kecocokan'!$B$25</f>
        <v>Sedikit</v>
      </c>
      <c r="F261" s="10" t="str">
        <f>'[1]B.kriteria &amp; R.kecocokan'!$B$35</f>
        <v>Sangat Tinggi</v>
      </c>
      <c r="G261" s="5" t="str">
        <f>'[1]B.kriteria &amp; R.kecocokan'!$B$41</f>
        <v>Rendah</v>
      </c>
      <c r="H261" s="5" t="str">
        <f>'[1]B.kriteria &amp; R.kecocokan'!$B$72</f>
        <v>Rendah</v>
      </c>
      <c r="I261" s="5" t="str">
        <f>'[1]B.kriteria &amp; R.kecocokan'!$B$95</f>
        <v>Rendah</v>
      </c>
      <c r="J261" s="10" t="str">
        <f>'[1]B.kriteria &amp; R.kecocokan'!$B$81</f>
        <v>Tinggi</v>
      </c>
      <c r="K261" s="10" t="str">
        <f>'[1]B.kriteria &amp; R.kecocokan'!$B$90</f>
        <v>Sangat Sedikit</v>
      </c>
      <c r="L261" s="10" t="str">
        <f>'[1]B.kriteria &amp; R.kecocokan'!$B$50</f>
        <v>Sedang</v>
      </c>
      <c r="M261" s="10" t="str">
        <f>'[1]B.kriteria &amp; R.kecocokan'!$B$59</f>
        <v>Tinggi</v>
      </c>
      <c r="N261" s="6" t="str">
        <f>'[1]B.kriteria &amp; R.kecocokan'!$B$65</f>
        <v>Rendah</v>
      </c>
      <c r="O261" s="12" t="s">
        <v>36</v>
      </c>
      <c r="V261" t="e">
        <f t="shared" si="31"/>
        <v>#DIV/0!</v>
      </c>
    </row>
    <row r="262" spans="1:22" hidden="1" x14ac:dyDescent="0.35">
      <c r="A262" s="15">
        <v>45</v>
      </c>
      <c r="B262" s="8">
        <f>[1]Penghasilan!B250</f>
        <v>0</v>
      </c>
      <c r="C262" s="8" t="s">
        <v>103</v>
      </c>
      <c r="D262" s="9" t="s">
        <v>26</v>
      </c>
      <c r="E262" s="4" t="str">
        <f>'[1]B.kriteria &amp; R.kecocokan'!$B$24</f>
        <v>Cukup</v>
      </c>
      <c r="F262" s="10" t="str">
        <f>'[1]B.kriteria &amp; R.kecocokan'!$B$34</f>
        <v>Tinggi</v>
      </c>
      <c r="G262" s="5" t="str">
        <f>'[1]B.kriteria &amp; R.kecocokan'!$B$41</f>
        <v>Rendah</v>
      </c>
      <c r="H262" s="5" t="str">
        <f>'[1]B.kriteria &amp; R.kecocokan'!$B$72</f>
        <v>Rendah</v>
      </c>
      <c r="I262" s="5" t="str">
        <f>'[1]B.kriteria &amp; R.kecocokan'!$B$95</f>
        <v>Rendah</v>
      </c>
      <c r="J262" s="10" t="str">
        <f>'[1]B.kriteria &amp; R.kecocokan'!$B$81</f>
        <v>Tinggi</v>
      </c>
      <c r="K262" s="10" t="str">
        <f>'[1]B.kriteria &amp; R.kecocokan'!$B$90</f>
        <v>Sangat Sedikit</v>
      </c>
      <c r="L262" s="5" t="str">
        <f>'[1]B.kriteria &amp; R.kecocokan'!$B$49</f>
        <v>Rendah</v>
      </c>
      <c r="M262" s="5" t="str">
        <f>'[1]B.kriteria &amp; R.kecocokan'!$B$57</f>
        <v>Rendah</v>
      </c>
      <c r="N262" s="6" t="str">
        <f>'[1]B.kriteria &amp; R.kecocokan'!$B$65</f>
        <v>Rendah</v>
      </c>
      <c r="O262" s="12" t="s">
        <v>18</v>
      </c>
      <c r="V262" t="e">
        <f t="shared" si="31"/>
        <v>#DIV/0!</v>
      </c>
    </row>
    <row r="263" spans="1:22" hidden="1" x14ac:dyDescent="0.35">
      <c r="A263" s="15">
        <v>46</v>
      </c>
      <c r="B263" s="8">
        <f>[1]Penghasilan!B254</f>
        <v>0</v>
      </c>
      <c r="C263" s="8" t="s">
        <v>104</v>
      </c>
      <c r="D263" s="9" t="s">
        <v>100</v>
      </c>
      <c r="E263" s="4" t="str">
        <f>'[1]B.kriteria &amp; R.kecocokan'!$B$24</f>
        <v>Cukup</v>
      </c>
      <c r="F263" s="10" t="str">
        <f>'[1]B.kriteria &amp; R.kecocokan'!$B$34</f>
        <v>Tinggi</v>
      </c>
      <c r="G263" s="5" t="str">
        <f>'[1]B.kriteria &amp; R.kecocokan'!$B$41</f>
        <v>Rendah</v>
      </c>
      <c r="H263" s="5" t="str">
        <f>'[1]B.kriteria &amp; R.kecocokan'!$B$72</f>
        <v>Rendah</v>
      </c>
      <c r="I263" s="5" t="str">
        <f>'[1]B.kriteria &amp; R.kecocokan'!$B$95</f>
        <v>Rendah</v>
      </c>
      <c r="J263" s="5" t="str">
        <f>'[1]B.kriteria &amp; R.kecocokan'!$B$80</f>
        <v>Rendah</v>
      </c>
      <c r="K263" s="10" t="str">
        <f>'[1]B.kriteria &amp; R.kecocokan'!$B$88</f>
        <v>Sedang</v>
      </c>
      <c r="L263" s="5" t="str">
        <f>'[1]B.kriteria &amp; R.kecocokan'!$B$49</f>
        <v>Rendah</v>
      </c>
      <c r="M263" s="5" t="str">
        <f>'[1]B.kriteria &amp; R.kecocokan'!$B$57</f>
        <v>Rendah</v>
      </c>
      <c r="N263" s="6" t="str">
        <f>'[1]B.kriteria &amp; R.kecocokan'!$B$65</f>
        <v>Rendah</v>
      </c>
      <c r="O263" s="12" t="s">
        <v>18</v>
      </c>
      <c r="V263" t="e">
        <f t="shared" si="31"/>
        <v>#DIV/0!</v>
      </c>
    </row>
    <row r="264" spans="1:22" hidden="1" x14ac:dyDescent="0.35">
      <c r="A264" s="16">
        <v>47</v>
      </c>
      <c r="B264" s="8">
        <f>[1]Penghasilan!B246</f>
        <v>0</v>
      </c>
      <c r="C264" s="8" t="s">
        <v>105</v>
      </c>
      <c r="D264" s="9" t="s">
        <v>100</v>
      </c>
      <c r="E264" s="13" t="str">
        <f>'[1]B.kriteria &amp; R.kecocokan'!$B$25</f>
        <v>Sedikit</v>
      </c>
      <c r="F264" s="10" t="str">
        <f>'[1]B.kriteria &amp; R.kecocokan'!$B$34</f>
        <v>Tinggi</v>
      </c>
      <c r="G264" s="5" t="str">
        <f>'[1]B.kriteria &amp; R.kecocokan'!$B$41</f>
        <v>Rendah</v>
      </c>
      <c r="H264" s="5" t="str">
        <f>'[1]B.kriteria &amp; R.kecocokan'!$B$72</f>
        <v>Rendah</v>
      </c>
      <c r="I264" s="5" t="str">
        <f>'[1]B.kriteria &amp; R.kecocokan'!$B$95</f>
        <v>Rendah</v>
      </c>
      <c r="J264" s="10" t="str">
        <f>'[1]B.kriteria &amp; R.kecocokan'!$B$81</f>
        <v>Tinggi</v>
      </c>
      <c r="K264" s="10" t="str">
        <f>'[1]B.kriteria &amp; R.kecocokan'!$B$90</f>
        <v>Sangat Sedikit</v>
      </c>
      <c r="L264" s="5" t="str">
        <f>'[1]B.kriteria &amp; R.kecocokan'!$B$49</f>
        <v>Rendah</v>
      </c>
      <c r="M264" s="5" t="str">
        <f>'[1]B.kriteria &amp; R.kecocokan'!$B$57</f>
        <v>Rendah</v>
      </c>
      <c r="N264" s="6" t="str">
        <f>'[1]B.kriteria &amp; R.kecocokan'!$B$65</f>
        <v>Rendah</v>
      </c>
      <c r="O264" s="12" t="s">
        <v>18</v>
      </c>
      <c r="V264" t="e">
        <f t="shared" si="31"/>
        <v>#DIV/0!</v>
      </c>
    </row>
    <row r="265" spans="1:22" hidden="1" x14ac:dyDescent="0.35">
      <c r="A265" s="15">
        <v>48</v>
      </c>
      <c r="B265" s="8">
        <f>[1]Penghasilan!B252</f>
        <v>0</v>
      </c>
      <c r="C265" s="8" t="s">
        <v>106</v>
      </c>
      <c r="D265" s="9" t="s">
        <v>26</v>
      </c>
      <c r="E265" s="4" t="str">
        <f>'[1]B.kriteria &amp; R.kecocokan'!$B$24</f>
        <v>Cukup</v>
      </c>
      <c r="F265" s="10" t="str">
        <f>'[1]B.kriteria &amp; R.kecocokan'!$B$34</f>
        <v>Tinggi</v>
      </c>
      <c r="G265" s="5" t="str">
        <f>'[1]B.kriteria &amp; R.kecocokan'!$B$41</f>
        <v>Rendah</v>
      </c>
      <c r="H265" s="5" t="str">
        <f>'[1]B.kriteria &amp; R.kecocokan'!$B$72</f>
        <v>Rendah</v>
      </c>
      <c r="I265" s="5" t="str">
        <f>'[1]B.kriteria &amp; R.kecocokan'!$B$95</f>
        <v>Rendah</v>
      </c>
      <c r="J265" s="5" t="str">
        <f>'[1]B.kriteria &amp; R.kecocokan'!$B$80</f>
        <v>Rendah</v>
      </c>
      <c r="K265" s="5" t="str">
        <f>'[1]B.kriteria &amp; R.kecocokan'!$B$89</f>
        <v>Sedikit</v>
      </c>
      <c r="L265" s="5" t="str">
        <f>'[1]B.kriteria &amp; R.kecocokan'!$B$49</f>
        <v>Rendah</v>
      </c>
      <c r="M265" s="5" t="str">
        <f>'[1]B.kriteria &amp; R.kecocokan'!$B$57</f>
        <v>Rendah</v>
      </c>
      <c r="N265" s="6" t="str">
        <f>'[1]B.kriteria &amp; R.kecocokan'!$B$65</f>
        <v>Rendah</v>
      </c>
      <c r="O265" s="12" t="s">
        <v>18</v>
      </c>
      <c r="V265" t="e">
        <f t="shared" si="31"/>
        <v>#DIV/0!</v>
      </c>
    </row>
    <row r="266" spans="1:22" hidden="1" x14ac:dyDescent="0.35">
      <c r="A266" s="15">
        <v>49</v>
      </c>
      <c r="B266" s="8">
        <f>[1]Penghasilan!B251</f>
        <v>0</v>
      </c>
      <c r="C266" s="8" t="s">
        <v>107</v>
      </c>
      <c r="D266" s="9" t="s">
        <v>100</v>
      </c>
      <c r="E266" s="13" t="str">
        <f>'[1]B.kriteria &amp; R.kecocokan'!$B$25</f>
        <v>Sedikit</v>
      </c>
      <c r="F266" s="10" t="str">
        <f>'[1]B.kriteria &amp; R.kecocokan'!$B$35</f>
        <v>Sangat Tinggi</v>
      </c>
      <c r="G266" s="5" t="str">
        <f>'[1]B.kriteria &amp; R.kecocokan'!$B$41</f>
        <v>Rendah</v>
      </c>
      <c r="H266" s="5" t="str">
        <f>'[1]B.kriteria &amp; R.kecocokan'!$B$72</f>
        <v>Rendah</v>
      </c>
      <c r="I266" s="5" t="str">
        <f>'[1]B.kriteria &amp; R.kecocokan'!$B$95</f>
        <v>Rendah</v>
      </c>
      <c r="J266" s="10" t="str">
        <f>'[1]B.kriteria &amp; R.kecocokan'!$B$81</f>
        <v>Tinggi</v>
      </c>
      <c r="K266" s="10" t="str">
        <f>'[1]B.kriteria &amp; R.kecocokan'!$B$90</f>
        <v>Sangat Sedikit</v>
      </c>
      <c r="L266" s="5" t="str">
        <f>'[1]B.kriteria &amp; R.kecocokan'!$B$49</f>
        <v>Rendah</v>
      </c>
      <c r="M266" s="5" t="str">
        <f>'[1]B.kriteria &amp; R.kecocokan'!$B$57</f>
        <v>Rendah</v>
      </c>
      <c r="N266" s="6" t="str">
        <f>'[1]B.kriteria &amp; R.kecocokan'!$B$65</f>
        <v>Rendah</v>
      </c>
      <c r="O266" s="12" t="s">
        <v>36</v>
      </c>
      <c r="V266" t="e">
        <f t="shared" si="31"/>
        <v>#DIV/0!</v>
      </c>
    </row>
    <row r="267" spans="1:22" hidden="1" x14ac:dyDescent="0.35">
      <c r="A267" s="16">
        <v>50</v>
      </c>
      <c r="B267" s="8">
        <f>[1]Penghasilan!B242</f>
        <v>0</v>
      </c>
      <c r="C267" s="8" t="s">
        <v>108</v>
      </c>
      <c r="D267" s="9" t="s">
        <v>100</v>
      </c>
      <c r="E267" s="13" t="str">
        <f>'[1]B.kriteria &amp; R.kecocokan'!$B$25</f>
        <v>Sedikit</v>
      </c>
      <c r="F267" s="10" t="str">
        <f>'[1]B.kriteria &amp; R.kecocokan'!$B$34</f>
        <v>Tinggi</v>
      </c>
      <c r="G267" s="5" t="str">
        <f>'[1]B.kriteria &amp; R.kecocokan'!$B$41</f>
        <v>Rendah</v>
      </c>
      <c r="H267" s="5" t="str">
        <f>'[1]B.kriteria &amp; R.kecocokan'!$B$72</f>
        <v>Rendah</v>
      </c>
      <c r="I267" s="5" t="str">
        <f>'[1]B.kriteria &amp; R.kecocokan'!$B$95</f>
        <v>Rendah</v>
      </c>
      <c r="J267" s="5" t="str">
        <f>'[1]B.kriteria &amp; R.kecocokan'!$B$80</f>
        <v>Rendah</v>
      </c>
      <c r="K267" s="10" t="str">
        <f>'[1]B.kriteria &amp; R.kecocokan'!$B$88</f>
        <v>Sedang</v>
      </c>
      <c r="L267" s="10" t="str">
        <f>'[1]B.kriteria &amp; R.kecocokan'!$B$50</f>
        <v>Sedang</v>
      </c>
      <c r="M267" s="10" t="str">
        <f>'[1]B.kriteria &amp; R.kecocokan'!$B$59</f>
        <v>Tinggi</v>
      </c>
      <c r="N267" s="6" t="str">
        <f>'[1]B.kriteria &amp; R.kecocokan'!$B$65</f>
        <v>Rendah</v>
      </c>
      <c r="O267" s="12" t="s">
        <v>36</v>
      </c>
      <c r="V267" t="e">
        <f t="shared" si="31"/>
        <v>#DIV/0!</v>
      </c>
    </row>
    <row r="268" spans="1:22" hidden="1" x14ac:dyDescent="0.35">
      <c r="A268" s="15">
        <v>51</v>
      </c>
      <c r="B268" s="8">
        <f>[1]Penghasilan!B244</f>
        <v>0</v>
      </c>
      <c r="C268" s="8" t="s">
        <v>109</v>
      </c>
      <c r="D268" s="9" t="s">
        <v>100</v>
      </c>
      <c r="E268" s="13" t="str">
        <f>'[1]B.kriteria &amp; R.kecocokan'!$B$25</f>
        <v>Sedikit</v>
      </c>
      <c r="F268" s="10" t="str">
        <f>'[1]B.kriteria &amp; R.kecocokan'!$B$34</f>
        <v>Tinggi</v>
      </c>
      <c r="G268" s="5" t="str">
        <f>'[1]B.kriteria &amp; R.kecocokan'!$B$41</f>
        <v>Rendah</v>
      </c>
      <c r="H268" s="5" t="str">
        <f>'[1]B.kriteria &amp; R.kecocokan'!$B$72</f>
        <v>Rendah</v>
      </c>
      <c r="I268" s="5" t="str">
        <f>'[1]B.kriteria &amp; R.kecocokan'!$B$95</f>
        <v>Rendah</v>
      </c>
      <c r="J268" s="5" t="str">
        <f>'[1]B.kriteria &amp; R.kecocokan'!$B$80</f>
        <v>Rendah</v>
      </c>
      <c r="K268" s="10" t="str">
        <f>'[1]B.kriteria &amp; R.kecocokan'!$B$88</f>
        <v>Sedang</v>
      </c>
      <c r="L268" s="5" t="str">
        <f>'[1]B.kriteria &amp; R.kecocokan'!$B$49</f>
        <v>Rendah</v>
      </c>
      <c r="M268" s="10" t="str">
        <f>'[1]B.kriteria &amp; R.kecocokan'!$B$58</f>
        <v>Sedang</v>
      </c>
      <c r="N268" s="6" t="str">
        <f>'[1]B.kriteria &amp; R.kecocokan'!$B$65</f>
        <v>Rendah</v>
      </c>
      <c r="O268" s="12" t="s">
        <v>18</v>
      </c>
      <c r="V268" t="e">
        <f t="shared" si="31"/>
        <v>#DIV/0!</v>
      </c>
    </row>
    <row r="269" spans="1:22" hidden="1" x14ac:dyDescent="0.35">
      <c r="A269" s="15">
        <v>52</v>
      </c>
      <c r="B269" s="8">
        <f>[1]Penghasilan!B245</f>
        <v>0</v>
      </c>
      <c r="C269" s="8" t="s">
        <v>110</v>
      </c>
      <c r="D269" s="9" t="s">
        <v>100</v>
      </c>
      <c r="E269" s="13" t="str">
        <f>'[1]B.kriteria &amp; R.kecocokan'!$B$25</f>
        <v>Sedikit</v>
      </c>
      <c r="F269" s="10" t="str">
        <f>'[1]B.kriteria &amp; R.kecocokan'!$B$34</f>
        <v>Tinggi</v>
      </c>
      <c r="G269" s="5" t="str">
        <f>'[1]B.kriteria &amp; R.kecocokan'!$B$41</f>
        <v>Rendah</v>
      </c>
      <c r="H269" s="5" t="str">
        <f>'[1]B.kriteria &amp; R.kecocokan'!$B$72</f>
        <v>Rendah</v>
      </c>
      <c r="I269" s="5" t="str">
        <f>'[1]B.kriteria &amp; R.kecocokan'!$B$95</f>
        <v>Rendah</v>
      </c>
      <c r="J269" s="5" t="str">
        <f>'[1]B.kriteria &amp; R.kecocokan'!$B$80</f>
        <v>Rendah</v>
      </c>
      <c r="K269" s="5" t="str">
        <f>'[1]B.kriteria &amp; R.kecocokan'!$B$89</f>
        <v>Sedikit</v>
      </c>
      <c r="L269" s="5" t="str">
        <f>'[1]B.kriteria &amp; R.kecocokan'!$B$49</f>
        <v>Rendah</v>
      </c>
      <c r="M269" s="5" t="str">
        <f>'[1]B.kriteria &amp; R.kecocokan'!$B$57</f>
        <v>Rendah</v>
      </c>
      <c r="N269" s="6" t="str">
        <f>'[1]B.kriteria &amp; R.kecocokan'!$B$65</f>
        <v>Rendah</v>
      </c>
      <c r="O269" s="12" t="s">
        <v>18</v>
      </c>
      <c r="V269" t="e">
        <f t="shared" si="31"/>
        <v>#DIV/0!</v>
      </c>
    </row>
    <row r="270" spans="1:22" hidden="1" x14ac:dyDescent="0.35">
      <c r="A270" s="16">
        <v>53</v>
      </c>
      <c r="B270" s="8">
        <f>[1]Penghasilan!B247</f>
        <v>0</v>
      </c>
      <c r="C270" s="8" t="s">
        <v>111</v>
      </c>
      <c r="D270" s="9" t="s">
        <v>26</v>
      </c>
      <c r="E270" s="10" t="str">
        <f>'[1]B.kriteria &amp; R.kecocokan'!$B$23</f>
        <v>Banyak</v>
      </c>
      <c r="F270" s="10" t="str">
        <f>'[1]B.kriteria &amp; R.kecocokan'!$B$34</f>
        <v>Tinggi</v>
      </c>
      <c r="G270" s="5" t="str">
        <f>'[1]B.kriteria &amp; R.kecocokan'!$B$41</f>
        <v>Rendah</v>
      </c>
      <c r="H270" s="5" t="str">
        <f>'[1]B.kriteria &amp; R.kecocokan'!$B$72</f>
        <v>Rendah</v>
      </c>
      <c r="I270" s="5" t="str">
        <f>'[1]B.kriteria &amp; R.kecocokan'!$B$95</f>
        <v>Rendah</v>
      </c>
      <c r="J270" s="5" t="str">
        <f>'[1]B.kriteria &amp; R.kecocokan'!$B$80</f>
        <v>Rendah</v>
      </c>
      <c r="K270" s="10" t="str">
        <f>'[1]B.kriteria &amp; R.kecocokan'!$B$88</f>
        <v>Sedang</v>
      </c>
      <c r="L270" s="5" t="str">
        <f>'[1]B.kriteria &amp; R.kecocokan'!$B$49</f>
        <v>Rendah</v>
      </c>
      <c r="M270" s="5" t="str">
        <f>'[1]B.kriteria &amp; R.kecocokan'!$B$57</f>
        <v>Rendah</v>
      </c>
      <c r="N270" s="6" t="str">
        <f>'[1]B.kriteria &amp; R.kecocokan'!$B$65</f>
        <v>Rendah</v>
      </c>
      <c r="O270" s="12" t="s">
        <v>18</v>
      </c>
      <c r="V270" t="e">
        <f t="shared" si="31"/>
        <v>#DIV/0!</v>
      </c>
    </row>
    <row r="271" spans="1:22" hidden="1" x14ac:dyDescent="0.35">
      <c r="A271" s="15">
        <v>54</v>
      </c>
      <c r="B271" s="8">
        <f>[1]Penghasilan!B243</f>
        <v>0</v>
      </c>
      <c r="C271" s="8" t="s">
        <v>112</v>
      </c>
      <c r="D271" s="9" t="s">
        <v>100</v>
      </c>
      <c r="E271" s="10" t="str">
        <f>'[1]B.kriteria &amp; R.kecocokan'!$B$23</f>
        <v>Banyak</v>
      </c>
      <c r="F271" s="10" t="str">
        <f>'[1]B.kriteria &amp; R.kecocokan'!$B$34</f>
        <v>Tinggi</v>
      </c>
      <c r="G271" s="5" t="str">
        <f>'[1]B.kriteria &amp; R.kecocokan'!$B$41</f>
        <v>Rendah</v>
      </c>
      <c r="H271" s="5" t="str">
        <f>'[1]B.kriteria &amp; R.kecocokan'!$B$72</f>
        <v>Rendah</v>
      </c>
      <c r="I271" s="5" t="str">
        <f>'[1]B.kriteria &amp; R.kecocokan'!$B$95</f>
        <v>Rendah</v>
      </c>
      <c r="J271" s="5" t="str">
        <f>'[1]B.kriteria &amp; R.kecocokan'!$B$80</f>
        <v>Rendah</v>
      </c>
      <c r="K271" s="5" t="str">
        <f>'[1]B.kriteria &amp; R.kecocokan'!$B$89</f>
        <v>Sedikit</v>
      </c>
      <c r="L271" s="5" t="str">
        <f>'[1]B.kriteria &amp; R.kecocokan'!$B$49</f>
        <v>Rendah</v>
      </c>
      <c r="M271" s="5" t="str">
        <f>'[1]B.kriteria &amp; R.kecocokan'!$B$57</f>
        <v>Rendah</v>
      </c>
      <c r="N271" s="6" t="str">
        <f>'[1]B.kriteria &amp; R.kecocokan'!$B$65</f>
        <v>Rendah</v>
      </c>
      <c r="O271" s="12" t="s">
        <v>18</v>
      </c>
      <c r="V271" t="e">
        <f t="shared" si="31"/>
        <v>#DIV/0!</v>
      </c>
    </row>
    <row r="272" spans="1:22" hidden="1" x14ac:dyDescent="0.35">
      <c r="A272" s="15">
        <v>55</v>
      </c>
      <c r="B272" s="8">
        <f>[1]Penghasilan!B255</f>
        <v>0</v>
      </c>
      <c r="C272" s="8" t="s">
        <v>113</v>
      </c>
      <c r="D272" s="9" t="s">
        <v>100</v>
      </c>
      <c r="E272" s="13" t="str">
        <f>'[1]B.kriteria &amp; R.kecocokan'!$B$25</f>
        <v>Sedikit</v>
      </c>
      <c r="F272" s="10" t="str">
        <f>'[1]B.kriteria &amp; R.kecocokan'!$B$34</f>
        <v>Tinggi</v>
      </c>
      <c r="G272" s="10" t="str">
        <f>'[1]B.kriteria &amp; R.kecocokan'!$B$43</f>
        <v>Tinggi</v>
      </c>
      <c r="H272" s="5" t="str">
        <f>'[1]B.kriteria &amp; R.kecocokan'!$B$72</f>
        <v>Rendah</v>
      </c>
      <c r="I272" s="5" t="str">
        <f>'[1]B.kriteria &amp; R.kecocokan'!$B$95</f>
        <v>Rendah</v>
      </c>
      <c r="J272" s="5" t="str">
        <f>'[1]B.kriteria &amp; R.kecocokan'!$B$80</f>
        <v>Rendah</v>
      </c>
      <c r="K272" s="5" t="str">
        <f>'[1]B.kriteria &amp; R.kecocokan'!$B$89</f>
        <v>Sedikit</v>
      </c>
      <c r="L272" s="5" t="str">
        <f>'[1]B.kriteria &amp; R.kecocokan'!$B$49</f>
        <v>Rendah</v>
      </c>
      <c r="M272" s="5" t="str">
        <f>'[1]B.kriteria &amp; R.kecocokan'!$B$57</f>
        <v>Rendah</v>
      </c>
      <c r="N272" s="6" t="str">
        <f>'[1]B.kriteria &amp; R.kecocokan'!$B$65</f>
        <v>Rendah</v>
      </c>
      <c r="O272" s="12" t="s">
        <v>18</v>
      </c>
      <c r="V272" t="e">
        <f t="shared" si="31"/>
        <v>#DIV/0!</v>
      </c>
    </row>
    <row r="273" spans="1:22" hidden="1" x14ac:dyDescent="0.35">
      <c r="A273" s="16">
        <v>56</v>
      </c>
      <c r="B273" s="8">
        <f>[1]Penghasilan!B256</f>
        <v>0</v>
      </c>
      <c r="C273" s="8" t="s">
        <v>114</v>
      </c>
      <c r="D273" s="9" t="s">
        <v>26</v>
      </c>
      <c r="E273" s="10" t="str">
        <f>'[1]B.kriteria &amp; R.kecocokan'!$B$23</f>
        <v>Banyak</v>
      </c>
      <c r="F273" s="10" t="str">
        <f>'[1]B.kriteria &amp; R.kecocokan'!$B$34</f>
        <v>Tinggi</v>
      </c>
      <c r="G273" s="5" t="str">
        <f>'[1]B.kriteria &amp; R.kecocokan'!$B$41</f>
        <v>Rendah</v>
      </c>
      <c r="H273" s="5" t="str">
        <f>'[1]B.kriteria &amp; R.kecocokan'!$B$72</f>
        <v>Rendah</v>
      </c>
      <c r="I273" s="5" t="str">
        <f>'[1]B.kriteria &amp; R.kecocokan'!$B$95</f>
        <v>Rendah</v>
      </c>
      <c r="J273" s="10" t="str">
        <f>'[1]B.kriteria &amp; R.kecocokan'!$B$81</f>
        <v>Tinggi</v>
      </c>
      <c r="K273" s="10" t="str">
        <f>'[1]B.kriteria &amp; R.kecocokan'!$B$90</f>
        <v>Sangat Sedikit</v>
      </c>
      <c r="L273" s="5" t="str">
        <f>'[1]B.kriteria &amp; R.kecocokan'!$B$49</f>
        <v>Rendah</v>
      </c>
      <c r="M273" s="5" t="str">
        <f>'[1]B.kriteria &amp; R.kecocokan'!$B$57</f>
        <v>Rendah</v>
      </c>
      <c r="N273" s="6" t="str">
        <f>'[1]B.kriteria &amp; R.kecocokan'!$B$65</f>
        <v>Rendah</v>
      </c>
      <c r="O273" s="12" t="s">
        <v>18</v>
      </c>
      <c r="V273" t="e">
        <f t="shared" si="31"/>
        <v>#DIV/0!</v>
      </c>
    </row>
    <row r="274" spans="1:22" hidden="1" x14ac:dyDescent="0.35">
      <c r="A274" s="15">
        <v>57</v>
      </c>
      <c r="B274" s="8">
        <f>[1]Penghasilan!B257</f>
        <v>0</v>
      </c>
      <c r="C274" s="8" t="s">
        <v>115</v>
      </c>
      <c r="D274" s="9" t="s">
        <v>100</v>
      </c>
      <c r="E274" s="10" t="str">
        <f>'[1]B.kriteria &amp; R.kecocokan'!$B$23</f>
        <v>Banyak</v>
      </c>
      <c r="F274" s="10" t="str">
        <f>'[1]B.kriteria &amp; R.kecocokan'!$B$34</f>
        <v>Tinggi</v>
      </c>
      <c r="G274" s="5" t="str">
        <f>'[1]B.kriteria &amp; R.kecocokan'!$B$41</f>
        <v>Rendah</v>
      </c>
      <c r="H274" s="5" t="str">
        <f>'[1]B.kriteria &amp; R.kecocokan'!$B$72</f>
        <v>Rendah</v>
      </c>
      <c r="I274" s="5" t="str">
        <f>'[1]B.kriteria &amp; R.kecocokan'!$B$95</f>
        <v>Rendah</v>
      </c>
      <c r="J274" s="5" t="str">
        <f>'[1]B.kriteria &amp; R.kecocokan'!$B$80</f>
        <v>Rendah</v>
      </c>
      <c r="K274" s="10" t="str">
        <f>'[1]B.kriteria &amp; R.kecocokan'!$B$88</f>
        <v>Sedang</v>
      </c>
      <c r="L274" s="5" t="str">
        <f>'[1]B.kriteria &amp; R.kecocokan'!$B$49</f>
        <v>Rendah</v>
      </c>
      <c r="M274" s="5" t="str">
        <f>'[1]B.kriteria &amp; R.kecocokan'!$B$57</f>
        <v>Rendah</v>
      </c>
      <c r="N274" s="6" t="str">
        <f>'[1]B.kriteria &amp; R.kecocokan'!$B$65</f>
        <v>Rendah</v>
      </c>
      <c r="O274" s="12" t="s">
        <v>18</v>
      </c>
      <c r="V274" t="e">
        <f t="shared" si="31"/>
        <v>#DIV/0!</v>
      </c>
    </row>
    <row r="275" spans="1:22" hidden="1" x14ac:dyDescent="0.35">
      <c r="A275" s="15">
        <v>58</v>
      </c>
      <c r="B275" s="8">
        <f>[1]Penghasilan!B258</f>
        <v>0</v>
      </c>
      <c r="C275" s="8" t="s">
        <v>116</v>
      </c>
      <c r="D275" s="9" t="s">
        <v>100</v>
      </c>
      <c r="E275" s="13" t="str">
        <f>'[1]B.kriteria &amp; R.kecocokan'!$B$25</f>
        <v>Sedikit</v>
      </c>
      <c r="F275" s="10" t="str">
        <f>'[1]B.kriteria &amp; R.kecocokan'!$B$34</f>
        <v>Tinggi</v>
      </c>
      <c r="G275" s="5" t="str">
        <f>'[1]B.kriteria &amp; R.kecocokan'!$B$41</f>
        <v>Rendah</v>
      </c>
      <c r="H275" s="5" t="str">
        <f>'[1]B.kriteria &amp; R.kecocokan'!$B$72</f>
        <v>Rendah</v>
      </c>
      <c r="I275" s="5" t="str">
        <f>'[1]B.kriteria &amp; R.kecocokan'!$B$95</f>
        <v>Rendah</v>
      </c>
      <c r="J275" s="5" t="str">
        <f>'[1]B.kriteria &amp; R.kecocokan'!$B$80</f>
        <v>Rendah</v>
      </c>
      <c r="K275" s="10" t="str">
        <f>'[1]B.kriteria &amp; R.kecocokan'!$B$88</f>
        <v>Sedang</v>
      </c>
      <c r="L275" s="5" t="str">
        <f>'[1]B.kriteria &amp; R.kecocokan'!$B$49</f>
        <v>Rendah</v>
      </c>
      <c r="M275" s="5" t="str">
        <f>'[1]B.kriteria &amp; R.kecocokan'!$B$57</f>
        <v>Rendah</v>
      </c>
      <c r="N275" s="6" t="str">
        <f>'[1]B.kriteria &amp; R.kecocokan'!$B$65</f>
        <v>Rendah</v>
      </c>
      <c r="O275" s="12" t="s">
        <v>18</v>
      </c>
      <c r="V275" t="e">
        <f t="shared" si="31"/>
        <v>#DIV/0!</v>
      </c>
    </row>
    <row r="276" spans="1:22" hidden="1" x14ac:dyDescent="0.35">
      <c r="A276" s="16">
        <v>59</v>
      </c>
      <c r="B276" s="8">
        <f>[1]Penghasilan!B259</f>
        <v>0</v>
      </c>
      <c r="C276" s="8" t="s">
        <v>117</v>
      </c>
      <c r="D276" s="9" t="s">
        <v>100</v>
      </c>
      <c r="E276" s="10" t="str">
        <f>'[1]B.kriteria &amp; R.kecocokan'!$B$23</f>
        <v>Banyak</v>
      </c>
      <c r="F276" s="10" t="str">
        <f>'[1]B.kriteria &amp; R.kecocokan'!$B$34</f>
        <v>Tinggi</v>
      </c>
      <c r="G276" s="5" t="str">
        <f>'[1]B.kriteria &amp; R.kecocokan'!$B$41</f>
        <v>Rendah</v>
      </c>
      <c r="H276" s="5" t="str">
        <f>'[1]B.kriteria &amp; R.kecocokan'!$B$72</f>
        <v>Rendah</v>
      </c>
      <c r="I276" s="5" t="str">
        <f>'[1]B.kriteria &amp; R.kecocokan'!$B$95</f>
        <v>Rendah</v>
      </c>
      <c r="J276" s="5" t="str">
        <f>'[1]B.kriteria &amp; R.kecocokan'!$B$80</f>
        <v>Rendah</v>
      </c>
      <c r="K276" s="10" t="str">
        <f>'[1]B.kriteria &amp; R.kecocokan'!$B$90</f>
        <v>Sangat Sedikit</v>
      </c>
      <c r="L276" s="5" t="str">
        <f>'[1]B.kriteria &amp; R.kecocokan'!$B$49</f>
        <v>Rendah</v>
      </c>
      <c r="M276" s="5" t="str">
        <f>'[1]B.kriteria &amp; R.kecocokan'!$B$57</f>
        <v>Rendah</v>
      </c>
      <c r="N276" s="6" t="str">
        <f>'[1]B.kriteria &amp; R.kecocokan'!$B$65</f>
        <v>Rendah</v>
      </c>
      <c r="O276" s="12" t="s">
        <v>18</v>
      </c>
      <c r="V276" t="e">
        <f t="shared" si="31"/>
        <v>#DIV/0!</v>
      </c>
    </row>
    <row r="277" spans="1:22" hidden="1" x14ac:dyDescent="0.35">
      <c r="A277" s="15">
        <v>60</v>
      </c>
      <c r="B277" s="8">
        <f>[1]Penghasilan!B260</f>
        <v>0</v>
      </c>
      <c r="C277" s="8" t="s">
        <v>118</v>
      </c>
      <c r="D277" s="9" t="s">
        <v>26</v>
      </c>
      <c r="E277" s="13" t="str">
        <f>'[1]B.kriteria &amp; R.kecocokan'!$B$25</f>
        <v>Sedikit</v>
      </c>
      <c r="F277" s="10" t="str">
        <f>'[1]B.kriteria &amp; R.kecocokan'!$B$34</f>
        <v>Tinggi</v>
      </c>
      <c r="G277" s="5" t="str">
        <f>'[1]B.kriteria &amp; R.kecocokan'!$B$41</f>
        <v>Rendah</v>
      </c>
      <c r="H277" s="5" t="str">
        <f>'[1]B.kriteria &amp; R.kecocokan'!$B$72</f>
        <v>Rendah</v>
      </c>
      <c r="I277" s="5" t="str">
        <f>'[1]B.kriteria &amp; R.kecocokan'!$B$95</f>
        <v>Rendah</v>
      </c>
      <c r="J277" s="10" t="str">
        <f>'[1]B.kriteria &amp; R.kecocokan'!$B$81</f>
        <v>Tinggi</v>
      </c>
      <c r="K277" s="10" t="str">
        <f>'[1]B.kriteria &amp; R.kecocokan'!$B$90</f>
        <v>Sangat Sedikit</v>
      </c>
      <c r="L277" s="5" t="str">
        <f>'[1]B.kriteria &amp; R.kecocokan'!$B$49</f>
        <v>Rendah</v>
      </c>
      <c r="M277" s="5" t="str">
        <f>'[1]B.kriteria &amp; R.kecocokan'!$B$57</f>
        <v>Rendah</v>
      </c>
      <c r="N277" s="6" t="str">
        <f>'[1]B.kriteria &amp; R.kecocokan'!$B$65</f>
        <v>Rendah</v>
      </c>
      <c r="O277" s="12" t="s">
        <v>18</v>
      </c>
      <c r="V277" t="e">
        <f t="shared" si="31"/>
        <v>#DIV/0!</v>
      </c>
    </row>
    <row r="278" spans="1:22" hidden="1" x14ac:dyDescent="0.35">
      <c r="A278" s="15">
        <v>61</v>
      </c>
      <c r="B278" s="8">
        <f>[1]Penghasilan!B220</f>
        <v>0</v>
      </c>
      <c r="C278" s="8" t="s">
        <v>119</v>
      </c>
      <c r="D278" s="9" t="s">
        <v>26</v>
      </c>
      <c r="E278" s="13" t="str">
        <f>'[1]B.kriteria &amp; R.kecocokan'!$B$25</f>
        <v>Sedikit</v>
      </c>
      <c r="F278" s="10" t="str">
        <f>'[1]B.kriteria &amp; R.kecocokan'!$B$34</f>
        <v>Tinggi</v>
      </c>
      <c r="G278" s="5" t="str">
        <f>'[1]B.kriteria &amp; R.kecocokan'!$B$41</f>
        <v>Rendah</v>
      </c>
      <c r="H278" s="5" t="str">
        <f>'[1]B.kriteria &amp; R.kecocokan'!$B$72</f>
        <v>Rendah</v>
      </c>
      <c r="I278" s="5" t="str">
        <f>'[1]B.kriteria &amp; R.kecocokan'!$B$95</f>
        <v>Rendah</v>
      </c>
      <c r="J278" s="5" t="str">
        <f>'[1]B.kriteria &amp; R.kecocokan'!$B$80</f>
        <v>Rendah</v>
      </c>
      <c r="K278" s="5" t="str">
        <f>'[1]B.kriteria &amp; R.kecocokan'!$B$89</f>
        <v>Sedikit</v>
      </c>
      <c r="L278" s="5" t="str">
        <f>'[1]B.kriteria &amp; R.kecocokan'!$B$49</f>
        <v>Rendah</v>
      </c>
      <c r="M278" s="5" t="str">
        <f>'[1]B.kriteria &amp; R.kecocokan'!$B$57</f>
        <v>Rendah</v>
      </c>
      <c r="N278" s="6" t="str">
        <f>'[1]B.kriteria &amp; R.kecocokan'!$B$65</f>
        <v>Rendah</v>
      </c>
      <c r="O278" s="12" t="s">
        <v>18</v>
      </c>
      <c r="V278" t="e">
        <f t="shared" si="31"/>
        <v>#DIV/0!</v>
      </c>
    </row>
    <row r="279" spans="1:22" hidden="1" x14ac:dyDescent="0.35">
      <c r="A279" s="16">
        <v>62</v>
      </c>
      <c r="B279" s="8">
        <f>[1]Penghasilan!B261</f>
        <v>0</v>
      </c>
      <c r="C279" s="8" t="s">
        <v>120</v>
      </c>
      <c r="D279" s="9" t="s">
        <v>26</v>
      </c>
      <c r="E279" s="13" t="str">
        <f>'[1]B.kriteria &amp; R.kecocokan'!$B$25</f>
        <v>Sedikit</v>
      </c>
      <c r="F279" s="10" t="str">
        <f>'[1]B.kriteria &amp; R.kecocokan'!$B$34</f>
        <v>Tinggi</v>
      </c>
      <c r="G279" s="5" t="str">
        <f>'[1]B.kriteria &amp; R.kecocokan'!$B$41</f>
        <v>Rendah</v>
      </c>
      <c r="H279" s="5" t="str">
        <f>'[1]B.kriteria &amp; R.kecocokan'!$B$72</f>
        <v>Rendah</v>
      </c>
      <c r="I279" s="5" t="str">
        <f>'[1]B.kriteria &amp; R.kecocokan'!$B$95</f>
        <v>Rendah</v>
      </c>
      <c r="J279" s="10" t="str">
        <f>'[1]B.kriteria &amp; R.kecocokan'!$B$81</f>
        <v>Tinggi</v>
      </c>
      <c r="K279" s="10" t="str">
        <f>'[1]B.kriteria &amp; R.kecocokan'!$B$90</f>
        <v>Sangat Sedikit</v>
      </c>
      <c r="L279" s="5" t="str">
        <f>'[1]B.kriteria &amp; R.kecocokan'!$B$49</f>
        <v>Rendah</v>
      </c>
      <c r="M279" s="5" t="str">
        <f>'[1]B.kriteria &amp; R.kecocokan'!$B$57</f>
        <v>Rendah</v>
      </c>
      <c r="N279" s="6" t="str">
        <f>'[1]B.kriteria &amp; R.kecocokan'!$B$65</f>
        <v>Rendah</v>
      </c>
      <c r="O279" s="12" t="s">
        <v>36</v>
      </c>
      <c r="V279" t="e">
        <f t="shared" si="31"/>
        <v>#DIV/0!</v>
      </c>
    </row>
    <row r="280" spans="1:22" hidden="1" x14ac:dyDescent="0.35">
      <c r="A280" s="15">
        <v>63</v>
      </c>
      <c r="B280" s="8">
        <f>[1]Penghasilan!B264</f>
        <v>0</v>
      </c>
      <c r="C280" s="8" t="s">
        <v>121</v>
      </c>
      <c r="D280" s="9" t="s">
        <v>26</v>
      </c>
      <c r="E280" s="10" t="str">
        <f>'[1]B.kriteria &amp; R.kecocokan'!$B$23</f>
        <v>Banyak</v>
      </c>
      <c r="F280" s="10" t="str">
        <f>'[1]B.kriteria &amp; R.kecocokan'!$B$34</f>
        <v>Tinggi</v>
      </c>
      <c r="G280" s="5" t="str">
        <f>'[1]B.kriteria &amp; R.kecocokan'!$B$41</f>
        <v>Rendah</v>
      </c>
      <c r="H280" s="5" t="str">
        <f>'[1]B.kriteria &amp; R.kecocokan'!$B$72</f>
        <v>Rendah</v>
      </c>
      <c r="I280" s="5" t="str">
        <f>'[1]B.kriteria &amp; R.kecocokan'!$B$95</f>
        <v>Rendah</v>
      </c>
      <c r="J280" s="10" t="str">
        <f>'[1]B.kriteria &amp; R.kecocokan'!$B$81</f>
        <v>Tinggi</v>
      </c>
      <c r="K280" s="10" t="str">
        <f>'[1]B.kriteria &amp; R.kecocokan'!$B$90</f>
        <v>Sangat Sedikit</v>
      </c>
      <c r="L280" s="5" t="str">
        <f>'[1]B.kriteria &amp; R.kecocokan'!$B$49</f>
        <v>Rendah</v>
      </c>
      <c r="M280" s="5" t="str">
        <f>'[1]B.kriteria &amp; R.kecocokan'!$B$57</f>
        <v>Rendah</v>
      </c>
      <c r="N280" s="6" t="str">
        <f>'[1]B.kriteria &amp; R.kecocokan'!$B$65</f>
        <v>Rendah</v>
      </c>
      <c r="O280" s="12" t="s">
        <v>18</v>
      </c>
      <c r="V280" t="e">
        <f t="shared" si="31"/>
        <v>#DIV/0!</v>
      </c>
    </row>
    <row r="281" spans="1:22" hidden="1" x14ac:dyDescent="0.35">
      <c r="A281" s="15">
        <v>64</v>
      </c>
      <c r="B281" s="8">
        <f>[1]Penghasilan!B262</f>
        <v>0</v>
      </c>
      <c r="C281" s="8" t="s">
        <v>122</v>
      </c>
      <c r="D281" s="9" t="s">
        <v>123</v>
      </c>
      <c r="E281" s="13" t="str">
        <f>'[1]B.kriteria &amp; R.kecocokan'!$B$25</f>
        <v>Sedikit</v>
      </c>
      <c r="F281" s="10" t="str">
        <f>'[1]B.kriteria &amp; R.kecocokan'!$B$34</f>
        <v>Tinggi</v>
      </c>
      <c r="G281" s="5" t="str">
        <f>'[1]B.kriteria &amp; R.kecocokan'!$B$41</f>
        <v>Rendah</v>
      </c>
      <c r="H281" s="5" t="str">
        <f>'[1]B.kriteria &amp; R.kecocokan'!$B$72</f>
        <v>Rendah</v>
      </c>
      <c r="I281" s="5" t="str">
        <f>'[1]B.kriteria &amp; R.kecocokan'!$B$95</f>
        <v>Rendah</v>
      </c>
      <c r="J281" s="10" t="str">
        <f>'[1]B.kriteria &amp; R.kecocokan'!$B$81</f>
        <v>Tinggi</v>
      </c>
      <c r="K281" s="10" t="str">
        <f>'[1]B.kriteria &amp; R.kecocokan'!$B$90</f>
        <v>Sangat Sedikit</v>
      </c>
      <c r="L281" s="5" t="str">
        <f>'[1]B.kriteria &amp; R.kecocokan'!$B$49</f>
        <v>Rendah</v>
      </c>
      <c r="M281" s="5" t="str">
        <f>'[1]B.kriteria &amp; R.kecocokan'!$B$57</f>
        <v>Rendah</v>
      </c>
      <c r="N281" s="6" t="str">
        <f>'[1]B.kriteria &amp; R.kecocokan'!$B$65</f>
        <v>Rendah</v>
      </c>
      <c r="O281" s="12" t="s">
        <v>18</v>
      </c>
      <c r="V281" t="e">
        <f t="shared" si="31"/>
        <v>#DIV/0!</v>
      </c>
    </row>
    <row r="282" spans="1:22" hidden="1" x14ac:dyDescent="0.35">
      <c r="A282" s="16">
        <v>65</v>
      </c>
      <c r="B282" s="8">
        <f>[1]Penghasilan!B263</f>
        <v>0</v>
      </c>
      <c r="C282" s="8" t="s">
        <v>124</v>
      </c>
      <c r="D282" s="9" t="s">
        <v>26</v>
      </c>
      <c r="E282" s="10" t="str">
        <f>'[1]B.kriteria &amp; R.kecocokan'!$B$23</f>
        <v>Banyak</v>
      </c>
      <c r="F282" s="10" t="str">
        <f>'[1]B.kriteria &amp; R.kecocokan'!$B$34</f>
        <v>Tinggi</v>
      </c>
      <c r="G282" s="5" t="str">
        <f>'[1]B.kriteria &amp; R.kecocokan'!$B$41</f>
        <v>Rendah</v>
      </c>
      <c r="H282" s="5" t="str">
        <f>'[1]B.kriteria &amp; R.kecocokan'!$B$72</f>
        <v>Rendah</v>
      </c>
      <c r="I282" s="5" t="str">
        <f>'[1]B.kriteria &amp; R.kecocokan'!$B$95</f>
        <v>Rendah</v>
      </c>
      <c r="J282" s="5" t="str">
        <f>'[1]B.kriteria &amp; R.kecocokan'!$B$80</f>
        <v>Rendah</v>
      </c>
      <c r="K282" s="5" t="str">
        <f>'[1]B.kriteria &amp; R.kecocokan'!$B$89</f>
        <v>Sedikit</v>
      </c>
      <c r="L282" s="5" t="str">
        <f>'[1]B.kriteria &amp; R.kecocokan'!$B$49</f>
        <v>Rendah</v>
      </c>
      <c r="M282" s="5" t="str">
        <f>'[1]B.kriteria &amp; R.kecocokan'!$B$57</f>
        <v>Rendah</v>
      </c>
      <c r="N282" s="6" t="str">
        <f>'[1]B.kriteria &amp; R.kecocokan'!$B$65</f>
        <v>Rendah</v>
      </c>
      <c r="O282" s="12" t="s">
        <v>18</v>
      </c>
      <c r="V282" t="e">
        <f t="shared" si="31"/>
        <v>#DIV/0!</v>
      </c>
    </row>
    <row r="283" spans="1:22" hidden="1" x14ac:dyDescent="0.35">
      <c r="A283" s="15">
        <v>66</v>
      </c>
      <c r="B283" s="8">
        <f>[1]Penghasilan!B265</f>
        <v>0</v>
      </c>
      <c r="C283" s="8" t="s">
        <v>125</v>
      </c>
      <c r="D283" s="9" t="s">
        <v>26</v>
      </c>
      <c r="E283" s="10" t="str">
        <f>'[1]B.kriteria &amp; R.kecocokan'!$B$23</f>
        <v>Banyak</v>
      </c>
      <c r="F283" s="10" t="str">
        <f>'[1]B.kriteria &amp; R.kecocokan'!$B$34</f>
        <v>Tinggi</v>
      </c>
      <c r="G283" s="5" t="str">
        <f>'[1]B.kriteria &amp; R.kecocokan'!$B$41</f>
        <v>Rendah</v>
      </c>
      <c r="H283" s="5" t="str">
        <f>'[1]B.kriteria &amp; R.kecocokan'!$B$72</f>
        <v>Rendah</v>
      </c>
      <c r="I283" s="5" t="str">
        <f>'[1]B.kriteria &amp; R.kecocokan'!$B$95</f>
        <v>Rendah</v>
      </c>
      <c r="J283" s="5" t="str">
        <f>'[1]B.kriteria &amp; R.kecocokan'!$B$80</f>
        <v>Rendah</v>
      </c>
      <c r="K283" s="5" t="str">
        <f>'[1]B.kriteria &amp; R.kecocokan'!$B$89</f>
        <v>Sedikit</v>
      </c>
      <c r="L283" s="5" t="str">
        <f>'[1]B.kriteria &amp; R.kecocokan'!$B$49</f>
        <v>Rendah</v>
      </c>
      <c r="M283" s="5" t="str">
        <f>'[1]B.kriteria &amp; R.kecocokan'!$B$57</f>
        <v>Rendah</v>
      </c>
      <c r="N283" s="6" t="str">
        <f>'[1]B.kriteria &amp; R.kecocokan'!$B$65</f>
        <v>Rendah</v>
      </c>
      <c r="O283" s="12" t="s">
        <v>18</v>
      </c>
      <c r="V283" t="e">
        <f t="shared" si="31"/>
        <v>#DIV/0!</v>
      </c>
    </row>
    <row r="284" spans="1:22" hidden="1" x14ac:dyDescent="0.35">
      <c r="A284" s="15">
        <v>67</v>
      </c>
      <c r="B284" s="8">
        <f>[1]Penghasilan!B266</f>
        <v>0</v>
      </c>
      <c r="C284" s="8" t="s">
        <v>126</v>
      </c>
      <c r="D284" s="9" t="s">
        <v>26</v>
      </c>
      <c r="E284" s="4" t="str">
        <f>'[1]B.kriteria &amp; R.kecocokan'!$B$24</f>
        <v>Cukup</v>
      </c>
      <c r="F284" s="10" t="str">
        <f>'[1]B.kriteria &amp; R.kecocokan'!$B$34</f>
        <v>Tinggi</v>
      </c>
      <c r="G284" s="5" t="str">
        <f>'[1]B.kriteria &amp; R.kecocokan'!$B$41</f>
        <v>Rendah</v>
      </c>
      <c r="H284" s="5" t="str">
        <f>'[1]B.kriteria &amp; R.kecocokan'!$B$72</f>
        <v>Rendah</v>
      </c>
      <c r="I284" s="5" t="str">
        <f>'[1]B.kriteria &amp; R.kecocokan'!$B$95</f>
        <v>Rendah</v>
      </c>
      <c r="J284" s="5" t="str">
        <f>'[1]B.kriteria &amp; R.kecocokan'!$B$80</f>
        <v>Rendah</v>
      </c>
      <c r="K284" s="5" t="str">
        <f>'[1]B.kriteria &amp; R.kecocokan'!$B$89</f>
        <v>Sedikit</v>
      </c>
      <c r="L284" s="5" t="str">
        <f>'[1]B.kriteria &amp; R.kecocokan'!$B$49</f>
        <v>Rendah</v>
      </c>
      <c r="M284" s="5" t="str">
        <f>'[1]B.kriteria &amp; R.kecocokan'!$B$57</f>
        <v>Rendah</v>
      </c>
      <c r="N284" s="6" t="str">
        <f>'[1]B.kriteria &amp; R.kecocokan'!$B$65</f>
        <v>Rendah</v>
      </c>
      <c r="O284" s="12" t="s">
        <v>18</v>
      </c>
      <c r="V284" t="e">
        <f t="shared" si="31"/>
        <v>#DIV/0!</v>
      </c>
    </row>
    <row r="285" spans="1:22" hidden="1" x14ac:dyDescent="0.35">
      <c r="A285" s="16">
        <v>68</v>
      </c>
      <c r="B285" s="8">
        <f>[1]Penghasilan!B267</f>
        <v>0</v>
      </c>
      <c r="C285" s="8" t="s">
        <v>127</v>
      </c>
      <c r="D285" s="9" t="s">
        <v>100</v>
      </c>
      <c r="E285" s="4" t="str">
        <f>'[1]B.kriteria &amp; R.kecocokan'!$B$24</f>
        <v>Cukup</v>
      </c>
      <c r="F285" s="10" t="str">
        <f>'[1]B.kriteria &amp; R.kecocokan'!$B$34</f>
        <v>Tinggi</v>
      </c>
      <c r="G285" s="5" t="str">
        <f>'[1]B.kriteria &amp; R.kecocokan'!$B$41</f>
        <v>Rendah</v>
      </c>
      <c r="H285" s="5" t="str">
        <f>'[1]B.kriteria &amp; R.kecocokan'!$B$72</f>
        <v>Rendah</v>
      </c>
      <c r="I285" s="5" t="str">
        <f>'[1]B.kriteria &amp; R.kecocokan'!$B$95</f>
        <v>Rendah</v>
      </c>
      <c r="J285" s="5" t="str">
        <f>'[1]B.kriteria &amp; R.kecocokan'!$B$80</f>
        <v>Rendah</v>
      </c>
      <c r="K285" s="5" t="str">
        <f>'[1]B.kriteria &amp; R.kecocokan'!$B$89</f>
        <v>Sedikit</v>
      </c>
      <c r="L285" s="5" t="str">
        <f>'[1]B.kriteria &amp; R.kecocokan'!$B$49</f>
        <v>Rendah</v>
      </c>
      <c r="M285" s="5" t="str">
        <f>'[1]B.kriteria &amp; R.kecocokan'!$B$57</f>
        <v>Rendah</v>
      </c>
      <c r="N285" s="6" t="str">
        <f>'[1]B.kriteria &amp; R.kecocokan'!$B$65</f>
        <v>Rendah</v>
      </c>
      <c r="O285" s="12" t="s">
        <v>18</v>
      </c>
      <c r="V285" t="e">
        <f t="shared" si="31"/>
        <v>#DIV/0!</v>
      </c>
    </row>
    <row r="286" spans="1:22" hidden="1" x14ac:dyDescent="0.35">
      <c r="A286" s="15">
        <v>69</v>
      </c>
      <c r="B286" s="8">
        <f>[1]Penghasilan!B269</f>
        <v>0</v>
      </c>
      <c r="C286" s="8" t="s">
        <v>128</v>
      </c>
      <c r="D286" s="9" t="s">
        <v>129</v>
      </c>
      <c r="E286" s="13" t="str">
        <f>'[1]B.kriteria &amp; R.kecocokan'!$B$25</f>
        <v>Sedikit</v>
      </c>
      <c r="F286" s="10" t="str">
        <f>'[1]B.kriteria &amp; R.kecocokan'!$B$34</f>
        <v>Tinggi</v>
      </c>
      <c r="G286" s="5" t="str">
        <f>'[1]B.kriteria &amp; R.kecocokan'!$B$41</f>
        <v>Rendah</v>
      </c>
      <c r="H286" s="5" t="str">
        <f>'[1]B.kriteria &amp; R.kecocokan'!$B$72</f>
        <v>Rendah</v>
      </c>
      <c r="I286" s="5" t="str">
        <f>'[1]B.kriteria &amp; R.kecocokan'!$B$95</f>
        <v>Rendah</v>
      </c>
      <c r="J286" s="10" t="str">
        <f>'[1]B.kriteria &amp; R.kecocokan'!$B$81</f>
        <v>Tinggi</v>
      </c>
      <c r="K286" s="10" t="str">
        <f>'[1]B.kriteria &amp; R.kecocokan'!$B$90</f>
        <v>Sangat Sedikit</v>
      </c>
      <c r="L286" s="5" t="str">
        <f>'[1]B.kriteria &amp; R.kecocokan'!$B$49</f>
        <v>Rendah</v>
      </c>
      <c r="M286" s="5" t="str">
        <f>'[1]B.kriteria &amp; R.kecocokan'!$B$57</f>
        <v>Rendah</v>
      </c>
      <c r="N286" s="6" t="str">
        <f>'[1]B.kriteria &amp; R.kecocokan'!$B$65</f>
        <v>Rendah</v>
      </c>
      <c r="O286" s="12" t="s">
        <v>18</v>
      </c>
      <c r="V286" t="e">
        <f t="shared" si="31"/>
        <v>#DIV/0!</v>
      </c>
    </row>
    <row r="287" spans="1:22" hidden="1" x14ac:dyDescent="0.35">
      <c r="A287" s="15">
        <v>70</v>
      </c>
      <c r="B287" s="8">
        <f>[1]Penghasilan!B268</f>
        <v>0</v>
      </c>
      <c r="C287" s="8" t="s">
        <v>130</v>
      </c>
      <c r="D287" s="9" t="s">
        <v>26</v>
      </c>
      <c r="E287" s="10" t="str">
        <f>'[1]B.kriteria &amp; R.kecocokan'!$B$23</f>
        <v>Banyak</v>
      </c>
      <c r="F287" s="10" t="str">
        <f>'[1]B.kriteria &amp; R.kecocokan'!$B$34</f>
        <v>Tinggi</v>
      </c>
      <c r="G287" s="5" t="str">
        <f>'[1]B.kriteria &amp; R.kecocokan'!$B$41</f>
        <v>Rendah</v>
      </c>
      <c r="H287" s="5" t="str">
        <f>'[1]B.kriteria &amp; R.kecocokan'!$B$72</f>
        <v>Rendah</v>
      </c>
      <c r="I287" s="5" t="str">
        <f>'[1]B.kriteria &amp; R.kecocokan'!$B$95</f>
        <v>Rendah</v>
      </c>
      <c r="J287" s="5" t="str">
        <f>'[1]B.kriteria &amp; R.kecocokan'!$B$80</f>
        <v>Rendah</v>
      </c>
      <c r="K287" s="10" t="str">
        <f>'[1]B.kriteria &amp; R.kecocokan'!$B$88</f>
        <v>Sedang</v>
      </c>
      <c r="L287" s="5" t="str">
        <f>'[1]B.kriteria &amp; R.kecocokan'!$B$49</f>
        <v>Rendah</v>
      </c>
      <c r="M287" s="5" t="str">
        <f>'[1]B.kriteria &amp; R.kecocokan'!$B$57</f>
        <v>Rendah</v>
      </c>
      <c r="N287" s="6" t="str">
        <f>'[1]B.kriteria &amp; R.kecocokan'!$B$65</f>
        <v>Rendah</v>
      </c>
      <c r="O287" s="12" t="s">
        <v>18</v>
      </c>
      <c r="V287" t="e">
        <f t="shared" si="31"/>
        <v>#DIV/0!</v>
      </c>
    </row>
    <row r="288" spans="1:22" hidden="1" x14ac:dyDescent="0.35">
      <c r="A288" s="16">
        <v>71</v>
      </c>
      <c r="B288" s="8">
        <f>[1]Penghasilan!B270</f>
        <v>0</v>
      </c>
      <c r="C288" s="8" t="s">
        <v>131</v>
      </c>
      <c r="D288" s="9" t="s">
        <v>26</v>
      </c>
      <c r="E288" s="10" t="str">
        <f>'[1]B.kriteria &amp; R.kecocokan'!$B$23</f>
        <v>Banyak</v>
      </c>
      <c r="F288" s="10" t="str">
        <f>'[1]B.kriteria &amp; R.kecocokan'!$B$34</f>
        <v>Tinggi</v>
      </c>
      <c r="G288" s="5" t="str">
        <f>'[1]B.kriteria &amp; R.kecocokan'!$B$41</f>
        <v>Rendah</v>
      </c>
      <c r="H288" s="5" t="str">
        <f>'[1]B.kriteria &amp; R.kecocokan'!$B$72</f>
        <v>Rendah</v>
      </c>
      <c r="I288" s="5" t="str">
        <f>'[1]B.kriteria &amp; R.kecocokan'!$B$95</f>
        <v>Rendah</v>
      </c>
      <c r="J288" s="5" t="str">
        <f>'[1]B.kriteria &amp; R.kecocokan'!$B$80</f>
        <v>Rendah</v>
      </c>
      <c r="K288" s="10" t="str">
        <f>'[1]B.kriteria &amp; R.kecocokan'!$B$88</f>
        <v>Sedang</v>
      </c>
      <c r="L288" s="5" t="str">
        <f>'[1]B.kriteria &amp; R.kecocokan'!$B$49</f>
        <v>Rendah</v>
      </c>
      <c r="M288" s="5" t="str">
        <f>'[1]B.kriteria &amp; R.kecocokan'!$B$57</f>
        <v>Rendah</v>
      </c>
      <c r="N288" s="6" t="str">
        <f>'[1]B.kriteria &amp; R.kecocokan'!$B$65</f>
        <v>Rendah</v>
      </c>
      <c r="O288" s="12" t="s">
        <v>18</v>
      </c>
      <c r="V288" t="e">
        <f t="shared" si="31"/>
        <v>#DIV/0!</v>
      </c>
    </row>
    <row r="289" spans="1:22" hidden="1" x14ac:dyDescent="0.35">
      <c r="A289" s="15">
        <v>72</v>
      </c>
      <c r="B289" s="8">
        <f>[1]Penghasilan!B271</f>
        <v>0</v>
      </c>
      <c r="C289" s="8" t="s">
        <v>132</v>
      </c>
      <c r="D289" s="9" t="s">
        <v>26</v>
      </c>
      <c r="E289" s="10" t="str">
        <f>'[1]B.kriteria &amp; R.kecocokan'!$B$23</f>
        <v>Banyak</v>
      </c>
      <c r="F289" s="10" t="str">
        <f>'[1]B.kriteria &amp; R.kecocokan'!$B$34</f>
        <v>Tinggi</v>
      </c>
      <c r="G289" s="5" t="str">
        <f>'[1]B.kriteria &amp; R.kecocokan'!$B$41</f>
        <v>Rendah</v>
      </c>
      <c r="H289" s="5" t="str">
        <f>'[1]B.kriteria &amp; R.kecocokan'!$B$72</f>
        <v>Rendah</v>
      </c>
      <c r="I289" s="5" t="str">
        <f>'[1]B.kriteria &amp; R.kecocokan'!$B$95</f>
        <v>Rendah</v>
      </c>
      <c r="J289" s="10" t="str">
        <f>'[1]B.kriteria &amp; R.kecocokan'!$B$81</f>
        <v>Tinggi</v>
      </c>
      <c r="K289" s="10" t="str">
        <f>'[1]B.kriteria &amp; R.kecocokan'!$B$90</f>
        <v>Sangat Sedikit</v>
      </c>
      <c r="L289" s="5" t="str">
        <f>'[1]B.kriteria &amp; R.kecocokan'!$B$49</f>
        <v>Rendah</v>
      </c>
      <c r="M289" s="5" t="str">
        <f>'[1]B.kriteria &amp; R.kecocokan'!$B$57</f>
        <v>Rendah</v>
      </c>
      <c r="N289" s="6" t="str">
        <f>'[1]B.kriteria &amp; R.kecocokan'!$B$65</f>
        <v>Rendah</v>
      </c>
      <c r="O289" s="12" t="s">
        <v>18</v>
      </c>
      <c r="V289" t="e">
        <f t="shared" si="31"/>
        <v>#DIV/0!</v>
      </c>
    </row>
    <row r="290" spans="1:22" hidden="1" x14ac:dyDescent="0.35">
      <c r="A290" s="15">
        <v>73</v>
      </c>
      <c r="B290" s="8">
        <f>[1]Penghasilan!B272</f>
        <v>0</v>
      </c>
      <c r="C290" s="8" t="s">
        <v>133</v>
      </c>
      <c r="D290" s="9" t="s">
        <v>26</v>
      </c>
      <c r="E290" s="10" t="str">
        <f>'[1]B.kriteria &amp; R.kecocokan'!$B$23</f>
        <v>Banyak</v>
      </c>
      <c r="F290" s="10" t="str">
        <f>'[1]B.kriteria &amp; R.kecocokan'!$B$35</f>
        <v>Sangat Tinggi</v>
      </c>
      <c r="G290" s="5" t="str">
        <f>'[1]B.kriteria &amp; R.kecocokan'!$B$41</f>
        <v>Rendah</v>
      </c>
      <c r="H290" s="5" t="str">
        <f>'[1]B.kriteria &amp; R.kecocokan'!$B$72</f>
        <v>Rendah</v>
      </c>
      <c r="I290" s="5" t="str">
        <f>'[1]B.kriteria &amp; R.kecocokan'!$B$95</f>
        <v>Rendah</v>
      </c>
      <c r="J290" s="5" t="str">
        <f>'[1]B.kriteria &amp; R.kecocokan'!$B$80</f>
        <v>Rendah</v>
      </c>
      <c r="K290" s="10" t="str">
        <f>'[1]B.kriteria &amp; R.kecocokan'!$B$90</f>
        <v>Sangat Sedikit</v>
      </c>
      <c r="L290" s="10" t="str">
        <f>'[1]B.kriteria &amp; R.kecocokan'!$B$51</f>
        <v>Tinggi</v>
      </c>
      <c r="M290" s="5" t="str">
        <f>'[1]B.kriteria &amp; R.kecocokan'!$B$57</f>
        <v>Rendah</v>
      </c>
      <c r="N290" s="6" t="str">
        <f>'[1]B.kriteria &amp; R.kecocokan'!$B$65</f>
        <v>Rendah</v>
      </c>
      <c r="O290" s="12" t="s">
        <v>18</v>
      </c>
      <c r="V290" t="e">
        <f t="shared" si="31"/>
        <v>#DIV/0!</v>
      </c>
    </row>
    <row r="291" spans="1:22" hidden="1" x14ac:dyDescent="0.35">
      <c r="A291" s="16">
        <v>74</v>
      </c>
      <c r="B291" s="8">
        <f>[1]Penghasilan!B273</f>
        <v>0</v>
      </c>
      <c r="C291" s="8" t="s">
        <v>134</v>
      </c>
      <c r="D291" s="9" t="s">
        <v>26</v>
      </c>
      <c r="E291" s="4" t="str">
        <f>'[1]B.kriteria &amp; R.kecocokan'!$B$24</f>
        <v>Cukup</v>
      </c>
      <c r="F291" s="10" t="str">
        <f>'[1]B.kriteria &amp; R.kecocokan'!$B$34</f>
        <v>Tinggi</v>
      </c>
      <c r="G291" s="5" t="str">
        <f>'[1]B.kriteria &amp; R.kecocokan'!$B$41</f>
        <v>Rendah</v>
      </c>
      <c r="H291" s="5" t="str">
        <f>'[1]B.kriteria &amp; R.kecocokan'!$B$72</f>
        <v>Rendah</v>
      </c>
      <c r="I291" s="5" t="str">
        <f>'[1]B.kriteria &amp; R.kecocokan'!$B$95</f>
        <v>Rendah</v>
      </c>
      <c r="J291" s="5" t="str">
        <f>'[1]B.kriteria &amp; R.kecocokan'!$B$80</f>
        <v>Rendah</v>
      </c>
      <c r="K291" s="5" t="str">
        <f>'[1]B.kriteria &amp; R.kecocokan'!$B$89</f>
        <v>Sedikit</v>
      </c>
      <c r="L291" s="5" t="str">
        <f>'[1]B.kriteria &amp; R.kecocokan'!$B$49</f>
        <v>Rendah</v>
      </c>
      <c r="M291" s="5" t="str">
        <f>'[1]B.kriteria &amp; R.kecocokan'!$B$57</f>
        <v>Rendah</v>
      </c>
      <c r="N291" s="6" t="str">
        <f>'[1]B.kriteria &amp; R.kecocokan'!$B$65</f>
        <v>Rendah</v>
      </c>
      <c r="O291" s="12" t="s">
        <v>18</v>
      </c>
      <c r="V291" t="e">
        <f t="shared" si="31"/>
        <v>#DIV/0!</v>
      </c>
    </row>
    <row r="292" spans="1:22" hidden="1" x14ac:dyDescent="0.35">
      <c r="A292" s="15">
        <v>75</v>
      </c>
      <c r="B292" s="8">
        <f>[1]Penghasilan!B230</f>
        <v>0</v>
      </c>
      <c r="C292" s="8" t="s">
        <v>135</v>
      </c>
      <c r="D292" s="9" t="s">
        <v>26</v>
      </c>
      <c r="E292" s="4" t="str">
        <f>'[1]B.kriteria &amp; R.kecocokan'!$B$24</f>
        <v>Cukup</v>
      </c>
      <c r="F292" s="10" t="str">
        <f>'[1]B.kriteria &amp; R.kecocokan'!$B$34</f>
        <v>Tinggi</v>
      </c>
      <c r="G292" s="10" t="str">
        <f>'[1]B.kriteria &amp; R.kecocokan'!$B$43</f>
        <v>Tinggi</v>
      </c>
      <c r="H292" s="5" t="str">
        <f>'[1]B.kriteria &amp; R.kecocokan'!$B$72</f>
        <v>Rendah</v>
      </c>
      <c r="I292" s="5" t="str">
        <f>'[1]B.kriteria &amp; R.kecocokan'!$B$95</f>
        <v>Rendah</v>
      </c>
      <c r="J292" s="5" t="str">
        <f>'[1]B.kriteria &amp; R.kecocokan'!$B$80</f>
        <v>Rendah</v>
      </c>
      <c r="K292" s="10" t="str">
        <f>'[1]B.kriteria &amp; R.kecocokan'!$B$88</f>
        <v>Sedang</v>
      </c>
      <c r="L292" s="5" t="str">
        <f>'[1]B.kriteria &amp; R.kecocokan'!$B$49</f>
        <v>Rendah</v>
      </c>
      <c r="M292" s="5" t="str">
        <f>'[1]B.kriteria &amp; R.kecocokan'!$B$57</f>
        <v>Rendah</v>
      </c>
      <c r="N292" s="6" t="str">
        <f>'[1]B.kriteria &amp; R.kecocokan'!$B$65</f>
        <v>Rendah</v>
      </c>
      <c r="O292" s="12" t="s">
        <v>18</v>
      </c>
      <c r="V292" t="e">
        <f t="shared" si="31"/>
        <v>#DIV/0!</v>
      </c>
    </row>
    <row r="293" spans="1:22" hidden="1" x14ac:dyDescent="0.35">
      <c r="A293" s="15">
        <v>76</v>
      </c>
      <c r="B293" s="8">
        <f>[1]Penghasilan!B229</f>
        <v>0</v>
      </c>
      <c r="C293" s="8" t="s">
        <v>136</v>
      </c>
      <c r="D293" s="9" t="s">
        <v>26</v>
      </c>
      <c r="E293" s="10" t="str">
        <f>'[1]B.kriteria &amp; R.kecocokan'!$B$23</f>
        <v>Banyak</v>
      </c>
      <c r="F293" s="10" t="str">
        <f>'[1]B.kriteria &amp; R.kecocokan'!$B$34</f>
        <v>Tinggi</v>
      </c>
      <c r="G293" s="5" t="str">
        <f>'[1]B.kriteria &amp; R.kecocokan'!$B$41</f>
        <v>Rendah</v>
      </c>
      <c r="H293" s="5" t="str">
        <f>'[1]B.kriteria &amp; R.kecocokan'!$B$72</f>
        <v>Rendah</v>
      </c>
      <c r="I293" s="5" t="str">
        <f>'[1]B.kriteria &amp; R.kecocokan'!$B$95</f>
        <v>Rendah</v>
      </c>
      <c r="J293" s="10" t="str">
        <f>'[1]B.kriteria &amp; R.kecocokan'!$B$81</f>
        <v>Tinggi</v>
      </c>
      <c r="K293" s="10" t="str">
        <f>'[1]B.kriteria &amp; R.kecocokan'!$B$88</f>
        <v>Sedang</v>
      </c>
      <c r="L293" s="5" t="str">
        <f>'[1]B.kriteria &amp; R.kecocokan'!$B$49</f>
        <v>Rendah</v>
      </c>
      <c r="M293" s="5" t="str">
        <f>'[1]B.kriteria &amp; R.kecocokan'!$B$57</f>
        <v>Rendah</v>
      </c>
      <c r="N293" s="6" t="str">
        <f>'[1]B.kriteria &amp; R.kecocokan'!$B$65</f>
        <v>Rendah</v>
      </c>
      <c r="O293" s="12" t="s">
        <v>18</v>
      </c>
      <c r="V293" t="e">
        <f t="shared" si="31"/>
        <v>#DIV/0!</v>
      </c>
    </row>
    <row r="294" spans="1:22" hidden="1" x14ac:dyDescent="0.35">
      <c r="A294" s="16">
        <v>77</v>
      </c>
      <c r="B294" s="8">
        <f>[1]Penghasilan!B231</f>
        <v>0</v>
      </c>
      <c r="C294" s="8" t="s">
        <v>137</v>
      </c>
      <c r="D294" s="9" t="s">
        <v>26</v>
      </c>
      <c r="E294" s="4" t="str">
        <f>'[1]B.kriteria &amp; R.kecocokan'!$B$24</f>
        <v>Cukup</v>
      </c>
      <c r="F294" s="10" t="str">
        <f>'[1]B.kriteria &amp; R.kecocokan'!$B$34</f>
        <v>Tinggi</v>
      </c>
      <c r="G294" s="5" t="str">
        <f>'[1]B.kriteria &amp; R.kecocokan'!$B$41</f>
        <v>Rendah</v>
      </c>
      <c r="H294" s="5" t="str">
        <f>'[1]B.kriteria &amp; R.kecocokan'!$B$72</f>
        <v>Rendah</v>
      </c>
      <c r="I294" s="5" t="str">
        <f>'[1]B.kriteria &amp; R.kecocokan'!$B$95</f>
        <v>Rendah</v>
      </c>
      <c r="J294" s="10" t="str">
        <f>'[1]B.kriteria &amp; R.kecocokan'!$B$81</f>
        <v>Tinggi</v>
      </c>
      <c r="K294" s="10" t="str">
        <f>'[1]B.kriteria &amp; R.kecocokan'!$B$90</f>
        <v>Sangat Sedikit</v>
      </c>
      <c r="L294" s="5" t="str">
        <f>'[1]B.kriteria &amp; R.kecocokan'!$B$49</f>
        <v>Rendah</v>
      </c>
      <c r="M294" s="5" t="str">
        <f>'[1]B.kriteria &amp; R.kecocokan'!$B$57</f>
        <v>Rendah</v>
      </c>
      <c r="N294" s="6" t="str">
        <f>'[1]B.kriteria &amp; R.kecocokan'!$B$65</f>
        <v>Rendah</v>
      </c>
      <c r="O294" s="12" t="s">
        <v>18</v>
      </c>
      <c r="V294" t="e">
        <f t="shared" si="31"/>
        <v>#DIV/0!</v>
      </c>
    </row>
    <row r="295" spans="1:22" hidden="1" x14ac:dyDescent="0.35">
      <c r="A295" s="15">
        <v>78</v>
      </c>
      <c r="B295" s="8">
        <f>[1]Penghasilan!B226</f>
        <v>0</v>
      </c>
      <c r="C295" s="8" t="s">
        <v>138</v>
      </c>
      <c r="D295" s="9" t="s">
        <v>123</v>
      </c>
      <c r="E295" s="4" t="str">
        <f>'[1]B.kriteria &amp; R.kecocokan'!$B$24</f>
        <v>Cukup</v>
      </c>
      <c r="F295" s="10" t="str">
        <f>'[1]B.kriteria &amp; R.kecocokan'!$B$34</f>
        <v>Tinggi</v>
      </c>
      <c r="G295" s="10" t="str">
        <f>'[1]B.kriteria &amp; R.kecocokan'!$B$43</f>
        <v>Tinggi</v>
      </c>
      <c r="H295" s="5" t="str">
        <f>'[1]B.kriteria &amp; R.kecocokan'!$B$72</f>
        <v>Rendah</v>
      </c>
      <c r="I295" s="5" t="str">
        <f>'[1]B.kriteria &amp; R.kecocokan'!$B$95</f>
        <v>Rendah</v>
      </c>
      <c r="J295" s="5" t="str">
        <f>'[1]B.kriteria &amp; R.kecocokan'!$B$80</f>
        <v>Rendah</v>
      </c>
      <c r="K295" s="10" t="str">
        <f>'[1]B.kriteria &amp; R.kecocokan'!$B$90</f>
        <v>Sangat Sedikit</v>
      </c>
      <c r="L295" s="5" t="str">
        <f>'[1]B.kriteria &amp; R.kecocokan'!$B$49</f>
        <v>Rendah</v>
      </c>
      <c r="M295" s="5" t="str">
        <f>'[1]B.kriteria &amp; R.kecocokan'!$B$57</f>
        <v>Rendah</v>
      </c>
      <c r="N295" s="6" t="str">
        <f>'[1]B.kriteria &amp; R.kecocokan'!$B$65</f>
        <v>Rendah</v>
      </c>
      <c r="O295" s="12" t="s">
        <v>18</v>
      </c>
      <c r="V295" t="e">
        <f t="shared" si="31"/>
        <v>#DIV/0!</v>
      </c>
    </row>
    <row r="296" spans="1:22" hidden="1" x14ac:dyDescent="0.35">
      <c r="A296" s="15">
        <v>79</v>
      </c>
      <c r="B296" s="8">
        <f>[1]Penghasilan!B239</f>
        <v>0</v>
      </c>
      <c r="C296" s="8" t="s">
        <v>139</v>
      </c>
      <c r="D296" s="9" t="s">
        <v>26</v>
      </c>
      <c r="E296" s="13" t="str">
        <f>'[1]B.kriteria &amp; R.kecocokan'!$B$25</f>
        <v>Sedikit</v>
      </c>
      <c r="F296" s="10" t="str">
        <f>'[1]B.kriteria &amp; R.kecocokan'!$B$34</f>
        <v>Tinggi</v>
      </c>
      <c r="G296" s="5" t="str">
        <f>'[1]B.kriteria &amp; R.kecocokan'!$B$41</f>
        <v>Rendah</v>
      </c>
      <c r="H296" s="5" t="str">
        <f>'[1]B.kriteria &amp; R.kecocokan'!$B$72</f>
        <v>Rendah</v>
      </c>
      <c r="I296" s="5" t="str">
        <f>'[1]B.kriteria &amp; R.kecocokan'!$B$95</f>
        <v>Rendah</v>
      </c>
      <c r="J296" s="10" t="str">
        <f>'[1]B.kriteria &amp; R.kecocokan'!$B$81</f>
        <v>Tinggi</v>
      </c>
      <c r="K296" s="10" t="str">
        <f>'[1]B.kriteria &amp; R.kecocokan'!$B$90</f>
        <v>Sangat Sedikit</v>
      </c>
      <c r="L296" s="5" t="str">
        <f>'[1]B.kriteria &amp; R.kecocokan'!$B$49</f>
        <v>Rendah</v>
      </c>
      <c r="M296" s="10" t="str">
        <f>'[1]B.kriteria &amp; R.kecocokan'!$B$58</f>
        <v>Sedang</v>
      </c>
      <c r="N296" s="6" t="str">
        <f>'[1]B.kriteria &amp; R.kecocokan'!$B$65</f>
        <v>Rendah</v>
      </c>
      <c r="O296" s="12" t="s">
        <v>36</v>
      </c>
      <c r="V296" t="e">
        <f t="shared" si="31"/>
        <v>#DIV/0!</v>
      </c>
    </row>
    <row r="297" spans="1:22" hidden="1" x14ac:dyDescent="0.35">
      <c r="A297" s="16">
        <v>80</v>
      </c>
      <c r="B297" s="8">
        <f>[1]Penghasilan!B228</f>
        <v>0</v>
      </c>
      <c r="C297" s="8" t="s">
        <v>140</v>
      </c>
      <c r="D297" s="9" t="s">
        <v>26</v>
      </c>
      <c r="E297" s="13" t="str">
        <f>'[1]B.kriteria &amp; R.kecocokan'!$B$25</f>
        <v>Sedikit</v>
      </c>
      <c r="F297" s="10" t="str">
        <f>'[1]B.kriteria &amp; R.kecocokan'!$B$34</f>
        <v>Tinggi</v>
      </c>
      <c r="G297" s="10" t="str">
        <f>'[1]B.kriteria &amp; R.kecocokan'!$B$43</f>
        <v>Tinggi</v>
      </c>
      <c r="H297" s="5" t="str">
        <f>'[1]B.kriteria &amp; R.kecocokan'!$B$72</f>
        <v>Rendah</v>
      </c>
      <c r="I297" s="10" t="str">
        <f>'[1]B.kriteria &amp; R.kecocokan'!$B$96</f>
        <v>Tinggi</v>
      </c>
      <c r="J297" s="5" t="str">
        <f>'[1]B.kriteria &amp; R.kecocokan'!$B$80</f>
        <v>Rendah</v>
      </c>
      <c r="K297" s="5" t="str">
        <f>'[1]B.kriteria &amp; R.kecocokan'!$B$89</f>
        <v>Sedikit</v>
      </c>
      <c r="L297" s="5" t="str">
        <f>'[1]B.kriteria &amp; R.kecocokan'!$B$49</f>
        <v>Rendah</v>
      </c>
      <c r="M297" s="5" t="str">
        <f>'[1]B.kriteria &amp; R.kecocokan'!$B$57</f>
        <v>Rendah</v>
      </c>
      <c r="N297" s="6" t="str">
        <f>'[1]B.kriteria &amp; R.kecocokan'!$B$65</f>
        <v>Rendah</v>
      </c>
      <c r="O297" s="12" t="s">
        <v>18</v>
      </c>
      <c r="V297" t="e">
        <f t="shared" si="31"/>
        <v>#DIV/0!</v>
      </c>
    </row>
    <row r="298" spans="1:22" hidden="1" x14ac:dyDescent="0.35">
      <c r="A298" s="15">
        <v>81</v>
      </c>
      <c r="B298" s="8">
        <f>[1]Penghasilan!B227</f>
        <v>0</v>
      </c>
      <c r="C298" s="8" t="s">
        <v>141</v>
      </c>
      <c r="D298" s="9" t="s">
        <v>26</v>
      </c>
      <c r="E298" s="13" t="str">
        <f>'[1]B.kriteria &amp; R.kecocokan'!$B$25</f>
        <v>Sedikit</v>
      </c>
      <c r="F298" s="10" t="str">
        <f>'[1]B.kriteria &amp; R.kecocokan'!$B$34</f>
        <v>Tinggi</v>
      </c>
      <c r="G298" s="5" t="str">
        <f>'[1]B.kriteria &amp; R.kecocokan'!$B$41</f>
        <v>Rendah</v>
      </c>
      <c r="H298" s="5" t="str">
        <f>'[1]B.kriteria &amp; R.kecocokan'!$B$72</f>
        <v>Rendah</v>
      </c>
      <c r="I298" s="5" t="str">
        <f>'[1]B.kriteria &amp; R.kecocokan'!$B$95</f>
        <v>Rendah</v>
      </c>
      <c r="J298" s="10" t="str">
        <f>'[1]B.kriteria &amp; R.kecocokan'!$B$81</f>
        <v>Tinggi</v>
      </c>
      <c r="K298" s="10" t="str">
        <f>'[1]B.kriteria &amp; R.kecocokan'!$B$90</f>
        <v>Sangat Sedikit</v>
      </c>
      <c r="L298" s="5" t="str">
        <f>'[1]B.kriteria &amp; R.kecocokan'!$B$49</f>
        <v>Rendah</v>
      </c>
      <c r="M298" s="5" t="str">
        <f>'[1]B.kriteria &amp; R.kecocokan'!$B$57</f>
        <v>Rendah</v>
      </c>
      <c r="N298" s="6" t="str">
        <f>'[1]B.kriteria &amp; R.kecocokan'!$B$65</f>
        <v>Rendah</v>
      </c>
      <c r="O298" s="12" t="s">
        <v>18</v>
      </c>
      <c r="V298" t="e">
        <f t="shared" si="31"/>
        <v>#DIV/0!</v>
      </c>
    </row>
    <row r="299" spans="1:22" hidden="1" x14ac:dyDescent="0.35">
      <c r="A299" s="15">
        <v>82</v>
      </c>
      <c r="B299" s="8">
        <f>[1]Penghasilan!B221</f>
        <v>0</v>
      </c>
      <c r="C299" s="8" t="s">
        <v>142</v>
      </c>
      <c r="D299" s="9" t="s">
        <v>26</v>
      </c>
      <c r="E299" s="13" t="str">
        <f>'[1]B.kriteria &amp; R.kecocokan'!$B$25</f>
        <v>Sedikit</v>
      </c>
      <c r="F299" s="10" t="str">
        <f>'[1]B.kriteria &amp; R.kecocokan'!$B$34</f>
        <v>Tinggi</v>
      </c>
      <c r="G299" s="5" t="str">
        <f>'[1]B.kriteria &amp; R.kecocokan'!$B$41</f>
        <v>Rendah</v>
      </c>
      <c r="H299" s="5" t="str">
        <f>'[1]B.kriteria &amp; R.kecocokan'!$B$72</f>
        <v>Rendah</v>
      </c>
      <c r="I299" s="5" t="str">
        <f>'[1]B.kriteria &amp; R.kecocokan'!$B$95</f>
        <v>Rendah</v>
      </c>
      <c r="J299" s="5" t="str">
        <f>'[1]B.kriteria &amp; R.kecocokan'!$B$80</f>
        <v>Rendah</v>
      </c>
      <c r="K299" s="10" t="str">
        <f>'[1]B.kriteria &amp; R.kecocokan'!$B$88</f>
        <v>Sedang</v>
      </c>
      <c r="L299" s="5" t="str">
        <f>'[1]B.kriteria &amp; R.kecocokan'!$B$49</f>
        <v>Rendah</v>
      </c>
      <c r="M299" s="5" t="str">
        <f>'[1]B.kriteria &amp; R.kecocokan'!$B$57</f>
        <v>Rendah</v>
      </c>
      <c r="N299" s="6" t="str">
        <f>'[1]B.kriteria &amp; R.kecocokan'!$B$65</f>
        <v>Rendah</v>
      </c>
      <c r="O299" s="12" t="s">
        <v>18</v>
      </c>
      <c r="V299" t="e">
        <f t="shared" si="31"/>
        <v>#DIV/0!</v>
      </c>
    </row>
    <row r="300" spans="1:22" x14ac:dyDescent="0.35">
      <c r="A300" s="16">
        <v>83</v>
      </c>
      <c r="B300" s="8">
        <f>[1]Penghasilan!B241</f>
        <v>0</v>
      </c>
      <c r="C300" s="8" t="s">
        <v>143</v>
      </c>
      <c r="D300" s="9" t="s">
        <v>26</v>
      </c>
      <c r="E300" s="4" t="str">
        <f>'[1]B.kriteria &amp; R.kecocokan'!$B$24</f>
        <v>Cukup</v>
      </c>
      <c r="F300" s="10" t="str">
        <f>'[1]B.kriteria &amp; R.kecocokan'!$B$34</f>
        <v>Tinggi</v>
      </c>
      <c r="G300" s="5" t="str">
        <f>'[1]B.kriteria &amp; R.kecocokan'!$B$41</f>
        <v>Rendah</v>
      </c>
      <c r="H300" s="5" t="str">
        <f>'[1]B.kriteria &amp; R.kecocokan'!$B$72</f>
        <v>Rendah</v>
      </c>
      <c r="I300" s="5" t="str">
        <f>'[1]B.kriteria &amp; R.kecocokan'!$B$95</f>
        <v>Rendah</v>
      </c>
      <c r="J300" s="5" t="str">
        <f>'[1]B.kriteria &amp; R.kecocokan'!$B$80</f>
        <v>Rendah</v>
      </c>
      <c r="K300" s="5" t="str">
        <f>'[1]B.kriteria &amp; R.kecocokan'!$B$89</f>
        <v>Sedikit</v>
      </c>
      <c r="L300" s="5" t="str">
        <f>'[1]B.kriteria &amp; R.kecocokan'!$B$49</f>
        <v>Rendah</v>
      </c>
      <c r="M300" s="10" t="str">
        <f>'[1]B.kriteria &amp; R.kecocokan'!$B$58</f>
        <v>Sedang</v>
      </c>
      <c r="N300" s="6" t="str">
        <f>'[1]B.kriteria &amp; R.kecocokan'!$B$65</f>
        <v>Rendah</v>
      </c>
      <c r="O300" s="12" t="s">
        <v>36</v>
      </c>
      <c r="R300" t="s">
        <v>180</v>
      </c>
      <c r="S300">
        <v>0</v>
      </c>
      <c r="T300">
        <v>0</v>
      </c>
      <c r="U300">
        <v>0</v>
      </c>
      <c r="V300">
        <v>0</v>
      </c>
    </row>
    <row r="301" spans="1:22" hidden="1" x14ac:dyDescent="0.35">
      <c r="A301" s="15">
        <v>84</v>
      </c>
      <c r="B301" s="8">
        <f>[1]Penghasilan!B221</f>
        <v>0</v>
      </c>
      <c r="C301" s="8" t="s">
        <v>144</v>
      </c>
      <c r="D301" s="9" t="s">
        <v>26</v>
      </c>
      <c r="E301" s="4" t="str">
        <f>'[1]B.kriteria &amp; R.kecocokan'!$B$24</f>
        <v>Cukup</v>
      </c>
      <c r="F301" s="10" t="str">
        <f>'[1]B.kriteria &amp; R.kecocokan'!$B$34</f>
        <v>Tinggi</v>
      </c>
      <c r="G301" s="5" t="str">
        <f>'[1]B.kriteria &amp; R.kecocokan'!$B$41</f>
        <v>Rendah</v>
      </c>
      <c r="H301" s="5" t="str">
        <f>'[1]B.kriteria &amp; R.kecocokan'!$B$72</f>
        <v>Rendah</v>
      </c>
      <c r="I301" s="5" t="str">
        <f>'[1]B.kriteria &amp; R.kecocokan'!$B$95</f>
        <v>Rendah</v>
      </c>
      <c r="J301" s="5" t="str">
        <f>'[1]B.kriteria &amp; R.kecocokan'!$B$80</f>
        <v>Rendah</v>
      </c>
      <c r="K301" s="10" t="str">
        <f>'[1]B.kriteria &amp; R.kecocokan'!$B$90</f>
        <v>Sangat Sedikit</v>
      </c>
      <c r="L301" s="5" t="str">
        <f>'[1]B.kriteria &amp; R.kecocokan'!$B$49</f>
        <v>Rendah</v>
      </c>
      <c r="M301" s="5" t="str">
        <f>'[1]B.kriteria &amp; R.kecocokan'!$B$57</f>
        <v>Rendah</v>
      </c>
      <c r="N301" s="6" t="str">
        <f>'[1]B.kriteria &amp; R.kecocokan'!$B$65</f>
        <v>Rendah</v>
      </c>
      <c r="O301" s="12" t="s">
        <v>18</v>
      </c>
    </row>
    <row r="302" spans="1:22" hidden="1" x14ac:dyDescent="0.35">
      <c r="A302" s="15">
        <v>85</v>
      </c>
      <c r="B302" s="8">
        <f>[1]Penghasilan!B232</f>
        <v>0</v>
      </c>
      <c r="C302" s="8" t="s">
        <v>145</v>
      </c>
      <c r="D302" s="9" t="s">
        <v>26</v>
      </c>
      <c r="E302" s="10" t="str">
        <f>'[1]B.kriteria &amp; R.kecocokan'!$B$23</f>
        <v>Banyak</v>
      </c>
      <c r="F302" s="10" t="str">
        <f>'[1]B.kriteria &amp; R.kecocokan'!$B$34</f>
        <v>Tinggi</v>
      </c>
      <c r="G302" s="5" t="str">
        <f>'[1]B.kriteria &amp; R.kecocokan'!$B$41</f>
        <v>Rendah</v>
      </c>
      <c r="H302" s="5" t="str">
        <f>'[1]B.kriteria &amp; R.kecocokan'!$B$72</f>
        <v>Rendah</v>
      </c>
      <c r="I302" s="10" t="str">
        <f>'[1]B.kriteria &amp; R.kecocokan'!$B$96</f>
        <v>Tinggi</v>
      </c>
      <c r="J302" s="5" t="str">
        <f>'[1]B.kriteria &amp; R.kecocokan'!$B$80</f>
        <v>Rendah</v>
      </c>
      <c r="K302" s="10" t="str">
        <f>'[1]B.kriteria &amp; R.kecocokan'!$B$90</f>
        <v>Sangat Sedikit</v>
      </c>
      <c r="L302" s="5" t="str">
        <f>'[1]B.kriteria &amp; R.kecocokan'!$B$49</f>
        <v>Rendah</v>
      </c>
      <c r="M302" s="5" t="str">
        <f>'[1]B.kriteria &amp; R.kecocokan'!$B$57</f>
        <v>Rendah</v>
      </c>
      <c r="N302" s="6" t="str">
        <f>'[1]B.kriteria &amp; R.kecocokan'!$B$65</f>
        <v>Rendah</v>
      </c>
      <c r="O302" s="12" t="s">
        <v>18</v>
      </c>
    </row>
    <row r="303" spans="1:22" hidden="1" x14ac:dyDescent="0.35">
      <c r="A303" s="16">
        <v>86</v>
      </c>
      <c r="B303" s="8">
        <f>[1]Penghasilan!B235</f>
        <v>0</v>
      </c>
      <c r="C303" s="8" t="s">
        <v>146</v>
      </c>
      <c r="D303" s="9" t="s">
        <v>26</v>
      </c>
      <c r="E303" s="13" t="str">
        <f>'[1]B.kriteria &amp; R.kecocokan'!$B$25</f>
        <v>Sedikit</v>
      </c>
      <c r="F303" s="10" t="str">
        <f>'[1]B.kriteria &amp; R.kecocokan'!$B$34</f>
        <v>Tinggi</v>
      </c>
      <c r="G303" s="5" t="str">
        <f>'[1]B.kriteria &amp; R.kecocokan'!$B$41</f>
        <v>Rendah</v>
      </c>
      <c r="H303" s="5" t="str">
        <f>'[1]B.kriteria &amp; R.kecocokan'!$B$72</f>
        <v>Rendah</v>
      </c>
      <c r="I303" s="5" t="str">
        <f>'[1]B.kriteria &amp; R.kecocokan'!$B$95</f>
        <v>Rendah</v>
      </c>
      <c r="J303" s="10" t="str">
        <f>'[1]B.kriteria &amp; R.kecocokan'!$B$81</f>
        <v>Tinggi</v>
      </c>
      <c r="K303" s="10" t="str">
        <f>'[1]B.kriteria &amp; R.kecocokan'!$B$90</f>
        <v>Sangat Sedikit</v>
      </c>
      <c r="L303" s="5" t="str">
        <f>'[1]B.kriteria &amp; R.kecocokan'!$B$49</f>
        <v>Rendah</v>
      </c>
      <c r="M303" s="5" t="str">
        <f>'[1]B.kriteria &amp; R.kecocokan'!$B$57</f>
        <v>Rendah</v>
      </c>
      <c r="N303" s="6" t="str">
        <f>'[1]B.kriteria &amp; R.kecocokan'!$B$65</f>
        <v>Rendah</v>
      </c>
      <c r="O303" s="12" t="s">
        <v>36</v>
      </c>
    </row>
    <row r="304" spans="1:22" hidden="1" x14ac:dyDescent="0.35">
      <c r="A304" s="15">
        <v>87</v>
      </c>
      <c r="B304" s="8">
        <f>[1]Penghasilan!B234</f>
        <v>0</v>
      </c>
      <c r="C304" s="8" t="s">
        <v>147</v>
      </c>
      <c r="D304" s="9" t="s">
        <v>148</v>
      </c>
      <c r="E304" s="13" t="str">
        <f>'[1]B.kriteria &amp; R.kecocokan'!$B$25</f>
        <v>Sedikit</v>
      </c>
      <c r="F304" s="10" t="str">
        <f>'[1]B.kriteria &amp; R.kecocokan'!$B$35</f>
        <v>Sangat Tinggi</v>
      </c>
      <c r="G304" s="10" t="str">
        <f>'[1]B.kriteria &amp; R.kecocokan'!$B$43</f>
        <v>Tinggi</v>
      </c>
      <c r="H304" s="5" t="str">
        <f>'[1]B.kriteria &amp; R.kecocokan'!$B$72</f>
        <v>Rendah</v>
      </c>
      <c r="I304" s="5" t="str">
        <f>'[1]B.kriteria &amp; R.kecocokan'!$B$95</f>
        <v>Rendah</v>
      </c>
      <c r="J304" s="5" t="str">
        <f>'[1]B.kriteria &amp; R.kecocokan'!$B$80</f>
        <v>Rendah</v>
      </c>
      <c r="K304" s="5" t="str">
        <f>'[1]B.kriteria &amp; R.kecocokan'!$B$89</f>
        <v>Sedikit</v>
      </c>
      <c r="L304" s="5" t="str">
        <f>'[1]B.kriteria &amp; R.kecocokan'!$B$49</f>
        <v>Rendah</v>
      </c>
      <c r="M304" s="5" t="str">
        <f>'[1]B.kriteria &amp; R.kecocokan'!$B$57</f>
        <v>Rendah</v>
      </c>
      <c r="N304" s="6" t="str">
        <f>'[1]B.kriteria &amp; R.kecocokan'!$B$65</f>
        <v>Rendah</v>
      </c>
      <c r="O304" s="12" t="s">
        <v>18</v>
      </c>
    </row>
    <row r="305" spans="1:23" hidden="1" x14ac:dyDescent="0.35">
      <c r="A305" s="15">
        <v>88</v>
      </c>
      <c r="B305" s="14">
        <f>[1]Penghasilan!B222</f>
        <v>0</v>
      </c>
      <c r="C305" s="14" t="s">
        <v>20</v>
      </c>
      <c r="D305" s="9" t="s">
        <v>148</v>
      </c>
      <c r="E305" s="13" t="str">
        <f>'[1]B.kriteria &amp; R.kecocokan'!$B$25</f>
        <v>Sedikit</v>
      </c>
      <c r="F305" s="10" t="str">
        <f>'[1]B.kriteria &amp; R.kecocokan'!$B$35</f>
        <v>Sangat Tinggi</v>
      </c>
      <c r="G305" s="5" t="str">
        <f>'[1]B.kriteria &amp; R.kecocokan'!$B$41</f>
        <v>Rendah</v>
      </c>
      <c r="H305" s="5" t="str">
        <f>'[1]B.kriteria &amp; R.kecocokan'!$B$72</f>
        <v>Rendah</v>
      </c>
      <c r="I305" s="5" t="str">
        <f>'[1]B.kriteria &amp; R.kecocokan'!$B$95</f>
        <v>Rendah</v>
      </c>
      <c r="J305" s="10" t="str">
        <f>'[1]B.kriteria &amp; R.kecocokan'!$B$81</f>
        <v>Tinggi</v>
      </c>
      <c r="K305" s="10" t="str">
        <f>'[1]B.kriteria &amp; R.kecocokan'!$B$90</f>
        <v>Sangat Sedikit</v>
      </c>
      <c r="L305" s="10" t="str">
        <f>'[1]B.kriteria &amp; R.kecocokan'!$B$51</f>
        <v>Tinggi</v>
      </c>
      <c r="M305" s="10" t="str">
        <f>'[1]B.kriteria &amp; R.kecocokan'!$B$59</f>
        <v>Tinggi</v>
      </c>
      <c r="N305" s="6" t="str">
        <f>'[1]B.kriteria &amp; R.kecocokan'!$B$65</f>
        <v>Rendah</v>
      </c>
      <c r="O305" s="12" t="s">
        <v>36</v>
      </c>
    </row>
    <row r="306" spans="1:23" hidden="1" x14ac:dyDescent="0.35">
      <c r="A306" s="16">
        <v>89</v>
      </c>
      <c r="B306" s="8">
        <f>[1]Penghasilan!B220</f>
        <v>0</v>
      </c>
      <c r="C306" s="8" t="s">
        <v>149</v>
      </c>
      <c r="D306" s="9" t="s">
        <v>26</v>
      </c>
      <c r="E306" s="4" t="str">
        <f>'[1]B.kriteria &amp; R.kecocokan'!$B$24</f>
        <v>Cukup</v>
      </c>
      <c r="F306" s="10" t="str">
        <f>'[1]B.kriteria &amp; R.kecocokan'!$B$34</f>
        <v>Tinggi</v>
      </c>
      <c r="G306" s="5" t="str">
        <f>'[1]B.kriteria &amp; R.kecocokan'!$B$41</f>
        <v>Rendah</v>
      </c>
      <c r="H306" s="5" t="str">
        <f>'[1]B.kriteria &amp; R.kecocokan'!$B$72</f>
        <v>Rendah</v>
      </c>
      <c r="I306" s="5" t="str">
        <f>'[1]B.kriteria &amp; R.kecocokan'!$B$95</f>
        <v>Rendah</v>
      </c>
      <c r="J306" s="10" t="str">
        <f>'[1]B.kriteria &amp; R.kecocokan'!$B$81</f>
        <v>Tinggi</v>
      </c>
      <c r="K306" s="10" t="str">
        <f>'[1]B.kriteria &amp; R.kecocokan'!$B$90</f>
        <v>Sangat Sedikit</v>
      </c>
      <c r="L306" s="5" t="str">
        <f>'[1]B.kriteria &amp; R.kecocokan'!$B$49</f>
        <v>Rendah</v>
      </c>
      <c r="M306" s="5" t="str">
        <f>'[1]B.kriteria &amp; R.kecocokan'!$B$57</f>
        <v>Rendah</v>
      </c>
      <c r="N306" s="6" t="str">
        <f>'[1]B.kriteria &amp; R.kecocokan'!$B$65</f>
        <v>Rendah</v>
      </c>
      <c r="O306" s="12" t="s">
        <v>18</v>
      </c>
    </row>
    <row r="307" spans="1:23" hidden="1" x14ac:dyDescent="0.35">
      <c r="A307" s="15">
        <v>90</v>
      </c>
      <c r="B307" s="14">
        <f>[1]Penghasilan!B223</f>
        <v>0</v>
      </c>
      <c r="C307" s="14" t="s">
        <v>150</v>
      </c>
      <c r="D307" s="9" t="s">
        <v>26</v>
      </c>
      <c r="E307" s="13" t="str">
        <f>'[1]B.kriteria &amp; R.kecocokan'!$B$25</f>
        <v>Sedikit</v>
      </c>
      <c r="F307" s="10" t="str">
        <f>'[1]B.kriteria &amp; R.kecocokan'!$B$35</f>
        <v>Sangat Tinggi</v>
      </c>
      <c r="G307" s="5" t="str">
        <f>'[1]B.kriteria &amp; R.kecocokan'!$B$41</f>
        <v>Rendah</v>
      </c>
      <c r="H307" s="5" t="str">
        <f>'[1]B.kriteria &amp; R.kecocokan'!$B$72</f>
        <v>Rendah</v>
      </c>
      <c r="I307" s="5" t="str">
        <f>'[1]B.kriteria &amp; R.kecocokan'!$B$95</f>
        <v>Rendah</v>
      </c>
      <c r="J307" s="10" t="str">
        <f>'[1]B.kriteria &amp; R.kecocokan'!$B$81</f>
        <v>Tinggi</v>
      </c>
      <c r="K307" s="10" t="str">
        <f>'[1]B.kriteria &amp; R.kecocokan'!$B$90</f>
        <v>Sangat Sedikit</v>
      </c>
      <c r="L307" s="10" t="str">
        <f>'[1]B.kriteria &amp; R.kecocokan'!$B$51</f>
        <v>Tinggi</v>
      </c>
      <c r="M307" s="10" t="str">
        <f>'[1]B.kriteria &amp; R.kecocokan'!$B$59</f>
        <v>Tinggi</v>
      </c>
      <c r="N307" s="6" t="str">
        <f>'[1]B.kriteria &amp; R.kecocokan'!$B$65</f>
        <v>Rendah</v>
      </c>
      <c r="O307" s="12" t="s">
        <v>36</v>
      </c>
    </row>
    <row r="308" spans="1:23" hidden="1" x14ac:dyDescent="0.35">
      <c r="A308" s="15">
        <v>91</v>
      </c>
      <c r="B308" s="8">
        <f>[1]Penghasilan!B224</f>
        <v>0</v>
      </c>
      <c r="C308" s="8" t="s">
        <v>151</v>
      </c>
      <c r="D308" s="9" t="s">
        <v>26</v>
      </c>
      <c r="E308" s="13" t="str">
        <f>'[1]B.kriteria &amp; R.kecocokan'!$B$25</f>
        <v>Sedikit</v>
      </c>
      <c r="F308" s="10" t="str">
        <f>'[1]B.kriteria &amp; R.kecocokan'!$B$34</f>
        <v>Tinggi</v>
      </c>
      <c r="G308" s="5" t="str">
        <f>'[1]B.kriteria &amp; R.kecocokan'!$B$41</f>
        <v>Rendah</v>
      </c>
      <c r="H308" s="5" t="str">
        <f>'[1]B.kriteria &amp; R.kecocokan'!$B$72</f>
        <v>Rendah</v>
      </c>
      <c r="I308" s="5" t="str">
        <f>'[1]B.kriteria &amp; R.kecocokan'!$B$95</f>
        <v>Rendah</v>
      </c>
      <c r="J308" s="10" t="str">
        <f>'[1]B.kriteria &amp; R.kecocokan'!$B$81</f>
        <v>Tinggi</v>
      </c>
      <c r="K308" s="10" t="str">
        <f>'[1]B.kriteria &amp; R.kecocokan'!$B$90</f>
        <v>Sangat Sedikit</v>
      </c>
      <c r="L308" s="5" t="str">
        <f>'[1]B.kriteria &amp; R.kecocokan'!$B$49</f>
        <v>Rendah</v>
      </c>
      <c r="M308" s="10" t="str">
        <f>'[1]B.kriteria &amp; R.kecocokan'!$B$58</f>
        <v>Sedang</v>
      </c>
      <c r="N308" s="6" t="str">
        <f>'[1]B.kriteria &amp; R.kecocokan'!$B$65</f>
        <v>Rendah</v>
      </c>
      <c r="O308" s="12" t="s">
        <v>36</v>
      </c>
    </row>
    <row r="309" spans="1:23" hidden="1" x14ac:dyDescent="0.35">
      <c r="A309" s="16">
        <v>92</v>
      </c>
      <c r="B309" s="8">
        <f>[1]Penghasilan!B225</f>
        <v>0</v>
      </c>
      <c r="C309" s="8" t="s">
        <v>152</v>
      </c>
      <c r="D309" s="9" t="s">
        <v>26</v>
      </c>
      <c r="E309" s="13" t="str">
        <f>'[1]B.kriteria &amp; R.kecocokan'!$B$25</f>
        <v>Sedikit</v>
      </c>
      <c r="F309" s="10" t="str">
        <f>'[1]B.kriteria &amp; R.kecocokan'!$B$34</f>
        <v>Tinggi</v>
      </c>
      <c r="G309" s="5" t="str">
        <f>'[1]B.kriteria &amp; R.kecocokan'!$B$41</f>
        <v>Rendah</v>
      </c>
      <c r="H309" s="5" t="str">
        <f>'[1]B.kriteria &amp; R.kecocokan'!$B$72</f>
        <v>Rendah</v>
      </c>
      <c r="I309" s="5" t="str">
        <f>'[1]B.kriteria &amp; R.kecocokan'!$B$95</f>
        <v>Rendah</v>
      </c>
      <c r="J309" s="5" t="str">
        <f>'[1]B.kriteria &amp; R.kecocokan'!$B$80</f>
        <v>Rendah</v>
      </c>
      <c r="K309" s="10" t="str">
        <f>'[1]B.kriteria &amp; R.kecocokan'!$B$88</f>
        <v>Sedang</v>
      </c>
      <c r="L309" s="5" t="str">
        <f>'[1]B.kriteria &amp; R.kecocokan'!$B$49</f>
        <v>Rendah</v>
      </c>
      <c r="M309" s="10" t="str">
        <f>'[1]B.kriteria &amp; R.kecocokan'!$B$58</f>
        <v>Sedang</v>
      </c>
      <c r="N309" s="6" t="str">
        <f>'[1]B.kriteria &amp; R.kecocokan'!$B$65</f>
        <v>Rendah</v>
      </c>
      <c r="O309" s="12" t="s">
        <v>36</v>
      </c>
    </row>
    <row r="310" spans="1:23" hidden="1" x14ac:dyDescent="0.35">
      <c r="A310" s="18">
        <v>93</v>
      </c>
      <c r="B310" s="19">
        <f>[1]Penghasilan!B238</f>
        <v>0</v>
      </c>
      <c r="C310" s="19" t="s">
        <v>153</v>
      </c>
      <c r="D310" s="20" t="s">
        <v>26</v>
      </c>
      <c r="E310" s="21" t="str">
        <f>'[1]B.kriteria &amp; R.kecocokan'!$B$23</f>
        <v>Banyak</v>
      </c>
      <c r="F310" s="21" t="str">
        <f>'[1]B.kriteria &amp; R.kecocokan'!$B$34</f>
        <v>Tinggi</v>
      </c>
      <c r="G310" s="22" t="str">
        <f>'[1]B.kriteria &amp; R.kecocokan'!$B$41</f>
        <v>Rendah</v>
      </c>
      <c r="H310" s="22" t="str">
        <f>'[1]B.kriteria &amp; R.kecocokan'!$B$72</f>
        <v>Rendah</v>
      </c>
      <c r="I310" s="22" t="str">
        <f>'[1]B.kriteria &amp; R.kecocokan'!$B$95</f>
        <v>Rendah</v>
      </c>
      <c r="J310" s="22" t="str">
        <f>'[1]B.kriteria &amp; R.kecocokan'!$B$80</f>
        <v>Rendah</v>
      </c>
      <c r="K310" s="21" t="str">
        <f>'[1]B.kriteria &amp; R.kecocokan'!$B$88</f>
        <v>Sedang</v>
      </c>
      <c r="L310" s="22" t="str">
        <f>'[1]B.kriteria &amp; R.kecocokan'!$B$49</f>
        <v>Rendah</v>
      </c>
      <c r="M310" s="22" t="str">
        <f>'[1]B.kriteria &amp; R.kecocokan'!$B$57</f>
        <v>Rendah</v>
      </c>
      <c r="N310" s="23" t="str">
        <f>'[1]B.kriteria &amp; R.kecocokan'!$B$65</f>
        <v>Rendah</v>
      </c>
      <c r="O310" s="24" t="s">
        <v>18</v>
      </c>
    </row>
    <row r="312" spans="1:23" x14ac:dyDescent="0.35">
      <c r="Q312" t="s">
        <v>5</v>
      </c>
      <c r="W312">
        <f>$V$231-((S313/$S$231*V313)+(S314/$S$231*V314))</f>
        <v>1.9973094021973115E-2</v>
      </c>
    </row>
    <row r="313" spans="1:23" x14ac:dyDescent="0.35">
      <c r="R313" t="s">
        <v>181</v>
      </c>
      <c r="S313">
        <v>3</v>
      </c>
      <c r="T313">
        <v>1</v>
      </c>
      <c r="U313">
        <v>2</v>
      </c>
      <c r="V313">
        <f t="shared" ref="V313:V314" si="32">((-T313/S313)*IMLOG2(T313/S313))+((-U313/S313)*IMLOG2(U313/S313))</f>
        <v>0.91829583405449056</v>
      </c>
    </row>
    <row r="314" spans="1:23" x14ac:dyDescent="0.35">
      <c r="R314" t="s">
        <v>182</v>
      </c>
      <c r="S314">
        <v>2</v>
      </c>
      <c r="T314">
        <v>1</v>
      </c>
      <c r="U314">
        <v>1</v>
      </c>
      <c r="V314">
        <f t="shared" si="32"/>
        <v>1</v>
      </c>
    </row>
    <row r="316" spans="1:23" x14ac:dyDescent="0.35">
      <c r="Q316" t="s">
        <v>183</v>
      </c>
      <c r="W316" s="41">
        <f>$V$231-((S317/$S$231*V317)+(S318/$S$231*V318))</f>
        <v>0</v>
      </c>
    </row>
    <row r="317" spans="1:23" x14ac:dyDescent="0.35">
      <c r="R317" t="s">
        <v>184</v>
      </c>
      <c r="S317">
        <v>5</v>
      </c>
      <c r="T317">
        <v>2</v>
      </c>
      <c r="U317">
        <v>3</v>
      </c>
      <c r="V317">
        <f t="shared" ref="V317" si="33">((-T317/S317)*IMLOG2(T317/S317))+((-U317/S317)*IMLOG2(U317/S317))</f>
        <v>0.97095059445466747</v>
      </c>
    </row>
    <row r="318" spans="1:23" x14ac:dyDescent="0.35">
      <c r="R318" t="s">
        <v>181</v>
      </c>
      <c r="S318">
        <v>0</v>
      </c>
      <c r="T318">
        <v>0</v>
      </c>
      <c r="U318">
        <v>0</v>
      </c>
      <c r="V318">
        <v>0</v>
      </c>
    </row>
    <row r="320" spans="1:23" x14ac:dyDescent="0.35">
      <c r="Q320" t="s">
        <v>7</v>
      </c>
      <c r="W320" s="41">
        <f>$V$231-((S321/$S$231*V321)+(S322/$S$231*V322))</f>
        <v>0</v>
      </c>
    </row>
    <row r="321" spans="17:23" x14ac:dyDescent="0.35">
      <c r="R321" s="30" t="s">
        <v>168</v>
      </c>
      <c r="S321">
        <v>5</v>
      </c>
      <c r="T321">
        <v>2</v>
      </c>
      <c r="U321">
        <v>3</v>
      </c>
      <c r="V321">
        <f t="shared" ref="V321" si="34">((-T321/S321)*IMLOG2(T321/S321))+((-U321/S321)*IMLOG2(U321/S321))</f>
        <v>0.97095059445466747</v>
      </c>
    </row>
    <row r="322" spans="17:23" x14ac:dyDescent="0.35">
      <c r="R322" s="30" t="s">
        <v>165</v>
      </c>
      <c r="S322">
        <v>0</v>
      </c>
      <c r="T322">
        <v>0</v>
      </c>
      <c r="U322">
        <v>0</v>
      </c>
      <c r="V322">
        <v>0</v>
      </c>
    </row>
    <row r="324" spans="17:23" x14ac:dyDescent="0.35">
      <c r="Q324" s="30" t="s">
        <v>170</v>
      </c>
      <c r="R324" s="30"/>
      <c r="W324" s="41">
        <f>$V$231-((S325/$S$231*V325)+(S326/$S$231*V326))</f>
        <v>0</v>
      </c>
    </row>
    <row r="325" spans="17:23" x14ac:dyDescent="0.35">
      <c r="Q325" s="30"/>
      <c r="R325" s="30" t="s">
        <v>168</v>
      </c>
      <c r="S325">
        <v>5</v>
      </c>
      <c r="T325">
        <v>2</v>
      </c>
      <c r="U325">
        <v>3</v>
      </c>
      <c r="V325">
        <f t="shared" ref="V325" si="35">((-T325/S325)*IMLOG2(T325/S325))+((-U325/S325)*IMLOG2(U325/S325))</f>
        <v>0.97095059445466747</v>
      </c>
    </row>
    <row r="326" spans="17:23" x14ac:dyDescent="0.35">
      <c r="Q326" s="30"/>
      <c r="R326" s="30" t="s">
        <v>165</v>
      </c>
      <c r="S326">
        <v>0</v>
      </c>
      <c r="T326">
        <v>0</v>
      </c>
      <c r="U326">
        <v>0</v>
      </c>
      <c r="V326">
        <v>0</v>
      </c>
    </row>
    <row r="327" spans="17:23" x14ac:dyDescent="0.35">
      <c r="Q327" s="30"/>
      <c r="R327" s="30"/>
    </row>
    <row r="328" spans="17:23" x14ac:dyDescent="0.35">
      <c r="Q328" s="37" t="s">
        <v>9</v>
      </c>
      <c r="R328" s="35"/>
      <c r="W328" s="42">
        <f>$V$231-((S329/$S$231*V329)+(S330/$S$231*V330))</f>
        <v>0</v>
      </c>
    </row>
    <row r="329" spans="17:23" x14ac:dyDescent="0.35">
      <c r="Q329" s="35"/>
      <c r="R329" s="35" t="s">
        <v>171</v>
      </c>
      <c r="S329">
        <v>5</v>
      </c>
      <c r="T329">
        <v>2</v>
      </c>
      <c r="U329">
        <v>3</v>
      </c>
      <c r="V329">
        <f t="shared" ref="V329" si="36">((-T329/S329)*IMLOG2(T329/S329))+((-U329/S329)*IMLOG2(U329/S329))</f>
        <v>0.97095059445466747</v>
      </c>
    </row>
    <row r="330" spans="17:23" x14ac:dyDescent="0.35">
      <c r="Q330" s="35"/>
      <c r="R330" s="35" t="s">
        <v>165</v>
      </c>
      <c r="S330">
        <v>0</v>
      </c>
      <c r="T330">
        <v>0</v>
      </c>
      <c r="U330">
        <v>0</v>
      </c>
      <c r="V330">
        <v>0</v>
      </c>
    </row>
    <row r="332" spans="17:23" x14ac:dyDescent="0.35">
      <c r="Q332" s="30" t="s">
        <v>11</v>
      </c>
      <c r="R332" s="30"/>
      <c r="W332" s="42">
        <f>$V$231-((S333/$S$231*V333)+(S334/$S$231*V334)+(S335/$S$231*V335))</f>
        <v>0</v>
      </c>
    </row>
    <row r="333" spans="17:23" x14ac:dyDescent="0.35">
      <c r="Q333" s="30"/>
      <c r="R333" s="30" t="s">
        <v>168</v>
      </c>
      <c r="S333">
        <v>5</v>
      </c>
      <c r="T333">
        <v>2</v>
      </c>
      <c r="U333">
        <v>3</v>
      </c>
      <c r="V333">
        <f t="shared" ref="V333" si="37">((-T333/S333)*IMLOG2(T333/S333))+((-U333/S333)*IMLOG2(U333/S333))</f>
        <v>0.97095059445466747</v>
      </c>
    </row>
    <row r="334" spans="17:23" x14ac:dyDescent="0.35">
      <c r="Q334" s="30"/>
      <c r="R334" s="30" t="s">
        <v>173</v>
      </c>
      <c r="S334">
        <v>0</v>
      </c>
      <c r="T334">
        <v>0</v>
      </c>
      <c r="U334">
        <v>0</v>
      </c>
      <c r="V334">
        <v>0</v>
      </c>
    </row>
    <row r="335" spans="17:23" x14ac:dyDescent="0.35">
      <c r="Q335" s="30"/>
      <c r="R335" s="30" t="s">
        <v>165</v>
      </c>
      <c r="S335">
        <v>0</v>
      </c>
      <c r="T335">
        <v>0</v>
      </c>
      <c r="U335">
        <v>0</v>
      </c>
      <c r="V335">
        <v>0</v>
      </c>
    </row>
    <row r="337" spans="17:23" x14ac:dyDescent="0.35">
      <c r="Q337" s="30" t="s">
        <v>13</v>
      </c>
      <c r="R337" s="30"/>
      <c r="W337" s="41">
        <f>$V$231-((S338/$S$231*V338)+(S339/$S$231*V339))</f>
        <v>0</v>
      </c>
    </row>
    <row r="338" spans="17:23" x14ac:dyDescent="0.35">
      <c r="Q338" s="30"/>
      <c r="R338" s="30" t="s">
        <v>171</v>
      </c>
      <c r="S338">
        <v>5</v>
      </c>
      <c r="T338">
        <v>2</v>
      </c>
      <c r="U338">
        <v>3</v>
      </c>
      <c r="V338">
        <f t="shared" ref="V338" si="38">((-T338/S338)*IMLOG2(T338/S338))+((-U338/S338)*IMLOG2(U338/S338))</f>
        <v>0.97095059445466747</v>
      </c>
    </row>
    <row r="339" spans="17:23" x14ac:dyDescent="0.35">
      <c r="Q339" s="30"/>
      <c r="R339" s="30" t="s">
        <v>173</v>
      </c>
      <c r="S339">
        <v>0</v>
      </c>
      <c r="T339">
        <v>0</v>
      </c>
      <c r="U339">
        <v>0</v>
      </c>
      <c r="V339">
        <v>0</v>
      </c>
    </row>
    <row r="356" spans="17:18" x14ac:dyDescent="0.35">
      <c r="R356" s="30"/>
    </row>
    <row r="357" spans="17:18" x14ac:dyDescent="0.35">
      <c r="R357" s="30"/>
    </row>
    <row r="359" spans="17:18" x14ac:dyDescent="0.35">
      <c r="Q359" s="30"/>
      <c r="R359" s="30"/>
    </row>
    <row r="360" spans="17:18" x14ac:dyDescent="0.35">
      <c r="Q360" s="30"/>
      <c r="R360" s="30"/>
    </row>
    <row r="361" spans="17:18" x14ac:dyDescent="0.35">
      <c r="Q361" s="30"/>
      <c r="R361" s="30"/>
    </row>
    <row r="362" spans="17:18" x14ac:dyDescent="0.35">
      <c r="Q362" s="30"/>
      <c r="R362" s="30"/>
    </row>
    <row r="363" spans="17:18" x14ac:dyDescent="0.35">
      <c r="Q363" s="37"/>
      <c r="R363" s="35"/>
    </row>
    <row r="364" spans="17:18" x14ac:dyDescent="0.35">
      <c r="Q364" s="35"/>
      <c r="R364" s="35"/>
    </row>
    <row r="365" spans="17:18" x14ac:dyDescent="0.35">
      <c r="Q365" s="35"/>
      <c r="R365" s="35"/>
    </row>
  </sheetData>
  <mergeCells count="1">
    <mergeCell ref="Q231:R231"/>
  </mergeCells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2022-02-09T09:34:03Z</cp:lastPrinted>
  <dcterms:created xsi:type="dcterms:W3CDTF">2022-02-08T15:28:23Z</dcterms:created>
  <dcterms:modified xsi:type="dcterms:W3CDTF">2022-02-09T10:37:12Z</dcterms:modified>
</cp:coreProperties>
</file>